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cket Summary" sheetId="1" state="visible" r:id="rId3"/>
    <sheet name="FY26 Activity Detail" sheetId="2" state="visible" r:id="rId4"/>
    <sheet name="Quarterly Paid Media" sheetId="3" state="visible" r:id="rId5"/>
    <sheet name="FY27 Budget" sheetId="4" state="visible" r:id="rId6"/>
    <sheet name="Line Item Mapping" sheetId="5" state="visible" r:id="rId7"/>
  </sheets>
  <definedNames>
    <definedName function="false" hidden="true" localSheetId="4" name="_xlnm._FilterDatabase" vbProcedure="false">'Line Item Mapping'!$A$4:$H$77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<sst xmlns="http://schemas.openxmlformats.org/spreadsheetml/2006/main" count="498" uniqueCount="259">
  <si>
    <t xml:space="preserve">Marketing Spend by Bucket – FY24 to FY26 (Actuals)</t>
  </si>
  <si>
    <t xml:space="preserve">INR in crores (converted from finance sheet INR millions ÷ 10) · Source: Finance advertisement expense sheet, mapped to buckets in "Line Item Mapping"</t>
  </si>
  <si>
    <t xml:space="preserve">Marketing bucket</t>
  </si>
  <si>
    <t xml:space="preserve">What it covers</t>
  </si>
  <si>
    <t xml:space="preserve">FY24 (₹ Cr)</t>
  </si>
  <si>
    <t xml:space="preserve">FY25 (₹ Cr)</t>
  </si>
  <si>
    <t xml:space="preserve">FY26 (₹ Cr)</t>
  </si>
  <si>
    <t xml:space="preserve">FY24 mix %</t>
  </si>
  <si>
    <t xml:space="preserve">FY25 mix %</t>
  </si>
  <si>
    <t xml:space="preserve">FY26 mix %</t>
  </si>
  <si>
    <t xml:space="preserve">YoY FY25</t>
  </si>
  <si>
    <t xml:space="preserve">YoY FY26</t>
  </si>
  <si>
    <t xml:space="preserve">FY26 % of revenue</t>
  </si>
  <si>
    <t xml:space="preserve">Performance Marketing – D2C Website</t>
  </si>
  <si>
    <t xml:space="preserve">Meta (Facebook/Instagram) &amp; Google ads driving traffic to dailyobjects.com</t>
  </si>
  <si>
    <t xml:space="preserve">Marketplace Ads</t>
  </si>
  <si>
    <t xml:space="preserve">Sponsored ads on Amazon, Myntra, Flipkart, Nykaa</t>
  </si>
  <si>
    <t xml:space="preserve">Quick Commerce Ads</t>
  </si>
  <si>
    <t xml:space="preserve">Ads on Blinkit, Zepto, Swiggy Instamart</t>
  </si>
  <si>
    <t xml:space="preserve">Affiliate &amp; Ad Networks</t>
  </si>
  <si>
    <t xml:space="preserve">Affiliate &amp; CPS/CPA networks (Admitad, vCommission etc.)</t>
  </si>
  <si>
    <t xml:space="preserve">Other Digital Media</t>
  </si>
  <si>
    <t xml:space="preserve">Twitter/X, LinkedIn, Microsoft/Bing, co-marketing &amp; other paid placements</t>
  </si>
  <si>
    <t xml:space="preserve">CRM, Retention &amp; SMS</t>
  </si>
  <si>
    <t xml:space="preserve">MoEngage, Wigzo, GupShup, SMS charges</t>
  </si>
  <si>
    <t xml:space="preserve">Brand, Content &amp; Production</t>
  </si>
  <si>
    <t xml:space="preserve">Brand campaigns, ad films, shoots, models, videography, creative &amp; PR agencies</t>
  </si>
  <si>
    <t xml:space="preserve">Influencer &amp; Creator Marketing</t>
  </si>
  <si>
    <t xml:space="preserve">Influencer payouts &amp; creator collaborations</t>
  </si>
  <si>
    <t xml:space="preserve">Sampling, Freebies &amp; Gifting</t>
  </si>
  <si>
    <t xml:space="preserve">Freebies, product sampling &amp; gifting</t>
  </si>
  <si>
    <t xml:space="preserve">Marketing Tools &amp; Subscriptions</t>
  </si>
  <si>
    <t xml:space="preserve">Design / marketing software subscriptions</t>
  </si>
  <si>
    <t xml:space="preserve">Misc. / Unallocated</t>
  </si>
  <si>
    <t xml:space="preserve">Provisions, unmapped vendor entries, entertainment, unreconciled difference</t>
  </si>
  <si>
    <t xml:space="preserve">Total marketing spend</t>
  </si>
  <si>
    <t xml:space="preserve">Total revenue (as per IS)</t>
  </si>
  <si>
    <t xml:space="preserve">Cached from finance model IS!C5/D5/F5 (linked workbook)</t>
  </si>
  <si>
    <t xml:space="preserve">Marketing spend % of revenue</t>
  </si>
  <si>
    <t xml:space="preserve">Roll-up view</t>
  </si>
  <si>
    <t xml:space="preserve">Group</t>
  </si>
  <si>
    <t xml:space="preserve">Buckets included</t>
  </si>
  <si>
    <t xml:space="preserve">Performance / Paid Media</t>
  </si>
  <si>
    <t xml:space="preserve">Performance Marketing – D2C Website, Marketplace Ads, Quick Commerce Ads, Affiliate &amp; Ad Networks, Other Digital Media</t>
  </si>
  <si>
    <t xml:space="preserve">Brand &amp; Content</t>
  </si>
  <si>
    <t xml:space="preserve">Brand, Content &amp; Production, Influencer &amp; Creator Marketing, Sampling, Freebies &amp; Gifting</t>
  </si>
  <si>
    <t xml:space="preserve">CRM, Tools &amp; Other</t>
  </si>
  <si>
    <t xml:space="preserve">CRM, Retention &amp; SMS, Marketing Tools &amp; Subscriptions, Misc. / Unallocated</t>
  </si>
  <si>
    <t xml:space="preserve">Total</t>
  </si>
  <si>
    <t xml:space="preserve">Notes</t>
  </si>
  <si>
    <t xml:space="preserve">1. FY24–FY26 are actuals from the finance advertisement expense schedule (Management information). FY27 budget is not part of this data – see "FY27 Budget" tab.</t>
  </si>
  <si>
    <t xml:space="preserve">2. FY26 total here (41.55 Cr) ties to the finance schedule; finance notes a 0.03 Cr difference vs. the audited FS figure (41.58 Cr).</t>
  </si>
  <si>
    <t xml:space="preserve">3. "Misc. / Unallocated" in FY26 includes a 0.38 Cr unreconciled difference and a -0.21 Cr reversal on unidentified vendor entries (per finance).</t>
  </si>
  <si>
    <t xml:space="preserve">4. Mapping of smaller vendors is inferred from vendor name – see confidence column in "Line Item Mapping". Change the bucket there and this summary updates.</t>
  </si>
  <si>
    <t xml:space="preserve">FY26 Marketing Spend – Bucket &gt; Activity breakdown</t>
  </si>
  <si>
    <t xml:space="preserve">INR in crores (converted from finance sheet INR millions ÷ 10) · Line items with zero FY26 spend omitted</t>
  </si>
  <si>
    <t xml:space="preserve">Bucket / activity</t>
  </si>
  <si>
    <t xml:space="preserve">Vendor / line item</t>
  </si>
  <si>
    <t xml:space="preserve">% of bucket</t>
  </si>
  <si>
    <t xml:space="preserve">% of total</t>
  </si>
  <si>
    <t xml:space="preserve">   Meta ads</t>
  </si>
  <si>
    <t xml:space="preserve">Facebook</t>
  </si>
  <si>
    <t xml:space="preserve">   Google ads</t>
  </si>
  <si>
    <t xml:space="preserve">Google</t>
  </si>
  <si>
    <t xml:space="preserve">   Amazon sponsored ads</t>
  </si>
  <si>
    <t xml:space="preserve">Amazon</t>
  </si>
  <si>
    <t xml:space="preserve">   Myntra ads</t>
  </si>
  <si>
    <t xml:space="preserve">Myntra Designs Pvt. Ltd.</t>
  </si>
  <si>
    <t xml:space="preserve">   Flipkart ads</t>
  </si>
  <si>
    <t xml:space="preserve">Flipkart</t>
  </si>
  <si>
    <t xml:space="preserve">   Nykaa ads</t>
  </si>
  <si>
    <t xml:space="preserve">Nykaa</t>
  </si>
  <si>
    <t xml:space="preserve">   Blinkit ads</t>
  </si>
  <si>
    <t xml:space="preserve">Blink Commerce Pvt. Ltd.</t>
  </si>
  <si>
    <t xml:space="preserve">   Zepto ads</t>
  </si>
  <si>
    <t xml:space="preserve">Zepto Limited</t>
  </si>
  <si>
    <t xml:space="preserve">   Swiggy Instamart ads</t>
  </si>
  <si>
    <t xml:space="preserve">Swiggy Limited</t>
  </si>
  <si>
    <t xml:space="preserve">   Affiliate network</t>
  </si>
  <si>
    <t xml:space="preserve">Admitad Media Private Limited</t>
  </si>
  <si>
    <t xml:space="preserve">   Ad-tech / performance vendor</t>
  </si>
  <si>
    <t xml:space="preserve">INSPIRELABS SOLUTIONS PVT LTD</t>
  </si>
  <si>
    <t xml:space="preserve">   Digital ad vendor</t>
  </si>
  <si>
    <t xml:space="preserve">Pixel Viilage E-Sources Private Limited</t>
  </si>
  <si>
    <t xml:space="preserve">   Digital media vendor</t>
  </si>
  <si>
    <t xml:space="preserve">Edel Tech</t>
  </si>
  <si>
    <t xml:space="preserve">   SMS charges</t>
  </si>
  <si>
    <t xml:space="preserve">SMS charges</t>
  </si>
  <si>
    <t xml:space="preserve">   MoEngage – CRM / engagement platform</t>
  </si>
  <si>
    <t xml:space="preserve">MoEngage India Private Limited</t>
  </si>
  <si>
    <t xml:space="preserve">   Branding expenses</t>
  </si>
  <si>
    <t xml:space="preserve">Branding expenses</t>
  </si>
  <si>
    <t xml:space="preserve">   Model fees for shoots</t>
  </si>
  <si>
    <t xml:space="preserve">Modeling expenses</t>
  </si>
  <si>
    <t xml:space="preserve">   Videography</t>
  </si>
  <si>
    <t xml:space="preserve">Videography expenses</t>
  </si>
  <si>
    <t xml:space="preserve">   Design / creative agency</t>
  </si>
  <si>
    <t xml:space="preserve">Ved Uttam Design</t>
  </si>
  <si>
    <t xml:space="preserve">   Creative / PR agency</t>
  </si>
  <si>
    <t xml:space="preserve">Bun Maska Communications</t>
  </si>
  <si>
    <t xml:space="preserve">   Influencer expenses</t>
  </si>
  <si>
    <t xml:space="preserve">Influencer expenses</t>
  </si>
  <si>
    <t xml:space="preserve">   Individual creator payout</t>
  </si>
  <si>
    <t xml:space="preserve">Yogesh</t>
  </si>
  <si>
    <t xml:space="preserve">Monty</t>
  </si>
  <si>
    <t xml:space="preserve">   Product sampling</t>
  </si>
  <si>
    <t xml:space="preserve">Sampling expenses</t>
  </si>
  <si>
    <t xml:space="preserve">   Subscription charges</t>
  </si>
  <si>
    <t xml:space="preserve">Subscription charges</t>
  </si>
  <si>
    <t xml:space="preserve">   Software / SaaS reseller</t>
  </si>
  <si>
    <t xml:space="preserve">CloudStuff Technology Private Limited</t>
  </si>
  <si>
    <t xml:space="preserve">   Tech / SaaS vendor</t>
  </si>
  <si>
    <t xml:space="preserve">Wittybyte Technologies Private Limited</t>
  </si>
  <si>
    <t xml:space="preserve">   SaaS tool</t>
  </si>
  <si>
    <t xml:space="preserve">Helium</t>
  </si>
  <si>
    <t xml:space="preserve">   Unreconciled difference (per finance)</t>
  </si>
  <si>
    <t xml:space="preserve">Unreconciled difference</t>
  </si>
  <si>
    <t xml:space="preserve">   Provision (year-end accrual)</t>
  </si>
  <si>
    <t xml:space="preserve">Provision</t>
  </si>
  <si>
    <t xml:space="preserve">   Payment gateway – likely promo/offer related</t>
  </si>
  <si>
    <t xml:space="preserve">Razorpay</t>
  </si>
  <si>
    <t xml:space="preserve">   Other marketing expenses</t>
  </si>
  <si>
    <t xml:space="preserve">Other marketing expenses</t>
  </si>
  <si>
    <t xml:space="preserve">   Vendor not identified in books</t>
  </si>
  <si>
    <t xml:space="preserve">NA</t>
  </si>
  <si>
    <t xml:space="preserve">Total FY26</t>
  </si>
  <si>
    <t xml:space="preserve">Note: activity for vendors marked Low/Medium confidence is inferred from vendor name.</t>
  </si>
  <si>
    <t xml:space="preserve">Quarterly Ad Spend – Platform-level (FY24–FY26)</t>
  </si>
  <si>
    <t xml:space="preserve">INR in crores (converted from finance sheet INR millions ÷ 10) · Quarterly split available from finance only for ad platforms &amp; vendor lines (not for SMS, branding, influencer, freebies, others)</t>
  </si>
  <si>
    <t xml:space="preserve">Platform</t>
  </si>
  <si>
    <t xml:space="preserve">Q1FY24</t>
  </si>
  <si>
    <t xml:space="preserve">Q2FY24</t>
  </si>
  <si>
    <t xml:space="preserve">Q3FY24</t>
  </si>
  <si>
    <t xml:space="preserve">Q4FY24</t>
  </si>
  <si>
    <t xml:space="preserve">Q1FY25</t>
  </si>
  <si>
    <t xml:space="preserve">Q2FY25</t>
  </si>
  <si>
    <t xml:space="preserve">Q3FY25</t>
  </si>
  <si>
    <t xml:space="preserve">Q4FY25</t>
  </si>
  <si>
    <t xml:space="preserve">Q1FY26</t>
  </si>
  <si>
    <t xml:space="preserve">Q2FY26</t>
  </si>
  <si>
    <t xml:space="preserve">Q3FY26</t>
  </si>
  <si>
    <t xml:space="preserve">Q4FY26</t>
  </si>
  <si>
    <t xml:space="preserve">FY27 Marketing Budget by Bucket</t>
  </si>
  <si>
    <t xml:space="preserve">INR in crores (converted from finance sheet INR millions ÷ 10) · Yellow cells to be filled by marketing (FY27 budget is not in the finance data shared)</t>
  </si>
  <si>
    <t xml:space="preserve">FY26 actual (₹ Cr)</t>
  </si>
  <si>
    <t xml:space="preserve">FY27 budget (₹ Cr)</t>
  </si>
  <si>
    <t xml:space="preserve">Growth vs FY26</t>
  </si>
  <si>
    <t xml:space="preserve">FY27 mix %</t>
  </si>
  <si>
    <t xml:space="preserve">Planned key activities</t>
  </si>
  <si>
    <t xml:space="preserve">Example: Performance Marketing – D2C Website → FY27 budget 30.00, activities "Meta prospecting + retargeting, Google Search/PMax/Shopping".</t>
  </si>
  <si>
    <t xml:space="preserve">Advertisement expense – line-item mapping to marketing buckets</t>
  </si>
  <si>
    <t xml:space="preserve">INR in crores (converted from finance sheet INR millions ÷ 10) · Actuals · Source: Finance "Advertisement" sheet (Management information)</t>
  </si>
  <si>
    <t xml:space="preserve">#</t>
  </si>
  <si>
    <t xml:space="preserve">Vendor / line item (as per finance)</t>
  </si>
  <si>
    <t xml:space="preserve">Activity</t>
  </si>
  <si>
    <t xml:space="preserve">Mapping confidence</t>
  </si>
  <si>
    <t xml:space="preserve">Meta ads</t>
  </si>
  <si>
    <t xml:space="preserve">High</t>
  </si>
  <si>
    <t xml:space="preserve">Google ads</t>
  </si>
  <si>
    <t xml:space="preserve">Amazon sponsored ads</t>
  </si>
  <si>
    <t xml:space="preserve">Myntra ads</t>
  </si>
  <si>
    <t xml:space="preserve">Flipkart ads</t>
  </si>
  <si>
    <t xml:space="preserve">Nykaa ads</t>
  </si>
  <si>
    <t xml:space="preserve">Blinkit ads</t>
  </si>
  <si>
    <t xml:space="preserve">Zepto ads</t>
  </si>
  <si>
    <t xml:space="preserve">Swiggy Instamart ads</t>
  </si>
  <si>
    <t xml:space="preserve">Affiliate network</t>
  </si>
  <si>
    <t xml:space="preserve">Digital ad vendor</t>
  </si>
  <si>
    <t xml:space="preserve">Low</t>
  </si>
  <si>
    <t xml:space="preserve">Ad-tech / performance vendor</t>
  </si>
  <si>
    <t xml:space="preserve">Adneto Technology Private Limited</t>
  </si>
  <si>
    <t xml:space="preserve">Ad network</t>
  </si>
  <si>
    <t xml:space="preserve">Medium</t>
  </si>
  <si>
    <t xml:space="preserve">Affnads Solutions Private Limited</t>
  </si>
  <si>
    <t xml:space="preserve">Amb Softech Solutions Private Limited</t>
  </si>
  <si>
    <t xml:space="preserve">Ad-tech vendor</t>
  </si>
  <si>
    <t xml:space="preserve">Clickonilk Digital Media Private Limited</t>
  </si>
  <si>
    <t xml:space="preserve">Digital ad network</t>
  </si>
  <si>
    <t xml:space="preserve">Omg Network India Pvt Ltd</t>
  </si>
  <si>
    <t xml:space="preserve">Affiliate / ad network</t>
  </si>
  <si>
    <t xml:space="preserve">U2OPIA MOBILE PRIVATE LIMITED</t>
  </si>
  <si>
    <t xml:space="preserve">Mobile ad network</t>
  </si>
  <si>
    <t xml:space="preserve">Vcommission Media Private Limited</t>
  </si>
  <si>
    <t xml:space="preserve">Affiliate network (vCommission)</t>
  </si>
  <si>
    <t xml:space="preserve">Digital media vendor</t>
  </si>
  <si>
    <t xml:space="preserve">Insperon Business Services Private Limited</t>
  </si>
  <si>
    <t xml:space="preserve">Business services vendor</t>
  </si>
  <si>
    <t xml:space="preserve">Jaypore E Commerce Private Limited</t>
  </si>
  <si>
    <t xml:space="preserve">Co-marketing / collaboration</t>
  </si>
  <si>
    <t xml:space="preserve">LINKED.IN</t>
  </si>
  <si>
    <t xml:space="preserve">LinkedIn ads</t>
  </si>
  <si>
    <t xml:space="preserve">Make My Trip(India) Pvt Ltd</t>
  </si>
  <si>
    <t xml:space="preserve">Co-marketing / brand partnership</t>
  </si>
  <si>
    <t xml:space="preserve">Microsoft Corporation (India) Pvt Ltd</t>
  </si>
  <si>
    <t xml:space="preserve">Microsoft / Bing ads</t>
  </si>
  <si>
    <t xml:space="preserve">MULTIPL FINTECH SOLUTIONS PRIVATE LIMITED</t>
  </si>
  <si>
    <t xml:space="preserve">Co-marketing / partnership</t>
  </si>
  <si>
    <t xml:space="preserve">Nexxbase Marketing Private Limited- B2B</t>
  </si>
  <si>
    <t xml:space="preserve">B2B marketing vendor</t>
  </si>
  <si>
    <t xml:space="preserve">Paytm E Commerce Pvt Ltd</t>
  </si>
  <si>
    <t xml:space="preserve">Paytm ads / co-marketing</t>
  </si>
  <si>
    <t xml:space="preserve">THINK9 RETAIL PRIVATE LIMITED</t>
  </si>
  <si>
    <t xml:space="preserve">Retail / co-marketing vendor</t>
  </si>
  <si>
    <t xml:space="preserve">Twitter Global LLC</t>
  </si>
  <si>
    <t xml:space="preserve">Twitter / X ads</t>
  </si>
  <si>
    <t xml:space="preserve">Twitter International Company</t>
  </si>
  <si>
    <t xml:space="preserve">Bigfoot Retail Solutions Pvt.Ltd - Wigzo</t>
  </si>
  <si>
    <t xml:space="preserve">Wigzo – CRM / marketing automation</t>
  </si>
  <si>
    <t xml:space="preserve">GupShup Technology India Pvt Ltd</t>
  </si>
  <si>
    <t xml:space="preserve">GupShup – WhatsApp / SMS messaging</t>
  </si>
  <si>
    <t xml:space="preserve">MoEngage – CRM / engagement platform</t>
  </si>
  <si>
    <t xml:space="preserve">Design / creative agency</t>
  </si>
  <si>
    <t xml:space="preserve">Creative / PR agency</t>
  </si>
  <si>
    <t xml:space="preserve">Hive Films Private Limited</t>
  </si>
  <si>
    <t xml:space="preserve">Ad film production</t>
  </si>
  <si>
    <t xml:space="preserve">Khanna Sounds</t>
  </si>
  <si>
    <t xml:space="preserve">Sound / audio production</t>
  </si>
  <si>
    <t xml:space="preserve">LEFT HANDER</t>
  </si>
  <si>
    <t xml:space="preserve">Creative agency</t>
  </si>
  <si>
    <t xml:space="preserve">Mirza events</t>
  </si>
  <si>
    <t xml:space="preserve">Events</t>
  </si>
  <si>
    <t xml:space="preserve">Propaganda Seventeen Studio Pvt. Ltd</t>
  </si>
  <si>
    <t xml:space="preserve">Production studio</t>
  </si>
  <si>
    <t xml:space="preserve">SMS Films</t>
  </si>
  <si>
    <t xml:space="preserve">SQUADRON 14</t>
  </si>
  <si>
    <t xml:space="preserve">Production / creative agency</t>
  </si>
  <si>
    <t xml:space="preserve">Model fees for shoots</t>
  </si>
  <si>
    <t xml:space="preserve">Videography</t>
  </si>
  <si>
    <t xml:space="preserve">Individual creator payout</t>
  </si>
  <si>
    <t xml:space="preserve">Anubhav Kashyap</t>
  </si>
  <si>
    <t xml:space="preserve">DOHNRAJ</t>
  </si>
  <si>
    <t xml:space="preserve">EXPLURGER PRIVATE LIMITED</t>
  </si>
  <si>
    <t xml:space="preserve">Creator / social platform promotion</t>
  </si>
  <si>
    <t xml:space="preserve">FINNET MEDIA PRIVATE LIMITED</t>
  </si>
  <si>
    <t xml:space="preserve">Digital content publisher</t>
  </si>
  <si>
    <t xml:space="preserve">IGeeks Media Private Limited</t>
  </si>
  <si>
    <t xml:space="preserve">Tech publisher / YouTube creator</t>
  </si>
  <si>
    <t xml:space="preserve">Lalmawizuala</t>
  </si>
  <si>
    <t xml:space="preserve">PRASAD TECH IN TELUGU</t>
  </si>
  <si>
    <t xml:space="preserve">Tech YouTube creator</t>
  </si>
  <si>
    <t xml:space="preserve">Sahil Keshi</t>
  </si>
  <si>
    <t xml:space="preserve">VIKAS MAURYA</t>
  </si>
  <si>
    <t xml:space="preserve">Freebies</t>
  </si>
  <si>
    <t xml:space="preserve">Product sampling</t>
  </si>
  <si>
    <t xml:space="preserve">Software / SaaS reseller</t>
  </si>
  <si>
    <t xml:space="preserve">Tech / SaaS vendor</t>
  </si>
  <si>
    <t xml:space="preserve">SaaS tool</t>
  </si>
  <si>
    <t xml:space="preserve">Figma Inc</t>
  </si>
  <si>
    <t xml:space="preserve">Figma – design software</t>
  </si>
  <si>
    <t xml:space="preserve">KINOBEO SOFTWARE PRIVATE LIMITED</t>
  </si>
  <si>
    <t xml:space="preserve">Software vendor</t>
  </si>
  <si>
    <t xml:space="preserve">Provision (year-end accrual)</t>
  </si>
  <si>
    <t xml:space="preserve">Payment gateway – likely promo/offer related</t>
  </si>
  <si>
    <t xml:space="preserve">Vendor not identified in books</t>
  </si>
  <si>
    <t xml:space="preserve">Entertainment expenses</t>
  </si>
  <si>
    <t xml:space="preserve">Unreconciled difference (per finance)</t>
  </si>
  <si>
    <t xml:space="preserve">Per finance sheet total</t>
  </si>
  <si>
    <t xml:space="preserve">Check (should be 0)</t>
  </si>
  <si>
    <t xml:space="preserve">Blue = values copied from finance sheet. Orange-shaded confidence = vendor nature not obvious from name; please confirm with finance/marketing and change the bucket in column C if needed – all summaries update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</si>
</sst>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40404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C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8"/>
    <col collapsed="false" customWidth="true" hidden="false" outlineLevel="0" max="5" min="3" style="0" width="11"/>
    <col collapsed="false" customWidth="true" hidden="false" outlineLevel="0" max="10" min="6" style="0" width="10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s">
        <v>13</v>
      </c>
      <c r="B5" s="5" t="s">
        <v>14</v>
      </c>
      <c r="C5" s="6" t="n">
        <f aca="false">SUMIFS('Line Item Mapping'!$F$5:$F$77,'Line Item Mapping'!$C$5:$C$77,$A5)</f>
        <v>12.998116253</v>
      </c>
      <c r="D5" s="6" t="n">
        <f aca="false">SUMIFS('Line Item Mapping'!$G$5:$G$77,'Line Item Mapping'!$C$5:$C$77,$A5)</f>
        <v>17.753210151</v>
      </c>
      <c r="E5" s="6" t="n">
        <f aca="false">SUMIFS('Line Item Mapping'!$H$5:$H$77,'Line Item Mapping'!$C$5:$C$77,$A5)</f>
        <v>24.83986606</v>
      </c>
      <c r="F5" s="7" t="n">
        <f aca="false">IF(C$16=0,0,C5/C$16)</f>
        <v>0.705133244372013</v>
      </c>
      <c r="G5" s="7" t="n">
        <f aca="false">IF(D$16=0,0,D5/D$16)</f>
        <v>0.683119745432697</v>
      </c>
      <c r="H5" s="7" t="n">
        <f aca="false">IF(E$16=0,0,E5/E$16)</f>
        <v>0.597797839384874</v>
      </c>
      <c r="I5" s="7" t="n">
        <f aca="false">IF(C5=0,"n.m.",D5/C5-1)</f>
        <v>0.365829463704213</v>
      </c>
      <c r="J5" s="7" t="n">
        <f aca="false">IF(D5=0,"n.m.",E5/D5-1)</f>
        <v>0.399176027812684</v>
      </c>
      <c r="K5" s="7" t="n">
        <f aca="false">IF($E$18=0,0,E5/$E$18)</f>
        <v>0.12074229857885</v>
      </c>
    </row>
    <row r="6" customFormat="false" ht="27.75" hidden="false" customHeight="true" outlineLevel="0" collapsed="false">
      <c r="A6" s="4" t="s">
        <v>15</v>
      </c>
      <c r="B6" s="5" t="s">
        <v>16</v>
      </c>
      <c r="C6" s="6" t="n">
        <f aca="false">SUMIFS('Line Item Mapping'!$F$5:$F$77,'Line Item Mapping'!$C$5:$C$77,$A6)</f>
        <v>1.71652215</v>
      </c>
      <c r="D6" s="6" t="n">
        <f aca="false">SUMIFS('Line Item Mapping'!$G$5:$G$77,'Line Item Mapping'!$C$5:$C$77,$A6)</f>
        <v>3.812716219</v>
      </c>
      <c r="E6" s="6" t="n">
        <f aca="false">SUMIFS('Line Item Mapping'!$H$5:$H$77,'Line Item Mapping'!$C$5:$C$77,$A6)</f>
        <v>12.045059929</v>
      </c>
      <c r="F6" s="7" t="n">
        <f aca="false">IF(C$16=0,0,C6/C$16)</f>
        <v>0.0931194035433069</v>
      </c>
      <c r="G6" s="7" t="n">
        <f aca="false">IF(D$16=0,0,D6/D$16)</f>
        <v>0.146708212812075</v>
      </c>
      <c r="H6" s="7" t="n">
        <f aca="false">IF(E$16=0,0,E6/E$16)</f>
        <v>0.289877199153365</v>
      </c>
      <c r="I6" s="7" t="n">
        <f aca="false">IF(C6=0,"n.m.",D6/C6-1)</f>
        <v>1.22118672864198</v>
      </c>
      <c r="J6" s="7" t="n">
        <f aca="false">IF(D6=0,"n.m.",E6/D6-1)</f>
        <v>2.15918081418585</v>
      </c>
      <c r="K6" s="7" t="n">
        <f aca="false">IF($E$18=0,0,E6/$E$18)</f>
        <v>0.0585489558935031</v>
      </c>
    </row>
    <row r="7" customFormat="false" ht="27.75" hidden="false" customHeight="true" outlineLevel="0" collapsed="false">
      <c r="A7" s="4" t="s">
        <v>17</v>
      </c>
      <c r="B7" s="5" t="s">
        <v>18</v>
      </c>
      <c r="C7" s="6" t="n">
        <f aca="false">SUMIFS('Line Item Mapping'!$F$5:$F$77,'Line Item Mapping'!$C$5:$C$77,$A7)</f>
        <v>0</v>
      </c>
      <c r="D7" s="6" t="n">
        <f aca="false">SUMIFS('Line Item Mapping'!$G$5:$G$77,'Line Item Mapping'!$C$5:$C$77,$A7)</f>
        <v>0.215</v>
      </c>
      <c r="E7" s="6" t="n">
        <f aca="false">SUMIFS('Line Item Mapping'!$H$5:$H$77,'Line Item Mapping'!$C$5:$C$77,$A7)</f>
        <v>0.85448946</v>
      </c>
      <c r="F7" s="7" t="n">
        <f aca="false">IF(C$16=0,0,C7/C$16)</f>
        <v>0</v>
      </c>
      <c r="G7" s="7" t="n">
        <f aca="false">IF(D$16=0,0,D7/D$16)</f>
        <v>0.00827291199838339</v>
      </c>
      <c r="H7" s="7" t="n">
        <f aca="false">IF(E$16=0,0,E7/E$16)</f>
        <v>0.0205641991680348</v>
      </c>
      <c r="I7" s="7" t="str">
        <f aca="false">IF(C7=0,"n.m.",D7/C7-1)</f>
        <v>n.m.</v>
      </c>
      <c r="J7" s="7" t="n">
        <f aca="false">IF(D7=0,"n.m.",E7/D7-1)</f>
        <v>2.97436958139535</v>
      </c>
      <c r="K7" s="7" t="n">
        <f aca="false">IF($E$18=0,0,E7/$E$18)</f>
        <v>0.00415352567773872</v>
      </c>
    </row>
    <row r="8" customFormat="false" ht="27.75" hidden="false" customHeight="true" outlineLevel="0" collapsed="false">
      <c r="A8" s="4" t="s">
        <v>19</v>
      </c>
      <c r="B8" s="5" t="s">
        <v>20</v>
      </c>
      <c r="C8" s="6" t="n">
        <f aca="false">SUMIFS('Line Item Mapping'!$F$5:$F$77,'Line Item Mapping'!$C$5:$C$77,$A8)</f>
        <v>1.139013377</v>
      </c>
      <c r="D8" s="6" t="n">
        <f aca="false">SUMIFS('Line Item Mapping'!$G$5:$G$77,'Line Item Mapping'!$C$5:$C$77,$A8)</f>
        <v>0.797322871</v>
      </c>
      <c r="E8" s="6" t="n">
        <f aca="false">SUMIFS('Line Item Mapping'!$H$5:$H$77,'Line Item Mapping'!$C$5:$C$77,$A8)</f>
        <v>0.818497047</v>
      </c>
      <c r="F8" s="7" t="n">
        <f aca="false">IF(C$16=0,0,C8/C$16)</f>
        <v>0.0617901996161761</v>
      </c>
      <c r="G8" s="7" t="n">
        <f aca="false">IF(D$16=0,0,D8/D$16)</f>
        <v>0.0306799160282856</v>
      </c>
      <c r="H8" s="7" t="n">
        <f aca="false">IF(E$16=0,0,E8/E$16)</f>
        <v>0.0196980034053976</v>
      </c>
      <c r="I8" s="7" t="n">
        <f aca="false">IF(C8=0,"n.m.",D8/C8-1)</f>
        <v>-0.29998814140354</v>
      </c>
      <c r="J8" s="7" t="n">
        <f aca="false">IF(D8=0,"n.m.",E8/D8-1)</f>
        <v>0.0265565892690915</v>
      </c>
      <c r="K8" s="7" t="n">
        <f aca="false">IF($E$18=0,0,E8/$E$18)</f>
        <v>0.00397857277475116</v>
      </c>
    </row>
    <row r="9" customFormat="false" ht="27.75" hidden="false" customHeight="true" outlineLevel="0" collapsed="false">
      <c r="A9" s="4" t="s">
        <v>21</v>
      </c>
      <c r="B9" s="5" t="s">
        <v>22</v>
      </c>
      <c r="C9" s="6" t="n">
        <f aca="false">SUMIFS('Line Item Mapping'!$F$5:$F$77,'Line Item Mapping'!$C$5:$C$77,$A9)</f>
        <v>0.121511931</v>
      </c>
      <c r="D9" s="6" t="n">
        <f aca="false">SUMIFS('Line Item Mapping'!$G$5:$G$77,'Line Item Mapping'!$C$5:$C$77,$A9)</f>
        <v>0.10658553</v>
      </c>
      <c r="E9" s="6" t="n">
        <f aca="false">SUMIFS('Line Item Mapping'!$H$5:$H$77,'Line Item Mapping'!$C$5:$C$77,$A9)</f>
        <v>0.02</v>
      </c>
      <c r="F9" s="7" t="n">
        <f aca="false">IF(C$16=0,0,C9/C$16)</f>
        <v>0.00659188612166494</v>
      </c>
      <c r="G9" s="7" t="n">
        <f aca="false">IF(D$16=0,0,D9/D$16)</f>
        <v>0.00410126841856304</v>
      </c>
      <c r="H9" s="7" t="n">
        <f aca="false">IF(E$16=0,0,E9/E$16)</f>
        <v>0.000481321306597153</v>
      </c>
      <c r="I9" s="7" t="n">
        <f aca="false">IF(C9=0,"n.m.",D9/C9-1)</f>
        <v>-0.122838974553042</v>
      </c>
      <c r="J9" s="7" t="n">
        <f aca="false">IF(D9=0,"n.m.",E9/D9-1)</f>
        <v>-0.812357268383429</v>
      </c>
      <c r="K9" s="7" t="n">
        <f aca="false">IF($E$18=0,0,E9/$E$18)</f>
        <v>9.72165456022997E-005</v>
      </c>
    </row>
    <row r="10" customFormat="false" ht="27.75" hidden="false" customHeight="true" outlineLevel="0" collapsed="false">
      <c r="A10" s="4" t="s">
        <v>23</v>
      </c>
      <c r="B10" s="5" t="s">
        <v>24</v>
      </c>
      <c r="C10" s="6" t="n">
        <f aca="false">SUMIFS('Line Item Mapping'!$F$5:$F$77,'Line Item Mapping'!$C$5:$C$77,$A10)</f>
        <v>0.314826724</v>
      </c>
      <c r="D10" s="6" t="n">
        <f aca="false">SUMIFS('Line Item Mapping'!$G$5:$G$77,'Line Item Mapping'!$C$5:$C$77,$A10)</f>
        <v>0.398518829</v>
      </c>
      <c r="E10" s="6" t="n">
        <f aca="false">SUMIFS('Line Item Mapping'!$H$5:$H$77,'Line Item Mapping'!$C$5:$C$77,$A10)</f>
        <v>1.116663002</v>
      </c>
      <c r="F10" s="7" t="n">
        <f aca="false">IF(C$16=0,0,C10/C$16)</f>
        <v>0.0170789970629702</v>
      </c>
      <c r="G10" s="7" t="n">
        <f aca="false">IF(D$16=0,0,D10/D$16)</f>
        <v>0.0153344707070502</v>
      </c>
      <c r="H10" s="7" t="n">
        <f aca="false">IF(E$16=0,0,E10/E$16)</f>
        <v>0.026873684757567</v>
      </c>
      <c r="I10" s="7" t="n">
        <f aca="false">IF(C10=0,"n.m.",D10/C10-1)</f>
        <v>0.265835453663711</v>
      </c>
      <c r="J10" s="7" t="n">
        <f aca="false">IF(D10=0,"n.m.",E10/D10-1)</f>
        <v>1.80203323090664</v>
      </c>
      <c r="K10" s="7" t="n">
        <f aca="false">IF($E$18=0,0,E10/$E$18)</f>
        <v>0.00542790598281669</v>
      </c>
    </row>
    <row r="11" customFormat="false" ht="27.75" hidden="false" customHeight="true" outlineLevel="0" collapsed="false">
      <c r="A11" s="4" t="s">
        <v>25</v>
      </c>
      <c r="B11" s="5" t="s">
        <v>26</v>
      </c>
      <c r="C11" s="6" t="n">
        <f aca="false">SUMIFS('Line Item Mapping'!$F$5:$F$77,'Line Item Mapping'!$C$5:$C$77,$A11)</f>
        <v>0.0763441</v>
      </c>
      <c r="D11" s="6" t="n">
        <f aca="false">SUMIFS('Line Item Mapping'!$G$5:$G$77,'Line Item Mapping'!$C$5:$C$77,$A11)</f>
        <v>1.5464863</v>
      </c>
      <c r="E11" s="6" t="n">
        <f aca="false">SUMIFS('Line Item Mapping'!$H$5:$H$77,'Line Item Mapping'!$C$5:$C$77,$A11)</f>
        <v>1.077239666</v>
      </c>
      <c r="F11" s="7" t="n">
        <f aca="false">IF(C$16=0,0,C11/C$16)</f>
        <v>0.00414158189339449</v>
      </c>
      <c r="G11" s="7" t="n">
        <f aca="false">IF(D$16=0,0,D11/D$16)</f>
        <v>0.0595067212400258</v>
      </c>
      <c r="H11" s="7" t="n">
        <f aca="false">IF(E$16=0,0,E11/E$16)</f>
        <v>0.0259249201778701</v>
      </c>
      <c r="I11" s="7" t="n">
        <f aca="false">IF(C11=0,"n.m.",D11/C11-1)</f>
        <v>19.2567886712922</v>
      </c>
      <c r="J11" s="7" t="n">
        <f aca="false">IF(D11=0,"n.m.",E11/D11-1)</f>
        <v>-0.303427604887285</v>
      </c>
      <c r="K11" s="7" t="n">
        <f aca="false">IF($E$18=0,0,E11/$E$18)</f>
        <v>0.00523627595571476</v>
      </c>
    </row>
    <row r="12" customFormat="false" ht="27.75" hidden="false" customHeight="true" outlineLevel="0" collapsed="false">
      <c r="A12" s="4" t="s">
        <v>27</v>
      </c>
      <c r="B12" s="5" t="s">
        <v>28</v>
      </c>
      <c r="C12" s="6" t="n">
        <f aca="false">SUMIFS('Line Item Mapping'!$F$5:$F$77,'Line Item Mapping'!$C$5:$C$77,$A12)</f>
        <v>0.038568508</v>
      </c>
      <c r="D12" s="6" t="n">
        <f aca="false">SUMIFS('Line Item Mapping'!$G$5:$G$77,'Line Item Mapping'!$C$5:$C$77,$A12)</f>
        <v>0.098795763</v>
      </c>
      <c r="E12" s="6" t="n">
        <f aca="false">SUMIFS('Line Item Mapping'!$H$5:$H$77,'Line Item Mapping'!$C$5:$C$77,$A12)</f>
        <v>0.3794468</v>
      </c>
      <c r="F12" s="7" t="n">
        <f aca="false">IF(C$16=0,0,C12/C$16)</f>
        <v>0.00209229834902816</v>
      </c>
      <c r="G12" s="7" t="n">
        <f aca="false">IF(D$16=0,0,D12/D$16)</f>
        <v>0.00380152861912624</v>
      </c>
      <c r="H12" s="7" t="n">
        <f aca="false">IF(E$16=0,0,E12/E$16)</f>
        <v>0.00913179147800544</v>
      </c>
      <c r="I12" s="7" t="n">
        <f aca="false">IF(C12=0,"n.m.",D12/C12-1)</f>
        <v>1.56156559128499</v>
      </c>
      <c r="J12" s="7" t="n">
        <f aca="false">IF(D12=0,"n.m.",E12/D12-1)</f>
        <v>2.84071936364316</v>
      </c>
      <c r="K12" s="7" t="n">
        <f aca="false">IF($E$18=0,0,E12/$E$18)</f>
        <v>0.00184442535679233</v>
      </c>
    </row>
    <row r="13" customFormat="false" ht="27.75" hidden="false" customHeight="true" outlineLevel="0" collapsed="false">
      <c r="A13" s="4" t="s">
        <v>29</v>
      </c>
      <c r="B13" s="5" t="s">
        <v>30</v>
      </c>
      <c r="C13" s="6" t="n">
        <f aca="false">SUMIFS('Line Item Mapping'!$F$5:$F$77,'Line Item Mapping'!$C$5:$C$77,$A13)</f>
        <v>1.7839522</v>
      </c>
      <c r="D13" s="6" t="n">
        <f aca="false">SUMIFS('Line Item Mapping'!$G$5:$G$77,'Line Item Mapping'!$C$5:$C$77,$A13)</f>
        <v>0.919406226</v>
      </c>
      <c r="E13" s="6" t="n">
        <f aca="false">SUMIFS('Line Item Mapping'!$H$5:$H$77,'Line Item Mapping'!$C$5:$C$77,$A13)</f>
        <v>0.137142119</v>
      </c>
      <c r="F13" s="7" t="n">
        <f aca="false">IF(C$16=0,0,C13/C$16)</f>
        <v>0.0967774082109981</v>
      </c>
      <c r="G13" s="7" t="n">
        <f aca="false">IF(D$16=0,0,D13/D$16)</f>
        <v>0.0353775199928549</v>
      </c>
      <c r="H13" s="7" t="n">
        <f aca="false">IF(E$16=0,0,E13/E$16)</f>
        <v>0.00330047119532911</v>
      </c>
      <c r="I13" s="7" t="n">
        <f aca="false">IF(C13=0,"n.m.",D13/C13-1)</f>
        <v>-0.484623956852656</v>
      </c>
      <c r="J13" s="7" t="n">
        <f aca="false">IF(D13=0,"n.m.",E13/D13-1)</f>
        <v>-0.850836208063703</v>
      </c>
      <c r="K13" s="7" t="n">
        <f aca="false">IF($E$18=0,0,E13/$E$18)</f>
        <v>0.000666624153287976</v>
      </c>
    </row>
    <row r="14" customFormat="false" ht="27.75" hidden="false" customHeight="true" outlineLevel="0" collapsed="false">
      <c r="A14" s="4" t="s">
        <v>31</v>
      </c>
      <c r="B14" s="5" t="s">
        <v>32</v>
      </c>
      <c r="C14" s="6" t="n">
        <f aca="false">SUMIFS('Line Item Mapping'!$F$5:$F$77,'Line Item Mapping'!$C$5:$C$77,$A14)</f>
        <v>0.01815665</v>
      </c>
      <c r="D14" s="6" t="n">
        <f aca="false">SUMIFS('Line Item Mapping'!$G$5:$G$77,'Line Item Mapping'!$C$5:$C$77,$A14)</f>
        <v>0.028092792</v>
      </c>
      <c r="E14" s="6" t="n">
        <f aca="false">SUMIFS('Line Item Mapping'!$H$5:$H$77,'Line Item Mapping'!$C$5:$C$77,$A14)</f>
        <v>0.030403944</v>
      </c>
      <c r="F14" s="7" t="n">
        <f aca="false">IF(C$16=0,0,C14/C$16)</f>
        <v>0.000984977920817732</v>
      </c>
      <c r="G14" s="7" t="n">
        <f aca="false">IF(D$16=0,0,D14/D$16)</f>
        <v>0.0010809730046739</v>
      </c>
      <c r="H14" s="7" t="n">
        <f aca="false">IF(E$16=0,0,E14/E$16)</f>
        <v>0.000731703302589334</v>
      </c>
      <c r="I14" s="7" t="n">
        <f aca="false">IF(C14=0,"n.m.",D14/C14-1)</f>
        <v>0.54724533435408</v>
      </c>
      <c r="J14" s="7" t="n">
        <f aca="false">IF(D14=0,"n.m.",E14/D14-1)</f>
        <v>0.0822685050314687</v>
      </c>
      <c r="K14" s="7" t="n">
        <f aca="false">IF($E$18=0,0,E14/$E$18)</f>
        <v>0.000147788320418288</v>
      </c>
    </row>
    <row r="15" customFormat="false" ht="27.75" hidden="false" customHeight="true" outlineLevel="0" collapsed="false">
      <c r="A15" s="4" t="s">
        <v>33</v>
      </c>
      <c r="B15" s="5" t="s">
        <v>34</v>
      </c>
      <c r="C15" s="6" t="n">
        <f aca="false">SUMIFS('Line Item Mapping'!$F$5:$F$77,'Line Item Mapping'!$C$5:$C$77,$A15)</f>
        <v>0.226548510999999</v>
      </c>
      <c r="D15" s="6" t="n">
        <f aca="false">SUMIFS('Line Item Mapping'!$G$5:$G$77,'Line Item Mapping'!$C$5:$C$77,$A15)</f>
        <v>0.312296</v>
      </c>
      <c r="E15" s="6" t="n">
        <f aca="false">SUMIFS('Line Item Mapping'!$H$5:$H$77,'Line Item Mapping'!$C$5:$C$77,$A15)</f>
        <v>0.233476748000011</v>
      </c>
      <c r="F15" s="7" t="n">
        <f aca="false">IF(C$16=0,0,C15/C$16)</f>
        <v>0.0122900029096299</v>
      </c>
      <c r="G15" s="7" t="n">
        <f aca="false">IF(D$16=0,0,D15/D$16)</f>
        <v>0.0120167317462658</v>
      </c>
      <c r="H15" s="7" t="n">
        <f aca="false">IF(E$16=0,0,E15/E$16)</f>
        <v>0.00561886667037099</v>
      </c>
      <c r="I15" s="7" t="n">
        <f aca="false">IF(C15=0,"n.m.",D15/C15-1)</f>
        <v>0.378495045593134</v>
      </c>
      <c r="J15" s="7" t="n">
        <f aca="false">IF(D15=0,"n.m.",E15/D15-1)</f>
        <v>-0.252386364218525</v>
      </c>
      <c r="K15" s="7" t="n">
        <f aca="false">IF($E$18=0,0,E15/$E$18)</f>
        <v>0.00113489014595099</v>
      </c>
    </row>
    <row r="16" customFormat="false" ht="15" hidden="false" customHeight="false" outlineLevel="0" collapsed="false">
      <c r="A16" s="8" t="s">
        <v>35</v>
      </c>
      <c r="B16" s="8"/>
      <c r="C16" s="9" t="n">
        <f aca="false">SUM(C5:C15)</f>
        <v>18.433560404</v>
      </c>
      <c r="D16" s="9" t="n">
        <f aca="false">SUM(D5:D15)</f>
        <v>25.988430681</v>
      </c>
      <c r="E16" s="9" t="n">
        <f aca="false">SUM(E5:E15)</f>
        <v>41.552284775</v>
      </c>
      <c r="F16" s="10" t="n">
        <f aca="false">SUM(F5:F15)</f>
        <v>1</v>
      </c>
      <c r="G16" s="10" t="n">
        <f aca="false">SUM(G5:G15)</f>
        <v>1</v>
      </c>
      <c r="H16" s="10" t="n">
        <f aca="false">SUM(H5:H15)</f>
        <v>1</v>
      </c>
      <c r="I16" s="10" t="n">
        <f aca="false">D16/C16-1</f>
        <v>0.409843248478499</v>
      </c>
      <c r="J16" s="10" t="n">
        <f aca="false">E16/D16-1</f>
        <v>0.59887625709461</v>
      </c>
      <c r="K16" s="10" t="n">
        <f aca="false">E16/$E$18</f>
        <v>0.201978479385427</v>
      </c>
    </row>
    <row r="18" customFormat="false" ht="15" hidden="false" customHeight="false" outlineLevel="0" collapsed="false">
      <c r="A18" s="11" t="s">
        <v>36</v>
      </c>
      <c r="B18" s="12" t="s">
        <v>37</v>
      </c>
      <c r="C18" s="13" t="n">
        <v>84.381490685</v>
      </c>
      <c r="D18" s="13" t="n">
        <v>110.282116883</v>
      </c>
      <c r="E18" s="13" t="n">
        <v>205.72629768</v>
      </c>
    </row>
    <row r="19" customFormat="false" ht="15" hidden="false" customHeight="false" outlineLevel="0" collapsed="false">
      <c r="A19" s="11" t="s">
        <v>38</v>
      </c>
      <c r="C19" s="14" t="n">
        <f aca="false">C16/C18</f>
        <v>0.218455022000184</v>
      </c>
      <c r="D19" s="14" t="n">
        <f aca="false">D16/D18</f>
        <v>0.235654078970678</v>
      </c>
      <c r="E19" s="14" t="n">
        <f aca="false">E16/E18</f>
        <v>0.201978479385427</v>
      </c>
    </row>
    <row r="22" customFormat="false" ht="15" hidden="false" customHeight="false" outlineLevel="0" collapsed="false">
      <c r="A22" s="15" t="s">
        <v>39</v>
      </c>
    </row>
    <row r="23" customFormat="false" ht="15" hidden="false" customHeight="false" outlineLevel="0" collapsed="false">
      <c r="A23" s="16" t="s">
        <v>40</v>
      </c>
      <c r="B23" s="16" t="s">
        <v>41</v>
      </c>
      <c r="C23" s="16" t="s">
        <v>4</v>
      </c>
      <c r="D23" s="16" t="s">
        <v>5</v>
      </c>
      <c r="E23" s="16" t="s">
        <v>6</v>
      </c>
      <c r="F23" s="16" t="s">
        <v>9</v>
      </c>
    </row>
    <row r="24" customFormat="false" ht="30" hidden="false" customHeight="true" outlineLevel="0" collapsed="false">
      <c r="A24" s="4" t="s">
        <v>42</v>
      </c>
      <c r="B24" s="17" t="s">
        <v>43</v>
      </c>
      <c r="C24" s="18" t="n">
        <f aca="false">C5+C6+C7+C8+C9</f>
        <v>15.975163711</v>
      </c>
      <c r="D24" s="18" t="n">
        <f aca="false">D5+D6+D7+D8+D9</f>
        <v>22.684834771</v>
      </c>
      <c r="E24" s="18" t="n">
        <f aca="false">E5+E6+E7+E8+E9</f>
        <v>38.577912496</v>
      </c>
      <c r="F24" s="19" t="n">
        <f aca="false">E24/$E$16</f>
        <v>0.928418562418268</v>
      </c>
    </row>
    <row r="25" customFormat="false" ht="30" hidden="false" customHeight="true" outlineLevel="0" collapsed="false">
      <c r="A25" s="4" t="s">
        <v>44</v>
      </c>
      <c r="B25" s="17" t="s">
        <v>45</v>
      </c>
      <c r="C25" s="18" t="n">
        <f aca="false">C11+C12+C13</f>
        <v>1.898864808</v>
      </c>
      <c r="D25" s="18" t="n">
        <f aca="false">D11+D12+D13</f>
        <v>2.564688289</v>
      </c>
      <c r="E25" s="18" t="n">
        <f aca="false">E11+E12+E13</f>
        <v>1.593828585</v>
      </c>
      <c r="F25" s="19" t="n">
        <f aca="false">E25/$E$16</f>
        <v>0.0383571828512046</v>
      </c>
    </row>
    <row r="26" customFormat="false" ht="30" hidden="false" customHeight="true" outlineLevel="0" collapsed="false">
      <c r="A26" s="4" t="s">
        <v>46</v>
      </c>
      <c r="B26" s="17" t="s">
        <v>47</v>
      </c>
      <c r="C26" s="18" t="n">
        <f aca="false">C10+C14+C15</f>
        <v>0.559531884999999</v>
      </c>
      <c r="D26" s="18" t="n">
        <f aca="false">D10+D14+D15</f>
        <v>0.738907621</v>
      </c>
      <c r="E26" s="18" t="n">
        <f aca="false">E10+E14+E15</f>
        <v>1.38054369400001</v>
      </c>
      <c r="F26" s="19" t="n">
        <f aca="false">E26/$E$16</f>
        <v>0.0332242547305273</v>
      </c>
    </row>
    <row r="27" customFormat="false" ht="15" hidden="false" customHeight="false" outlineLevel="0" collapsed="false">
      <c r="A27" s="8" t="s">
        <v>48</v>
      </c>
      <c r="B27" s="20"/>
      <c r="C27" s="9" t="n">
        <f aca="false">SUM(C24:C26)</f>
        <v>18.433560404</v>
      </c>
      <c r="D27" s="9" t="n">
        <f aca="false">SUM(D24:D26)</f>
        <v>25.988430681</v>
      </c>
      <c r="E27" s="9" t="n">
        <f aca="false">SUM(E24:E26)</f>
        <v>41.552284775</v>
      </c>
      <c r="F27" s="10" t="n">
        <f aca="false">SUM(F24:F26)</f>
        <v>1</v>
      </c>
    </row>
    <row r="29" customFormat="false" ht="15" hidden="false" customHeight="false" outlineLevel="0" collapsed="false">
      <c r="A29" s="21" t="s">
        <v>49</v>
      </c>
    </row>
    <row r="30" customFormat="false" ht="15" hidden="false" customHeight="false" outlineLevel="0" collapsed="false">
      <c r="A30" s="22" t="s">
        <v>50</v>
      </c>
    </row>
    <row r="31" customFormat="false" ht="15" hidden="false" customHeight="false" outlineLevel="0" collapsed="false">
      <c r="A31" s="22" t="s">
        <v>51</v>
      </c>
    </row>
    <row r="32" customFormat="false" ht="15" hidden="false" customHeight="false" outlineLevel="0" collapsed="false">
      <c r="A32" s="22" t="s">
        <v>52</v>
      </c>
    </row>
    <row r="33" customFormat="false" ht="15" hidden="false" customHeight="false" outlineLevel="0" collapsed="false">
      <c r="A33" s="2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6" t="s">
        <v>56</v>
      </c>
      <c r="B4" s="16" t="s">
        <v>57</v>
      </c>
      <c r="C4" s="16" t="s">
        <v>6</v>
      </c>
      <c r="D4" s="16" t="s">
        <v>58</v>
      </c>
      <c r="E4" s="16" t="s">
        <v>59</v>
      </c>
    </row>
    <row r="5" customFormat="false" ht="15" hidden="false" customHeight="false" outlineLevel="0" collapsed="false">
      <c r="A5" s="8" t="s">
        <v>13</v>
      </c>
      <c r="B5" s="8"/>
      <c r="C5" s="9" t="n">
        <f aca="false">SUMIFS('Line Item Mapping'!$H$5:$H$77,'Line Item Mapping'!$C$5:$C$77,A5)</f>
        <v>24.83986606</v>
      </c>
      <c r="D5" s="8"/>
      <c r="E5" s="10" t="n">
        <f aca="false">C5/$C$49</f>
        <v>0.597797839384874</v>
      </c>
    </row>
    <row r="6" customFormat="false" ht="15" hidden="false" customHeight="false" outlineLevel="0" collapsed="false">
      <c r="A6" s="23" t="s">
        <v>60</v>
      </c>
      <c r="B6" s="24" t="s">
        <v>61</v>
      </c>
      <c r="C6" s="25" t="n">
        <f aca="false">'Line Item Mapping'!H5</f>
        <v>19.811683608</v>
      </c>
      <c r="D6" s="26" t="n">
        <f aca="false">IF($C$5=0,0,C6/$C$5)</f>
        <v>0.797576104482425</v>
      </c>
      <c r="E6" s="26" t="n">
        <f aca="false">C6/$C$49</f>
        <v>0.476789272004598</v>
      </c>
    </row>
    <row r="7" customFormat="false" ht="15" hidden="false" customHeight="false" outlineLevel="0" collapsed="false">
      <c r="A7" s="23" t="s">
        <v>62</v>
      </c>
      <c r="B7" s="24" t="s">
        <v>63</v>
      </c>
      <c r="C7" s="25" t="n">
        <f aca="false">'Line Item Mapping'!H6</f>
        <v>5.028182452</v>
      </c>
      <c r="D7" s="26" t="n">
        <f aca="false">IF($C$5=0,0,C7/$C$5)</f>
        <v>0.202423895517575</v>
      </c>
      <c r="E7" s="26" t="n">
        <f aca="false">C7/$C$49</f>
        <v>0.121008567380276</v>
      </c>
    </row>
    <row r="8" customFormat="false" ht="15" hidden="false" customHeight="false" outlineLevel="0" collapsed="false">
      <c r="A8" s="8" t="s">
        <v>15</v>
      </c>
      <c r="B8" s="8"/>
      <c r="C8" s="9" t="n">
        <f aca="false">SUMIFS('Line Item Mapping'!$H$5:$H$77,'Line Item Mapping'!$C$5:$C$77,A8)</f>
        <v>12.045059929</v>
      </c>
      <c r="D8" s="8"/>
      <c r="E8" s="10" t="n">
        <f aca="false">C8/$C$49</f>
        <v>0.289877199153365</v>
      </c>
    </row>
    <row r="9" customFormat="false" ht="15" hidden="false" customHeight="false" outlineLevel="0" collapsed="false">
      <c r="A9" s="23" t="s">
        <v>64</v>
      </c>
      <c r="B9" s="24" t="s">
        <v>65</v>
      </c>
      <c r="C9" s="25" t="n">
        <f aca="false">'Line Item Mapping'!H7</f>
        <v>10.703484217</v>
      </c>
      <c r="D9" s="26" t="n">
        <f aca="false">IF($C$8=0,0,C9/$C$8)</f>
        <v>0.888620254286159</v>
      </c>
      <c r="E9" s="26" t="n">
        <f aca="false">C9/$C$49</f>
        <v>0.257590750423422</v>
      </c>
    </row>
    <row r="10" customFormat="false" ht="15" hidden="false" customHeight="false" outlineLevel="0" collapsed="false">
      <c r="A10" s="23" t="s">
        <v>66</v>
      </c>
      <c r="B10" s="24" t="s">
        <v>67</v>
      </c>
      <c r="C10" s="25" t="n">
        <f aca="false">'Line Item Mapping'!H8</f>
        <v>0.782607124</v>
      </c>
      <c r="D10" s="26" t="n">
        <f aca="false">IF($C$8=0,0,C10/$C$8)</f>
        <v>0.0649732860287208</v>
      </c>
      <c r="E10" s="26" t="n">
        <f aca="false">C10/$C$49</f>
        <v>0.018834274173796</v>
      </c>
    </row>
    <row r="11" customFormat="false" ht="15" hidden="false" customHeight="false" outlineLevel="0" collapsed="false">
      <c r="A11" s="23" t="s">
        <v>68</v>
      </c>
      <c r="B11" s="24" t="s">
        <v>69</v>
      </c>
      <c r="C11" s="25" t="n">
        <f aca="false">'Line Item Mapping'!H9</f>
        <v>0.329217816</v>
      </c>
      <c r="D11" s="26" t="n">
        <f aca="false">IF($C$8=0,0,C11/$C$8)</f>
        <v>0.0273321858040213</v>
      </c>
      <c r="E11" s="26" t="n">
        <f aca="false">C11/$C$49</f>
        <v>0.00792297746760906</v>
      </c>
    </row>
    <row r="12" customFormat="false" ht="15" hidden="false" customHeight="false" outlineLevel="0" collapsed="false">
      <c r="A12" s="23" t="s">
        <v>70</v>
      </c>
      <c r="B12" s="24" t="s">
        <v>71</v>
      </c>
      <c r="C12" s="25" t="n">
        <f aca="false">'Line Item Mapping'!H10</f>
        <v>0.229750772</v>
      </c>
      <c r="D12" s="26" t="n">
        <f aca="false">IF($C$8=0,0,C12/$C$8)</f>
        <v>0.0190742738810993</v>
      </c>
      <c r="E12" s="26" t="n">
        <f aca="false">C12/$C$49</f>
        <v>0.00552919708853723</v>
      </c>
    </row>
    <row r="13" customFormat="false" ht="15" hidden="false" customHeight="false" outlineLevel="0" collapsed="false">
      <c r="A13" s="8" t="s">
        <v>17</v>
      </c>
      <c r="B13" s="8"/>
      <c r="C13" s="9" t="n">
        <f aca="false">SUMIFS('Line Item Mapping'!$H$5:$H$77,'Line Item Mapping'!$C$5:$C$77,A13)</f>
        <v>0.85448946</v>
      </c>
      <c r="D13" s="8"/>
      <c r="E13" s="10" t="n">
        <f aca="false">C13/$C$49</f>
        <v>0.0205641991680348</v>
      </c>
    </row>
    <row r="14" customFormat="false" ht="15" hidden="false" customHeight="false" outlineLevel="0" collapsed="false">
      <c r="A14" s="23" t="s">
        <v>72</v>
      </c>
      <c r="B14" s="24" t="s">
        <v>73</v>
      </c>
      <c r="C14" s="25" t="n">
        <f aca="false">'Line Item Mapping'!H11</f>
        <v>0.7</v>
      </c>
      <c r="D14" s="26" t="n">
        <f aca="false">IF($C$13=0,0,C14/$C$13)</f>
        <v>0.819202614857297</v>
      </c>
      <c r="E14" s="26" t="n">
        <f aca="false">C14/$C$49</f>
        <v>0.0168462457309004</v>
      </c>
    </row>
    <row r="15" customFormat="false" ht="15" hidden="false" customHeight="false" outlineLevel="0" collapsed="false">
      <c r="A15" s="23" t="s">
        <v>74</v>
      </c>
      <c r="B15" s="24" t="s">
        <v>75</v>
      </c>
      <c r="C15" s="25" t="n">
        <f aca="false">'Line Item Mapping'!H12</f>
        <v>0.11081856</v>
      </c>
      <c r="D15" s="26" t="n">
        <f aca="false">IF($C$13=0,0,C15/$C$13)</f>
        <v>0.1296897916096</v>
      </c>
      <c r="E15" s="26" t="n">
        <f aca="false">C15/$C$49</f>
        <v>0.00266696670472075</v>
      </c>
    </row>
    <row r="16" customFormat="false" ht="15" hidden="false" customHeight="false" outlineLevel="0" collapsed="false">
      <c r="A16" s="23" t="s">
        <v>76</v>
      </c>
      <c r="B16" s="24" t="s">
        <v>77</v>
      </c>
      <c r="C16" s="25" t="n">
        <f aca="false">'Line Item Mapping'!H13</f>
        <v>0.0436709</v>
      </c>
      <c r="D16" s="26" t="n">
        <f aca="false">IF($C$13=0,0,C16/$C$13)</f>
        <v>0.0511075935331022</v>
      </c>
      <c r="E16" s="26" t="n">
        <f aca="false">C16/$C$49</f>
        <v>0.00105098673241368</v>
      </c>
    </row>
    <row r="17" customFormat="false" ht="15" hidden="false" customHeight="false" outlineLevel="0" collapsed="false">
      <c r="A17" s="8" t="s">
        <v>19</v>
      </c>
      <c r="B17" s="8"/>
      <c r="C17" s="9" t="n">
        <f aca="false">SUMIFS('Line Item Mapping'!$H$5:$H$77,'Line Item Mapping'!$C$5:$C$77,A17)</f>
        <v>0.818497047</v>
      </c>
      <c r="D17" s="8"/>
      <c r="E17" s="10" t="n">
        <f aca="false">C17/$C$49</f>
        <v>0.0196980034053976</v>
      </c>
    </row>
    <row r="18" customFormat="false" ht="15" hidden="false" customHeight="false" outlineLevel="0" collapsed="false">
      <c r="A18" s="23" t="s">
        <v>78</v>
      </c>
      <c r="B18" s="24" t="s">
        <v>79</v>
      </c>
      <c r="C18" s="25" t="n">
        <f aca="false">'Line Item Mapping'!H14</f>
        <v>0.79997</v>
      </c>
      <c r="D18" s="26" t="n">
        <f aca="false">IF($C$17=0,0,C18/$C$17)</f>
        <v>0.977364552422142</v>
      </c>
      <c r="E18" s="26" t="n">
        <f aca="false">C18/$C$49</f>
        <v>0.0192521302819262</v>
      </c>
    </row>
    <row r="19" customFormat="false" ht="15" hidden="false" customHeight="false" outlineLevel="0" collapsed="false">
      <c r="A19" s="23" t="s">
        <v>80</v>
      </c>
      <c r="B19" s="24" t="s">
        <v>81</v>
      </c>
      <c r="C19" s="25" t="n">
        <f aca="false">'Line Item Mapping'!H16</f>
        <v>0.011027047</v>
      </c>
      <c r="D19" s="26" t="n">
        <f aca="false">IF($C$17=0,0,C19/$C$17)</f>
        <v>0.0134723112812892</v>
      </c>
      <c r="E19" s="26" t="n">
        <f aca="false">C19/$C$49</f>
        <v>0.000265377633497411</v>
      </c>
    </row>
    <row r="20" customFormat="false" ht="15" hidden="false" customHeight="false" outlineLevel="0" collapsed="false">
      <c r="A20" s="23" t="s">
        <v>82</v>
      </c>
      <c r="B20" s="24" t="s">
        <v>83</v>
      </c>
      <c r="C20" s="25" t="n">
        <f aca="false">'Line Item Mapping'!H15</f>
        <v>0.0075</v>
      </c>
      <c r="D20" s="26" t="n">
        <f aca="false">IF($C$17=0,0,C20/$C$17)</f>
        <v>0.0091631362965687</v>
      </c>
      <c r="E20" s="26" t="n">
        <f aca="false">C20/$C$49</f>
        <v>0.000180495489973932</v>
      </c>
    </row>
    <row r="21" customFormat="false" ht="15" hidden="false" customHeight="false" outlineLevel="0" collapsed="false">
      <c r="A21" s="8" t="s">
        <v>21</v>
      </c>
      <c r="B21" s="8"/>
      <c r="C21" s="9" t="n">
        <f aca="false">SUMIFS('Line Item Mapping'!$H$5:$H$77,'Line Item Mapping'!$C$5:$C$77,A21)</f>
        <v>0.02</v>
      </c>
      <c r="D21" s="8"/>
      <c r="E21" s="10" t="n">
        <f aca="false">C21/$C$49</f>
        <v>0.000481321306597153</v>
      </c>
    </row>
    <row r="22" customFormat="false" ht="15" hidden="false" customHeight="false" outlineLevel="0" collapsed="false">
      <c r="A22" s="23" t="s">
        <v>84</v>
      </c>
      <c r="B22" s="24" t="s">
        <v>85</v>
      </c>
      <c r="C22" s="25" t="n">
        <f aca="false">'Line Item Mapping'!H24</f>
        <v>0.02</v>
      </c>
      <c r="D22" s="26" t="n">
        <f aca="false">IF($C$21=0,0,C22/$C$21)</f>
        <v>1</v>
      </c>
      <c r="E22" s="26" t="n">
        <f aca="false">C22/$C$49</f>
        <v>0.000481321306597153</v>
      </c>
    </row>
    <row r="23" customFormat="false" ht="15" hidden="false" customHeight="false" outlineLevel="0" collapsed="false">
      <c r="A23" s="8" t="s">
        <v>23</v>
      </c>
      <c r="B23" s="8"/>
      <c r="C23" s="9" t="n">
        <f aca="false">SUMIFS('Line Item Mapping'!$H$5:$H$77,'Line Item Mapping'!$C$5:$C$77,A23)</f>
        <v>1.116663002</v>
      </c>
      <c r="D23" s="8"/>
      <c r="E23" s="10" t="n">
        <f aca="false">C23/$C$49</f>
        <v>0.026873684757567</v>
      </c>
    </row>
    <row r="24" customFormat="false" ht="15" hidden="false" customHeight="false" outlineLevel="0" collapsed="false">
      <c r="A24" s="23" t="s">
        <v>86</v>
      </c>
      <c r="B24" s="24" t="s">
        <v>87</v>
      </c>
      <c r="C24" s="25" t="n">
        <f aca="false">'Line Item Mapping'!H39</f>
        <v>0.891663002</v>
      </c>
      <c r="D24" s="26" t="n">
        <f aca="false">IF($C$23=0,0,C24/$C$23)</f>
        <v>0.798506801427993</v>
      </c>
      <c r="E24" s="26" t="n">
        <f aca="false">C24/$C$49</f>
        <v>0.021458820058349</v>
      </c>
    </row>
    <row r="25" customFormat="false" ht="15" hidden="false" customHeight="false" outlineLevel="0" collapsed="false">
      <c r="A25" s="23" t="s">
        <v>88</v>
      </c>
      <c r="B25" s="24" t="s">
        <v>89</v>
      </c>
      <c r="C25" s="25" t="n">
        <f aca="false">'Line Item Mapping'!H38</f>
        <v>0.225</v>
      </c>
      <c r="D25" s="26" t="n">
        <f aca="false">IF($C$23=0,0,C25/$C$23)</f>
        <v>0.201493198572008</v>
      </c>
      <c r="E25" s="26" t="n">
        <f aca="false">C25/$C$49</f>
        <v>0.00541486469921797</v>
      </c>
    </row>
    <row r="26" customFormat="false" ht="15" hidden="false" customHeight="false" outlineLevel="0" collapsed="false">
      <c r="A26" s="8" t="s">
        <v>25</v>
      </c>
      <c r="B26" s="8"/>
      <c r="C26" s="9" t="n">
        <f aca="false">SUMIFS('Line Item Mapping'!$H$5:$H$77,'Line Item Mapping'!$C$5:$C$77,A26)</f>
        <v>1.077239666</v>
      </c>
      <c r="D26" s="8"/>
      <c r="E26" s="10" t="n">
        <f aca="false">C26/$C$49</f>
        <v>0.0259249201778701</v>
      </c>
    </row>
    <row r="27" customFormat="false" ht="15" hidden="false" customHeight="false" outlineLevel="0" collapsed="false">
      <c r="A27" s="23" t="s">
        <v>90</v>
      </c>
      <c r="B27" s="24" t="s">
        <v>91</v>
      </c>
      <c r="C27" s="25" t="n">
        <f aca="false">'Line Item Mapping'!H49</f>
        <v>0.520763666</v>
      </c>
      <c r="D27" s="26" t="n">
        <f aca="false">IF($C$26=0,0,C27/$C$26)</f>
        <v>0.483424146396035</v>
      </c>
      <c r="E27" s="26" t="n">
        <f aca="false">C27/$C$49</f>
        <v>0.0125327324073722</v>
      </c>
    </row>
    <row r="28" customFormat="false" ht="15" hidden="false" customHeight="false" outlineLevel="0" collapsed="false">
      <c r="A28" s="23" t="s">
        <v>92</v>
      </c>
      <c r="B28" s="24" t="s">
        <v>93</v>
      </c>
      <c r="C28" s="25" t="n">
        <f aca="false">'Line Item Mapping'!H50</f>
        <v>0.278976</v>
      </c>
      <c r="D28" s="26" t="n">
        <f aca="false">IF($C$26=0,0,C28/$C$26)</f>
        <v>0.258973011118215</v>
      </c>
      <c r="E28" s="26" t="n">
        <f aca="false">C28/$C$49</f>
        <v>0.00671385464146237</v>
      </c>
    </row>
    <row r="29" customFormat="false" ht="15" hidden="false" customHeight="false" outlineLevel="0" collapsed="false">
      <c r="A29" s="23" t="s">
        <v>94</v>
      </c>
      <c r="B29" s="24" t="s">
        <v>95</v>
      </c>
      <c r="C29" s="25" t="n">
        <f aca="false">'Line Item Mapping'!H51</f>
        <v>0.1555</v>
      </c>
      <c r="D29" s="26" t="n">
        <f aca="false">IF($C$26=0,0,C29/$C$26)</f>
        <v>0.144350421645168</v>
      </c>
      <c r="E29" s="26" t="n">
        <f aca="false">C29/$C$49</f>
        <v>0.00374227315879287</v>
      </c>
    </row>
    <row r="30" customFormat="false" ht="15" hidden="false" customHeight="false" outlineLevel="0" collapsed="false">
      <c r="A30" s="23" t="s">
        <v>96</v>
      </c>
      <c r="B30" s="24" t="s">
        <v>97</v>
      </c>
      <c r="C30" s="25" t="n">
        <f aca="false">'Line Item Mapping'!H40</f>
        <v>0.09</v>
      </c>
      <c r="D30" s="26" t="n">
        <f aca="false">IF($C$26=0,0,C30/$C$26)</f>
        <v>0.0835468678332162</v>
      </c>
      <c r="E30" s="26" t="n">
        <f aca="false">C30/$C$49</f>
        <v>0.00216594587968719</v>
      </c>
    </row>
    <row r="31" customFormat="false" ht="15" hidden="false" customHeight="false" outlineLevel="0" collapsed="false">
      <c r="A31" s="23" t="s">
        <v>98</v>
      </c>
      <c r="B31" s="24" t="s">
        <v>99</v>
      </c>
      <c r="C31" s="25" t="n">
        <f aca="false">'Line Item Mapping'!H41</f>
        <v>0.032</v>
      </c>
      <c r="D31" s="26" t="n">
        <f aca="false">IF($C$26=0,0,C31/$C$26)</f>
        <v>0.0297055530073658</v>
      </c>
      <c r="E31" s="26" t="n">
        <f aca="false">C31/$C$49</f>
        <v>0.000770114090555445</v>
      </c>
    </row>
    <row r="32" customFormat="false" ht="15" hidden="false" customHeight="false" outlineLevel="0" collapsed="false">
      <c r="A32" s="8" t="s">
        <v>27</v>
      </c>
      <c r="B32" s="8"/>
      <c r="C32" s="9" t="n">
        <f aca="false">SUMIFS('Line Item Mapping'!$H$5:$H$77,'Line Item Mapping'!$C$5:$C$77,A32)</f>
        <v>0.3794468</v>
      </c>
      <c r="D32" s="8"/>
      <c r="E32" s="10" t="n">
        <f aca="false">C32/$C$49</f>
        <v>0.00913179147800544</v>
      </c>
    </row>
    <row r="33" customFormat="false" ht="15" hidden="false" customHeight="false" outlineLevel="0" collapsed="false">
      <c r="A33" s="23" t="s">
        <v>100</v>
      </c>
      <c r="B33" s="24" t="s">
        <v>101</v>
      </c>
      <c r="C33" s="25" t="n">
        <f aca="false">'Line Item Mapping'!H63</f>
        <v>0.350192</v>
      </c>
      <c r="D33" s="26" t="n">
        <f aca="false">IF($C$32=0,0,C33/$C$32)</f>
        <v>0.922901444945642</v>
      </c>
      <c r="E33" s="26" t="n">
        <f aca="false">C33/$C$49</f>
        <v>0.00842774354999351</v>
      </c>
    </row>
    <row r="34" customFormat="false" ht="15" hidden="false" customHeight="false" outlineLevel="0" collapsed="false">
      <c r="A34" s="23" t="s">
        <v>102</v>
      </c>
      <c r="B34" s="24" t="s">
        <v>103</v>
      </c>
      <c r="C34" s="25" t="n">
        <f aca="false">'Line Item Mapping'!H52</f>
        <v>0.0202548</v>
      </c>
      <c r="D34" s="26" t="n">
        <f aca="false">IF($C$32=0,0,C34/$C$32)</f>
        <v>0.0533798150359945</v>
      </c>
      <c r="E34" s="26" t="n">
        <f aca="false">C34/$C$49</f>
        <v>0.000487453340043201</v>
      </c>
    </row>
    <row r="35" customFormat="false" ht="15" hidden="false" customHeight="false" outlineLevel="0" collapsed="false">
      <c r="A35" s="23" t="s">
        <v>102</v>
      </c>
      <c r="B35" s="24" t="s">
        <v>104</v>
      </c>
      <c r="C35" s="25" t="n">
        <f aca="false">'Line Item Mapping'!H53</f>
        <v>0.009</v>
      </c>
      <c r="D35" s="26" t="n">
        <f aca="false">IF($C$32=0,0,C35/$C$32)</f>
        <v>0.0237187400183636</v>
      </c>
      <c r="E35" s="26" t="n">
        <f aca="false">C35/$C$49</f>
        <v>0.000216594587968719</v>
      </c>
    </row>
    <row r="36" customFormat="false" ht="15" hidden="false" customHeight="false" outlineLevel="0" collapsed="false">
      <c r="A36" s="8" t="s">
        <v>29</v>
      </c>
      <c r="B36" s="8"/>
      <c r="C36" s="9" t="n">
        <f aca="false">SUMIFS('Line Item Mapping'!$H$5:$H$77,'Line Item Mapping'!$C$5:$C$77,A36)</f>
        <v>0.137142119</v>
      </c>
      <c r="D36" s="8"/>
      <c r="E36" s="10" t="n">
        <f aca="false">C36/$C$49</f>
        <v>0.00330047119532911</v>
      </c>
    </row>
    <row r="37" customFormat="false" ht="15" hidden="false" customHeight="false" outlineLevel="0" collapsed="false">
      <c r="A37" s="23" t="s">
        <v>105</v>
      </c>
      <c r="B37" s="24" t="s">
        <v>106</v>
      </c>
      <c r="C37" s="25" t="n">
        <f aca="false">'Line Item Mapping'!H65</f>
        <v>0.137142119</v>
      </c>
      <c r="D37" s="26" t="n">
        <f aca="false">IF($C$36=0,0,C37/$C$36)</f>
        <v>1</v>
      </c>
      <c r="E37" s="26" t="n">
        <f aca="false">C37/$C$49</f>
        <v>0.00330047119532911</v>
      </c>
    </row>
    <row r="38" customFormat="false" ht="15" hidden="false" customHeight="false" outlineLevel="0" collapsed="false">
      <c r="A38" s="8" t="s">
        <v>31</v>
      </c>
      <c r="B38" s="8"/>
      <c r="C38" s="9" t="n">
        <f aca="false">SUMIFS('Line Item Mapping'!$H$5:$H$77,'Line Item Mapping'!$C$5:$C$77,A38)</f>
        <v>0.030403944</v>
      </c>
      <c r="D38" s="8"/>
      <c r="E38" s="10" t="n">
        <f aca="false">C38/$C$49</f>
        <v>0.000731703302589334</v>
      </c>
    </row>
    <row r="39" customFormat="false" ht="15" hidden="false" customHeight="false" outlineLevel="0" collapsed="false">
      <c r="A39" s="23" t="s">
        <v>107</v>
      </c>
      <c r="B39" s="24" t="s">
        <v>108</v>
      </c>
      <c r="C39" s="25" t="n">
        <f aca="false">'Line Item Mapping'!H71</f>
        <v>0.0148</v>
      </c>
      <c r="D39" s="26" t="n">
        <f aca="false">IF($C$38=0,0,C39/$C$38)</f>
        <v>0.486778952099109</v>
      </c>
      <c r="E39" s="26" t="n">
        <f aca="false">C39/$C$49</f>
        <v>0.000356177766881893</v>
      </c>
    </row>
    <row r="40" customFormat="false" ht="15" hidden="false" customHeight="false" outlineLevel="0" collapsed="false">
      <c r="A40" s="23" t="s">
        <v>109</v>
      </c>
      <c r="B40" s="24" t="s">
        <v>110</v>
      </c>
      <c r="C40" s="25" t="n">
        <f aca="false">'Line Item Mapping'!H66</f>
        <v>0.01196</v>
      </c>
      <c r="D40" s="26" t="n">
        <f aca="false">IF($C$38=0,0,C40/$C$38)</f>
        <v>0.393370018047659</v>
      </c>
      <c r="E40" s="26" t="n">
        <f aca="false">C40/$C$49</f>
        <v>0.000287830141345098</v>
      </c>
    </row>
    <row r="41" customFormat="false" ht="15" hidden="false" customHeight="false" outlineLevel="0" collapsed="false">
      <c r="A41" s="23" t="s">
        <v>111</v>
      </c>
      <c r="B41" s="24" t="s">
        <v>112</v>
      </c>
      <c r="C41" s="25" t="n">
        <f aca="false">'Line Item Mapping'!H67</f>
        <v>0.00211</v>
      </c>
      <c r="D41" s="26" t="n">
        <f aca="false">IF($C$38=0,0,C41/$C$38)</f>
        <v>0.0693988911438595</v>
      </c>
      <c r="E41" s="26" t="n">
        <f aca="false">C41/$C$49</f>
        <v>5.07793978459997E-005</v>
      </c>
    </row>
    <row r="42" customFormat="false" ht="15" hidden="false" customHeight="false" outlineLevel="0" collapsed="false">
      <c r="A42" s="23" t="s">
        <v>113</v>
      </c>
      <c r="B42" s="24" t="s">
        <v>114</v>
      </c>
      <c r="C42" s="25" t="n">
        <f aca="false">'Line Item Mapping'!H68</f>
        <v>0.001533944</v>
      </c>
      <c r="D42" s="26" t="n">
        <f aca="false">IF($C$38=0,0,C42/$C$38)</f>
        <v>0.0504521387093727</v>
      </c>
      <c r="E42" s="26" t="n">
        <f aca="false">C42/$C$49</f>
        <v>3.69159965163432E-005</v>
      </c>
    </row>
    <row r="43" customFormat="false" ht="15" hidden="false" customHeight="false" outlineLevel="0" collapsed="false">
      <c r="A43" s="8" t="s">
        <v>33</v>
      </c>
      <c r="B43" s="8"/>
      <c r="C43" s="9" t="n">
        <f aca="false">SUMIFS('Line Item Mapping'!$H$5:$H$77,'Line Item Mapping'!$C$5:$C$77,A43)</f>
        <v>0.233476748000011</v>
      </c>
      <c r="D43" s="8"/>
      <c r="E43" s="10" t="n">
        <f aca="false">C43/$C$49</f>
        <v>0.00561886667037099</v>
      </c>
    </row>
    <row r="44" customFormat="false" ht="15" hidden="false" customHeight="false" outlineLevel="0" collapsed="false">
      <c r="A44" s="23" t="s">
        <v>115</v>
      </c>
      <c r="B44" s="24" t="s">
        <v>116</v>
      </c>
      <c r="C44" s="25" t="n">
        <f aca="false">'Line Item Mapping'!H77</f>
        <v>0.383262019000011</v>
      </c>
      <c r="D44" s="26" t="n">
        <f aca="false">IF($C$43=0,0,C44/$C$43)</f>
        <v>1.64154256166011</v>
      </c>
      <c r="E44" s="26" t="n">
        <f aca="false">C44/$C$49</f>
        <v>0.00922360878770742</v>
      </c>
    </row>
    <row r="45" customFormat="false" ht="15" hidden="false" customHeight="false" outlineLevel="0" collapsed="false">
      <c r="A45" s="23" t="s">
        <v>117</v>
      </c>
      <c r="B45" s="24" t="s">
        <v>118</v>
      </c>
      <c r="C45" s="25" t="n">
        <f aca="false">'Line Item Mapping'!H72</f>
        <v>0.03</v>
      </c>
      <c r="D45" s="26" t="n">
        <f aca="false">IF($C$43=0,0,C45/$C$43)</f>
        <v>0.128492452704535</v>
      </c>
      <c r="E45" s="26" t="n">
        <f aca="false">C45/$C$49</f>
        <v>0.00072198195989573</v>
      </c>
    </row>
    <row r="46" customFormat="false" ht="15" hidden="false" customHeight="false" outlineLevel="0" collapsed="false">
      <c r="A46" s="23" t="s">
        <v>119</v>
      </c>
      <c r="B46" s="24" t="s">
        <v>120</v>
      </c>
      <c r="C46" s="25" t="n">
        <f aca="false">'Line Item Mapping'!H73</f>
        <v>0.02123802</v>
      </c>
      <c r="D46" s="26" t="n">
        <f aca="false">IF($C$43=0,0,C46/$C$43)</f>
        <v>0.090964176012932</v>
      </c>
      <c r="E46" s="26" t="n">
        <f aca="false">C46/$C$49</f>
        <v>0.000511115576796824</v>
      </c>
    </row>
    <row r="47" customFormat="false" ht="15" hidden="false" customHeight="false" outlineLevel="0" collapsed="false">
      <c r="A47" s="23" t="s">
        <v>121</v>
      </c>
      <c r="B47" s="24" t="s">
        <v>122</v>
      </c>
      <c r="C47" s="25" t="n">
        <f aca="false">'Line Item Mapping'!H75</f>
        <v>0.006333509</v>
      </c>
      <c r="D47" s="26" t="n">
        <f aca="false">IF($C$43=0,0,C47/$C$43)</f>
        <v>0.0271269368545415</v>
      </c>
      <c r="E47" s="26" t="n">
        <f aca="false">C47/$C$49</f>
        <v>0.000152422641361241</v>
      </c>
    </row>
    <row r="48" customFormat="false" ht="15" hidden="false" customHeight="false" outlineLevel="0" collapsed="false">
      <c r="A48" s="23" t="s">
        <v>123</v>
      </c>
      <c r="B48" s="24" t="s">
        <v>124</v>
      </c>
      <c r="C48" s="25" t="n">
        <f aca="false">'Line Item Mapping'!H74</f>
        <v>-0.2073568</v>
      </c>
      <c r="D48" s="26" t="n">
        <f aca="false">IF($C$43=0,0,C48/$C$43)</f>
        <v>-0.888126127232121</v>
      </c>
      <c r="E48" s="26" t="n">
        <f aca="false">C48/$C$49</f>
        <v>-0.00499026229539023</v>
      </c>
    </row>
    <row r="49" customFormat="false" ht="15" hidden="false" customHeight="false" outlineLevel="0" collapsed="false">
      <c r="A49" s="8" t="s">
        <v>125</v>
      </c>
      <c r="B49" s="8"/>
      <c r="C49" s="9" t="n">
        <f aca="false">C5+C8+C13+C17+C21+C23+C26+C32+C36+C38+C43</f>
        <v>41.552284775</v>
      </c>
      <c r="D49" s="8"/>
      <c r="E49" s="10" t="n">
        <f aca="false">C49/$C$49</f>
        <v>1</v>
      </c>
    </row>
    <row r="51" customFormat="false" ht="15" hidden="false" customHeight="false" outlineLevel="0" collapsed="false">
      <c r="A51" s="1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16" t="s">
        <v>129</v>
      </c>
      <c r="B4" s="16" t="s">
        <v>130</v>
      </c>
      <c r="C4" s="16" t="s">
        <v>131</v>
      </c>
      <c r="D4" s="16" t="s">
        <v>132</v>
      </c>
      <c r="E4" s="16" t="s">
        <v>133</v>
      </c>
      <c r="F4" s="16" t="s">
        <v>134</v>
      </c>
      <c r="G4" s="16" t="s">
        <v>135</v>
      </c>
      <c r="H4" s="16" t="s">
        <v>136</v>
      </c>
      <c r="I4" s="16" t="s">
        <v>137</v>
      </c>
      <c r="J4" s="16" t="s">
        <v>138</v>
      </c>
      <c r="K4" s="16" t="s">
        <v>139</v>
      </c>
      <c r="L4" s="16" t="s">
        <v>140</v>
      </c>
      <c r="M4" s="16" t="s">
        <v>141</v>
      </c>
    </row>
    <row r="5" customFormat="false" ht="15" hidden="false" customHeight="false" outlineLevel="0" collapsed="false">
      <c r="A5" s="8" t="s">
        <v>13</v>
      </c>
      <c r="B5" s="9" t="n">
        <f aca="false">SUM(B6:B7)</f>
        <v>2.976424991</v>
      </c>
      <c r="C5" s="9" t="n">
        <f aca="false">SUM(C6:C7)</f>
        <v>3.055136732</v>
      </c>
      <c r="D5" s="9" t="n">
        <f aca="false">SUM(D6:D7)</f>
        <v>3.365355905</v>
      </c>
      <c r="E5" s="9" t="n">
        <f aca="false">SUM(E6:E7)</f>
        <v>3.601198625</v>
      </c>
      <c r="F5" s="9" t="n">
        <f aca="false">SUM(F6:F7)</f>
        <v>3.707579475</v>
      </c>
      <c r="G5" s="9" t="n">
        <f aca="false">SUM(G6:G7)</f>
        <v>4.258839042</v>
      </c>
      <c r="H5" s="9" t="n">
        <f aca="false">SUM(H6:H7)</f>
        <v>4.611955595</v>
      </c>
      <c r="I5" s="9" t="n">
        <f aca="false">SUM(I6:I7)</f>
        <v>5.174836039</v>
      </c>
      <c r="J5" s="9" t="n">
        <f aca="false">SUM(J6:J7)</f>
        <v>5.19595885</v>
      </c>
      <c r="K5" s="9" t="n">
        <f aca="false">SUM(K6:K7)</f>
        <v>5.852287808</v>
      </c>
      <c r="L5" s="9" t="n">
        <f aca="false">SUM(L6:L7)</f>
        <v>6.052968029</v>
      </c>
      <c r="M5" s="9" t="n">
        <f aca="false">SUM(M6:M7)</f>
        <v>7.738651373</v>
      </c>
    </row>
    <row r="6" customFormat="false" ht="15" hidden="false" customHeight="false" outlineLevel="0" collapsed="false">
      <c r="A6" s="23" t="s">
        <v>60</v>
      </c>
      <c r="B6" s="27" t="n">
        <v>1.898788296</v>
      </c>
      <c r="C6" s="27" t="n">
        <v>2.090611013</v>
      </c>
      <c r="D6" s="27" t="n">
        <v>2.249599158</v>
      </c>
      <c r="E6" s="27" t="n">
        <v>2.600002043</v>
      </c>
      <c r="F6" s="27" t="n">
        <v>2.696075943</v>
      </c>
      <c r="G6" s="27" t="n">
        <v>3.229524154</v>
      </c>
      <c r="H6" s="27" t="n">
        <v>3.419861544</v>
      </c>
      <c r="I6" s="27" t="n">
        <v>3.911840547</v>
      </c>
      <c r="J6" s="27" t="n">
        <v>3.96840459</v>
      </c>
      <c r="K6" s="27" t="n">
        <v>4.575812202</v>
      </c>
      <c r="L6" s="27" t="n">
        <v>4.932136609</v>
      </c>
      <c r="M6" s="27" t="n">
        <v>6.335330207</v>
      </c>
    </row>
    <row r="7" customFormat="false" ht="15" hidden="false" customHeight="false" outlineLevel="0" collapsed="false">
      <c r="A7" s="23" t="s">
        <v>62</v>
      </c>
      <c r="B7" s="27" t="n">
        <v>1.077636695</v>
      </c>
      <c r="C7" s="27" t="n">
        <v>0.964525719</v>
      </c>
      <c r="D7" s="27" t="n">
        <v>1.115756747</v>
      </c>
      <c r="E7" s="27" t="n">
        <v>1.001196582</v>
      </c>
      <c r="F7" s="27" t="n">
        <v>1.011503532</v>
      </c>
      <c r="G7" s="27" t="n">
        <v>1.029314888</v>
      </c>
      <c r="H7" s="27" t="n">
        <v>1.192094051</v>
      </c>
      <c r="I7" s="27" t="n">
        <v>1.262995492</v>
      </c>
      <c r="J7" s="27" t="n">
        <v>1.22755426</v>
      </c>
      <c r="K7" s="27" t="n">
        <v>1.276475606</v>
      </c>
      <c r="L7" s="27" t="n">
        <v>1.12083142</v>
      </c>
      <c r="M7" s="27" t="n">
        <v>1.403321166</v>
      </c>
    </row>
    <row r="8" customFormat="false" ht="15" hidden="false" customHeight="false" outlineLevel="0" collapsed="false">
      <c r="A8" s="8" t="s">
        <v>15</v>
      </c>
      <c r="B8" s="9" t="n">
        <f aca="false">SUM(B9:B12)</f>
        <v>0.67648045</v>
      </c>
      <c r="C8" s="9" t="n">
        <f aca="false">SUM(C9:C12)</f>
        <v>0.430217149</v>
      </c>
      <c r="D8" s="9" t="n">
        <f aca="false">SUM(D9:D12)</f>
        <v>0.335064309</v>
      </c>
      <c r="E8" s="9" t="n">
        <f aca="false">SUM(E9:E12)</f>
        <v>0.274760242</v>
      </c>
      <c r="F8" s="9" t="n">
        <f aca="false">SUM(F9:F12)</f>
        <v>0.429050277</v>
      </c>
      <c r="G8" s="9" t="n">
        <f aca="false">SUM(G9:G12)</f>
        <v>1.070139385</v>
      </c>
      <c r="H8" s="9" t="n">
        <f aca="false">SUM(H9:H12)</f>
        <v>0.948261521</v>
      </c>
      <c r="I8" s="9" t="n">
        <f aca="false">SUM(I9:I12)</f>
        <v>1.365265036</v>
      </c>
      <c r="J8" s="9" t="n">
        <f aca="false">SUM(J9:J12)</f>
        <v>2.159556962</v>
      </c>
      <c r="K8" s="9" t="n">
        <f aca="false">SUM(K9:K12)</f>
        <v>3.025863896</v>
      </c>
      <c r="L8" s="9" t="n">
        <f aca="false">SUM(L9:L12)</f>
        <v>3.214120573</v>
      </c>
      <c r="M8" s="9" t="n">
        <f aca="false">SUM(M9:M12)</f>
        <v>3.645518498</v>
      </c>
    </row>
    <row r="9" customFormat="false" ht="15" hidden="false" customHeight="false" outlineLevel="0" collapsed="false">
      <c r="A9" s="23" t="s">
        <v>64</v>
      </c>
      <c r="B9" s="27" t="n">
        <v>0.562563755</v>
      </c>
      <c r="C9" s="27" t="n">
        <v>0.327814661</v>
      </c>
      <c r="D9" s="27" t="n">
        <v>0.211661867</v>
      </c>
      <c r="E9" s="27" t="n">
        <v>0.193698759</v>
      </c>
      <c r="F9" s="27" t="n">
        <v>0.37177635</v>
      </c>
      <c r="G9" s="27" t="n">
        <v>0.969156828</v>
      </c>
      <c r="H9" s="27" t="n">
        <v>0.838307268</v>
      </c>
      <c r="I9" s="27" t="n">
        <v>1.276976776</v>
      </c>
      <c r="J9" s="27" t="n">
        <v>1.912698977</v>
      </c>
      <c r="K9" s="27" t="n">
        <v>2.7580355</v>
      </c>
      <c r="L9" s="27" t="n">
        <v>2.862294634</v>
      </c>
      <c r="M9" s="27" t="n">
        <v>3.170455106</v>
      </c>
    </row>
    <row r="10" customFormat="false" ht="15" hidden="false" customHeight="false" outlineLevel="0" collapsed="false">
      <c r="A10" s="23" t="s">
        <v>66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0.119189087</v>
      </c>
      <c r="K10" s="27" t="n">
        <v>0.140236937</v>
      </c>
      <c r="L10" s="27" t="n">
        <v>0.231441745</v>
      </c>
      <c r="M10" s="27" t="n">
        <v>0.291739355</v>
      </c>
    </row>
    <row r="11" customFormat="false" ht="15" hidden="false" customHeight="false" outlineLevel="0" collapsed="false">
      <c r="A11" s="23" t="s">
        <v>68</v>
      </c>
      <c r="B11" s="27" t="n">
        <v>0.042918395</v>
      </c>
      <c r="C11" s="27" t="n">
        <v>0.066647388</v>
      </c>
      <c r="D11" s="27" t="n">
        <v>0.104116142</v>
      </c>
      <c r="E11" s="27" t="n">
        <v>0.051030483</v>
      </c>
      <c r="F11" s="27" t="n">
        <v>0.034378027</v>
      </c>
      <c r="G11" s="27" t="n">
        <v>0.068410457</v>
      </c>
      <c r="H11" s="27" t="n">
        <v>0.067627553</v>
      </c>
      <c r="I11" s="27" t="n">
        <v>0.04742286</v>
      </c>
      <c r="J11" s="27" t="n">
        <v>0.091896898</v>
      </c>
      <c r="K11" s="27" t="n">
        <v>0.105603359</v>
      </c>
      <c r="L11" s="27" t="n">
        <v>0.112454594</v>
      </c>
      <c r="M11" s="27" t="n">
        <v>0.019262965</v>
      </c>
    </row>
    <row r="12" customFormat="false" ht="15" hidden="false" customHeight="false" outlineLevel="0" collapsed="false">
      <c r="A12" s="23" t="s">
        <v>70</v>
      </c>
      <c r="B12" s="27" t="n">
        <v>0.0709983</v>
      </c>
      <c r="C12" s="27" t="n">
        <v>0.0357551</v>
      </c>
      <c r="D12" s="27" t="n">
        <v>0.0192863</v>
      </c>
      <c r="E12" s="27" t="n">
        <v>0.030031</v>
      </c>
      <c r="F12" s="27" t="n">
        <v>0.0228959</v>
      </c>
      <c r="G12" s="27" t="n">
        <v>0.0325721</v>
      </c>
      <c r="H12" s="27" t="n">
        <v>0.0423267</v>
      </c>
      <c r="I12" s="27" t="n">
        <v>0.0408654</v>
      </c>
      <c r="J12" s="27" t="n">
        <v>0.035772</v>
      </c>
      <c r="K12" s="27" t="n">
        <v>0.0219881</v>
      </c>
      <c r="L12" s="27" t="n">
        <v>0.0079296</v>
      </c>
      <c r="M12" s="27" t="n">
        <v>0.164061072</v>
      </c>
    </row>
    <row r="13" customFormat="false" ht="15" hidden="false" customHeight="false" outlineLevel="0" collapsed="false">
      <c r="A13" s="8" t="s">
        <v>17</v>
      </c>
      <c r="B13" s="9" t="n">
        <f aca="false">SUM(B14:B16)</f>
        <v>0</v>
      </c>
      <c r="C13" s="9" t="n">
        <f aca="false">SUM(C14:C16)</f>
        <v>0</v>
      </c>
      <c r="D13" s="9" t="n">
        <f aca="false">SUM(D14:D16)</f>
        <v>0</v>
      </c>
      <c r="E13" s="9" t="n">
        <f aca="false">SUM(E14:E16)</f>
        <v>0</v>
      </c>
      <c r="F13" s="9" t="n">
        <f aca="false">SUM(F14:F16)</f>
        <v>0</v>
      </c>
      <c r="G13" s="9" t="n">
        <f aca="false">SUM(G14:G16)</f>
        <v>0</v>
      </c>
      <c r="H13" s="9" t="n">
        <f aca="false">SUM(H14:H16)</f>
        <v>0</v>
      </c>
      <c r="I13" s="9" t="n">
        <f aca="false">SUM(I14:I16)</f>
        <v>0.215</v>
      </c>
      <c r="J13" s="9" t="n">
        <f aca="false">SUM(J14:J16)</f>
        <v>0.01831856</v>
      </c>
      <c r="K13" s="9" t="n">
        <f aca="false">SUM(K14:K16)</f>
        <v>0.03</v>
      </c>
      <c r="L13" s="9" t="n">
        <f aca="false">SUM(L14:L16)</f>
        <v>0.31</v>
      </c>
      <c r="M13" s="9" t="n">
        <f aca="false">SUM(M14:M16)</f>
        <v>0.4961709</v>
      </c>
    </row>
    <row r="14" customFormat="false" ht="15" hidden="false" customHeight="false" outlineLevel="0" collapsed="false">
      <c r="A14" s="23" t="s">
        <v>72</v>
      </c>
      <c r="B14" s="27" t="n">
        <v>0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0.03</v>
      </c>
      <c r="L14" s="27" t="n">
        <v>0.26</v>
      </c>
      <c r="M14" s="27" t="n">
        <v>0.41</v>
      </c>
    </row>
    <row r="15" customFormat="false" ht="15" hidden="false" customHeight="false" outlineLevel="0" collapsed="false">
      <c r="A15" s="23" t="s">
        <v>74</v>
      </c>
      <c r="B15" s="27" t="n">
        <v>0</v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0.215</v>
      </c>
      <c r="J15" s="27" t="n">
        <v>0.01831856</v>
      </c>
      <c r="K15" s="27" t="n">
        <v>0</v>
      </c>
      <c r="L15" s="27" t="n">
        <v>0.05</v>
      </c>
      <c r="M15" s="27" t="n">
        <v>0.0425</v>
      </c>
    </row>
    <row r="16" customFormat="false" ht="15" hidden="false" customHeight="false" outlineLevel="0" collapsed="false">
      <c r="A16" s="23" t="s">
        <v>76</v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0.0436709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6.85" hidden="false" customHeight="false" outlineLevel="0" collapsed="false">
      <c r="A4" s="28" t="s">
        <v>2</v>
      </c>
      <c r="B4" s="28" t="s">
        <v>144</v>
      </c>
      <c r="C4" s="28" t="s">
        <v>145</v>
      </c>
      <c r="D4" s="28" t="s">
        <v>146</v>
      </c>
      <c r="E4" s="28" t="s">
        <v>147</v>
      </c>
      <c r="F4" s="28" t="s">
        <v>148</v>
      </c>
    </row>
    <row r="5" customFormat="false" ht="15" hidden="false" customHeight="false" outlineLevel="0" collapsed="false">
      <c r="A5" s="4" t="s">
        <v>13</v>
      </c>
      <c r="B5" s="29" t="n">
        <f aca="false">'Bucket Summary'!E5</f>
        <v>24.83986606</v>
      </c>
      <c r="C5" s="30"/>
      <c r="D5" s="19" t="str">
        <f aca="false">IF(OR(B5=0,C5=""),"",C5/B5-1)</f>
        <v/>
      </c>
      <c r="E5" s="19" t="str">
        <f aca="false">IF(C$16=0,"",C5/C$16)</f>
        <v/>
      </c>
      <c r="F5" s="31"/>
    </row>
    <row r="6" customFormat="false" ht="15" hidden="false" customHeight="false" outlineLevel="0" collapsed="false">
      <c r="A6" s="4" t="s">
        <v>15</v>
      </c>
      <c r="B6" s="29" t="n">
        <f aca="false">'Bucket Summary'!E6</f>
        <v>12.045059929</v>
      </c>
      <c r="C6" s="30"/>
      <c r="D6" s="19" t="str">
        <f aca="false">IF(OR(B6=0,C6=""),"",C6/B6-1)</f>
        <v/>
      </c>
      <c r="E6" s="19" t="str">
        <f aca="false">IF(C$16=0,"",C6/C$16)</f>
        <v/>
      </c>
      <c r="F6" s="31"/>
    </row>
    <row r="7" customFormat="false" ht="15" hidden="false" customHeight="false" outlineLevel="0" collapsed="false">
      <c r="A7" s="4" t="s">
        <v>17</v>
      </c>
      <c r="B7" s="29" t="n">
        <f aca="false">'Bucket Summary'!E7</f>
        <v>0.85448946</v>
      </c>
      <c r="C7" s="30"/>
      <c r="D7" s="19" t="str">
        <f aca="false">IF(OR(B7=0,C7=""),"",C7/B7-1)</f>
        <v/>
      </c>
      <c r="E7" s="19" t="str">
        <f aca="false">IF(C$16=0,"",C7/C$16)</f>
        <v/>
      </c>
      <c r="F7" s="31"/>
    </row>
    <row r="8" customFormat="false" ht="15" hidden="false" customHeight="false" outlineLevel="0" collapsed="false">
      <c r="A8" s="4" t="s">
        <v>19</v>
      </c>
      <c r="B8" s="29" t="n">
        <f aca="false">'Bucket Summary'!E8</f>
        <v>0.818497047</v>
      </c>
      <c r="C8" s="30"/>
      <c r="D8" s="19" t="str">
        <f aca="false">IF(OR(B8=0,C8=""),"",C8/B8-1)</f>
        <v/>
      </c>
      <c r="E8" s="19" t="str">
        <f aca="false">IF(C$16=0,"",C8/C$16)</f>
        <v/>
      </c>
      <c r="F8" s="31"/>
    </row>
    <row r="9" customFormat="false" ht="15" hidden="false" customHeight="false" outlineLevel="0" collapsed="false">
      <c r="A9" s="4" t="s">
        <v>21</v>
      </c>
      <c r="B9" s="29" t="n">
        <f aca="false">'Bucket Summary'!E9</f>
        <v>0.02</v>
      </c>
      <c r="C9" s="30"/>
      <c r="D9" s="19" t="str">
        <f aca="false">IF(OR(B9=0,C9=""),"",C9/B9-1)</f>
        <v/>
      </c>
      <c r="E9" s="19" t="str">
        <f aca="false">IF(C$16=0,"",C9/C$16)</f>
        <v/>
      </c>
      <c r="F9" s="31"/>
    </row>
    <row r="10" customFormat="false" ht="15" hidden="false" customHeight="false" outlineLevel="0" collapsed="false">
      <c r="A10" s="4" t="s">
        <v>23</v>
      </c>
      <c r="B10" s="29" t="n">
        <f aca="false">'Bucket Summary'!E10</f>
        <v>1.116663002</v>
      </c>
      <c r="C10" s="30"/>
      <c r="D10" s="19" t="str">
        <f aca="false">IF(OR(B10=0,C10=""),"",C10/B10-1)</f>
        <v/>
      </c>
      <c r="E10" s="19" t="str">
        <f aca="false">IF(C$16=0,"",C10/C$16)</f>
        <v/>
      </c>
      <c r="F10" s="31"/>
    </row>
    <row r="11" customFormat="false" ht="15" hidden="false" customHeight="false" outlineLevel="0" collapsed="false">
      <c r="A11" s="4" t="s">
        <v>25</v>
      </c>
      <c r="B11" s="29" t="n">
        <f aca="false">'Bucket Summary'!E11</f>
        <v>1.077239666</v>
      </c>
      <c r="C11" s="30"/>
      <c r="D11" s="19" t="str">
        <f aca="false">IF(OR(B11=0,C11=""),"",C11/B11-1)</f>
        <v/>
      </c>
      <c r="E11" s="19" t="str">
        <f aca="false">IF(C$16=0,"",C11/C$16)</f>
        <v/>
      </c>
      <c r="F11" s="31"/>
    </row>
    <row r="12" customFormat="false" ht="15" hidden="false" customHeight="false" outlineLevel="0" collapsed="false">
      <c r="A12" s="4" t="s">
        <v>27</v>
      </c>
      <c r="B12" s="29" t="n">
        <f aca="false">'Bucket Summary'!E12</f>
        <v>0.3794468</v>
      </c>
      <c r="C12" s="30"/>
      <c r="D12" s="19" t="str">
        <f aca="false">IF(OR(B12=0,C12=""),"",C12/B12-1)</f>
        <v/>
      </c>
      <c r="E12" s="19" t="str">
        <f aca="false">IF(C$16=0,"",C12/C$16)</f>
        <v/>
      </c>
      <c r="F12" s="31"/>
    </row>
    <row r="13" customFormat="false" ht="15" hidden="false" customHeight="false" outlineLevel="0" collapsed="false">
      <c r="A13" s="4" t="s">
        <v>29</v>
      </c>
      <c r="B13" s="29" t="n">
        <f aca="false">'Bucket Summary'!E13</f>
        <v>0.137142119</v>
      </c>
      <c r="C13" s="30"/>
      <c r="D13" s="19" t="str">
        <f aca="false">IF(OR(B13=0,C13=""),"",C13/B13-1)</f>
        <v/>
      </c>
      <c r="E13" s="19" t="str">
        <f aca="false">IF(C$16=0,"",C13/C$16)</f>
        <v/>
      </c>
      <c r="F13" s="31"/>
    </row>
    <row r="14" customFormat="false" ht="15" hidden="false" customHeight="false" outlineLevel="0" collapsed="false">
      <c r="A14" s="4" t="s">
        <v>31</v>
      </c>
      <c r="B14" s="29" t="n">
        <f aca="false">'Bucket Summary'!E14</f>
        <v>0.030403944</v>
      </c>
      <c r="C14" s="30"/>
      <c r="D14" s="19" t="str">
        <f aca="false">IF(OR(B14=0,C14=""),"",C14/B14-1)</f>
        <v/>
      </c>
      <c r="E14" s="19" t="str">
        <f aca="false">IF(C$16=0,"",C14/C$16)</f>
        <v/>
      </c>
      <c r="F14" s="31"/>
    </row>
    <row r="15" customFormat="false" ht="15" hidden="false" customHeight="false" outlineLevel="0" collapsed="false">
      <c r="A15" s="4" t="s">
        <v>33</v>
      </c>
      <c r="B15" s="29" t="n">
        <f aca="false">'Bucket Summary'!E15</f>
        <v>0.233476748000011</v>
      </c>
      <c r="C15" s="30"/>
      <c r="D15" s="19" t="str">
        <f aca="false">IF(OR(B15=0,C15=""),"",C15/B15-1)</f>
        <v/>
      </c>
      <c r="E15" s="19" t="str">
        <f aca="false">IF(C$16=0,"",C15/C$16)</f>
        <v/>
      </c>
      <c r="F15" s="31"/>
    </row>
    <row r="16" customFormat="false" ht="15" hidden="false" customHeight="false" outlineLevel="0" collapsed="false">
      <c r="A16" s="8" t="s">
        <v>48</v>
      </c>
      <c r="B16" s="9" t="n">
        <f aca="false">SUM(B5:B15)</f>
        <v>41.552284775</v>
      </c>
      <c r="C16" s="9" t="n">
        <f aca="false">SUM(C5:C15)</f>
        <v>0</v>
      </c>
      <c r="D16" s="10" t="str">
        <f aca="false">IF(C16=0,"",C16/B16-1)</f>
        <v/>
      </c>
      <c r="E16" s="8"/>
      <c r="F16" s="8"/>
    </row>
    <row r="18" customFormat="false" ht="15" hidden="false" customHeight="false" outlineLevel="0" collapsed="false">
      <c r="A18" s="1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8" min="6" style="0" width="11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26.85" hidden="false" customHeight="false" outlineLevel="0" collapsed="false">
      <c r="A4" s="3" t="s">
        <v>152</v>
      </c>
      <c r="B4" s="3" t="s">
        <v>153</v>
      </c>
      <c r="C4" s="3" t="s">
        <v>2</v>
      </c>
      <c r="D4" s="3" t="s">
        <v>154</v>
      </c>
      <c r="E4" s="3" t="s">
        <v>155</v>
      </c>
      <c r="F4" s="3" t="s">
        <v>4</v>
      </c>
      <c r="G4" s="3" t="s">
        <v>5</v>
      </c>
      <c r="H4" s="3" t="s">
        <v>6</v>
      </c>
    </row>
    <row r="5" customFormat="false" ht="15" hidden="false" customHeight="false" outlineLevel="0" collapsed="false">
      <c r="A5" s="32" t="n">
        <v>1</v>
      </c>
      <c r="B5" s="32" t="s">
        <v>61</v>
      </c>
      <c r="C5" s="32" t="s">
        <v>13</v>
      </c>
      <c r="D5" s="32" t="s">
        <v>156</v>
      </c>
      <c r="E5" s="32" t="s">
        <v>157</v>
      </c>
      <c r="F5" s="33" t="n">
        <v>8.83900051</v>
      </c>
      <c r="G5" s="33" t="n">
        <v>13.257302188</v>
      </c>
      <c r="H5" s="33" t="n">
        <v>19.811683608</v>
      </c>
    </row>
    <row r="6" customFormat="false" ht="15" hidden="false" customHeight="false" outlineLevel="0" collapsed="false">
      <c r="A6" s="32" t="n">
        <v>2</v>
      </c>
      <c r="B6" s="32" t="s">
        <v>63</v>
      </c>
      <c r="C6" s="32" t="s">
        <v>13</v>
      </c>
      <c r="D6" s="32" t="s">
        <v>158</v>
      </c>
      <c r="E6" s="32" t="s">
        <v>157</v>
      </c>
      <c r="F6" s="33" t="n">
        <v>4.159115743</v>
      </c>
      <c r="G6" s="33" t="n">
        <v>4.495907963</v>
      </c>
      <c r="H6" s="33" t="n">
        <v>5.028182452</v>
      </c>
    </row>
    <row r="7" customFormat="false" ht="15" hidden="false" customHeight="false" outlineLevel="0" collapsed="false">
      <c r="A7" s="32" t="n">
        <v>3</v>
      </c>
      <c r="B7" s="32" t="s">
        <v>65</v>
      </c>
      <c r="C7" s="32" t="s">
        <v>15</v>
      </c>
      <c r="D7" s="32" t="s">
        <v>159</v>
      </c>
      <c r="E7" s="32" t="s">
        <v>157</v>
      </c>
      <c r="F7" s="33" t="n">
        <v>1.295739042</v>
      </c>
      <c r="G7" s="33" t="n">
        <v>3.456217222</v>
      </c>
      <c r="H7" s="33" t="n">
        <v>10.703484217</v>
      </c>
    </row>
    <row r="8" customFormat="false" ht="15" hidden="false" customHeight="false" outlineLevel="0" collapsed="false">
      <c r="A8" s="32" t="n">
        <v>4</v>
      </c>
      <c r="B8" s="32" t="s">
        <v>67</v>
      </c>
      <c r="C8" s="32" t="s">
        <v>15</v>
      </c>
      <c r="D8" s="32" t="s">
        <v>160</v>
      </c>
      <c r="E8" s="32" t="s">
        <v>157</v>
      </c>
      <c r="F8" s="33" t="n">
        <v>0</v>
      </c>
      <c r="G8" s="33" t="n">
        <v>0</v>
      </c>
      <c r="H8" s="33" t="n">
        <v>0.782607124</v>
      </c>
    </row>
    <row r="9" customFormat="false" ht="15" hidden="false" customHeight="false" outlineLevel="0" collapsed="false">
      <c r="A9" s="32" t="n">
        <v>5</v>
      </c>
      <c r="B9" s="32" t="s">
        <v>69</v>
      </c>
      <c r="C9" s="32" t="s">
        <v>15</v>
      </c>
      <c r="D9" s="32" t="s">
        <v>161</v>
      </c>
      <c r="E9" s="32" t="s">
        <v>157</v>
      </c>
      <c r="F9" s="33" t="n">
        <v>0.264712408</v>
      </c>
      <c r="G9" s="33" t="n">
        <v>0.217838897</v>
      </c>
      <c r="H9" s="33" t="n">
        <v>0.329217816</v>
      </c>
    </row>
    <row r="10" customFormat="false" ht="15" hidden="false" customHeight="false" outlineLevel="0" collapsed="false">
      <c r="A10" s="32" t="n">
        <v>6</v>
      </c>
      <c r="B10" s="32" t="s">
        <v>71</v>
      </c>
      <c r="C10" s="32" t="s">
        <v>15</v>
      </c>
      <c r="D10" s="32" t="s">
        <v>162</v>
      </c>
      <c r="E10" s="32" t="s">
        <v>157</v>
      </c>
      <c r="F10" s="33" t="n">
        <v>0.1560707</v>
      </c>
      <c r="G10" s="33" t="n">
        <v>0.1386601</v>
      </c>
      <c r="H10" s="33" t="n">
        <v>0.229750772</v>
      </c>
    </row>
    <row r="11" customFormat="false" ht="15" hidden="false" customHeight="false" outlineLevel="0" collapsed="false">
      <c r="A11" s="32" t="n">
        <v>7</v>
      </c>
      <c r="B11" s="32" t="s">
        <v>73</v>
      </c>
      <c r="C11" s="32" t="s">
        <v>17</v>
      </c>
      <c r="D11" s="32" t="s">
        <v>163</v>
      </c>
      <c r="E11" s="32" t="s">
        <v>157</v>
      </c>
      <c r="F11" s="33" t="n">
        <v>0</v>
      </c>
      <c r="G11" s="33" t="n">
        <v>0</v>
      </c>
      <c r="H11" s="33" t="n">
        <v>0.7</v>
      </c>
    </row>
    <row r="12" customFormat="false" ht="15" hidden="false" customHeight="false" outlineLevel="0" collapsed="false">
      <c r="A12" s="32" t="n">
        <v>8</v>
      </c>
      <c r="B12" s="32" t="s">
        <v>75</v>
      </c>
      <c r="C12" s="32" t="s">
        <v>17</v>
      </c>
      <c r="D12" s="32" t="s">
        <v>164</v>
      </c>
      <c r="E12" s="32" t="s">
        <v>157</v>
      </c>
      <c r="F12" s="33" t="n">
        <v>0</v>
      </c>
      <c r="G12" s="33" t="n">
        <v>0.215</v>
      </c>
      <c r="H12" s="33" t="n">
        <v>0.11081856</v>
      </c>
    </row>
    <row r="13" customFormat="false" ht="15" hidden="false" customHeight="false" outlineLevel="0" collapsed="false">
      <c r="A13" s="32" t="n">
        <v>9</v>
      </c>
      <c r="B13" s="32" t="s">
        <v>77</v>
      </c>
      <c r="C13" s="32" t="s">
        <v>17</v>
      </c>
      <c r="D13" s="32" t="s">
        <v>165</v>
      </c>
      <c r="E13" s="32" t="s">
        <v>157</v>
      </c>
      <c r="F13" s="33" t="n">
        <v>0</v>
      </c>
      <c r="G13" s="33" t="n">
        <v>0</v>
      </c>
      <c r="H13" s="33" t="n">
        <v>0.0436709</v>
      </c>
    </row>
    <row r="14" customFormat="false" ht="15" hidden="false" customHeight="false" outlineLevel="0" collapsed="false">
      <c r="A14" s="32" t="n">
        <v>10</v>
      </c>
      <c r="B14" s="32" t="s">
        <v>79</v>
      </c>
      <c r="C14" s="32" t="s">
        <v>19</v>
      </c>
      <c r="D14" s="32" t="s">
        <v>166</v>
      </c>
      <c r="E14" s="32" t="s">
        <v>157</v>
      </c>
      <c r="F14" s="33" t="n">
        <v>0.764075411</v>
      </c>
      <c r="G14" s="33" t="n">
        <v>0.656221316</v>
      </c>
      <c r="H14" s="33" t="n">
        <v>0.79997</v>
      </c>
    </row>
    <row r="15" customFormat="false" ht="15" hidden="false" customHeight="false" outlineLevel="0" collapsed="false">
      <c r="A15" s="32" t="n">
        <v>11</v>
      </c>
      <c r="B15" s="32" t="s">
        <v>83</v>
      </c>
      <c r="C15" s="32" t="s">
        <v>19</v>
      </c>
      <c r="D15" s="32" t="s">
        <v>167</v>
      </c>
      <c r="E15" s="34" t="s">
        <v>168</v>
      </c>
      <c r="F15" s="33" t="n">
        <v>0</v>
      </c>
      <c r="G15" s="33" t="n">
        <v>0</v>
      </c>
      <c r="H15" s="33" t="n">
        <v>0.0075</v>
      </c>
    </row>
    <row r="16" customFormat="false" ht="15" hidden="false" customHeight="false" outlineLevel="0" collapsed="false">
      <c r="A16" s="32" t="n">
        <v>12</v>
      </c>
      <c r="B16" s="32" t="s">
        <v>81</v>
      </c>
      <c r="C16" s="32" t="s">
        <v>19</v>
      </c>
      <c r="D16" s="32" t="s">
        <v>169</v>
      </c>
      <c r="E16" s="34" t="s">
        <v>168</v>
      </c>
      <c r="F16" s="33" t="n">
        <v>0</v>
      </c>
      <c r="G16" s="33" t="n">
        <v>0.016758311</v>
      </c>
      <c r="H16" s="33" t="n">
        <v>0.011027047</v>
      </c>
    </row>
    <row r="17" customFormat="false" ht="15" hidden="false" customHeight="false" outlineLevel="0" collapsed="false">
      <c r="A17" s="32" t="n">
        <v>13</v>
      </c>
      <c r="B17" s="32" t="s">
        <v>170</v>
      </c>
      <c r="C17" s="32" t="s">
        <v>19</v>
      </c>
      <c r="D17" s="32" t="s">
        <v>171</v>
      </c>
      <c r="E17" s="32" t="s">
        <v>172</v>
      </c>
      <c r="F17" s="33" t="n">
        <v>0</v>
      </c>
      <c r="G17" s="33" t="n">
        <v>0.0010256</v>
      </c>
      <c r="H17" s="33" t="n">
        <v>0</v>
      </c>
    </row>
    <row r="18" customFormat="false" ht="15" hidden="false" customHeight="false" outlineLevel="0" collapsed="false">
      <c r="A18" s="32" t="n">
        <v>14</v>
      </c>
      <c r="B18" s="32" t="s">
        <v>173</v>
      </c>
      <c r="C18" s="32" t="s">
        <v>19</v>
      </c>
      <c r="D18" s="32" t="s">
        <v>166</v>
      </c>
      <c r="E18" s="32" t="s">
        <v>172</v>
      </c>
      <c r="F18" s="33" t="n">
        <v>0.002305347</v>
      </c>
      <c r="G18" s="33" t="n">
        <v>0</v>
      </c>
      <c r="H18" s="33" t="n">
        <v>0</v>
      </c>
    </row>
    <row r="19" customFormat="false" ht="15" hidden="false" customHeight="false" outlineLevel="0" collapsed="false">
      <c r="A19" s="32" t="n">
        <v>15</v>
      </c>
      <c r="B19" s="32" t="s">
        <v>174</v>
      </c>
      <c r="C19" s="32" t="s">
        <v>19</v>
      </c>
      <c r="D19" s="32" t="s">
        <v>175</v>
      </c>
      <c r="E19" s="34" t="s">
        <v>168</v>
      </c>
      <c r="F19" s="33" t="n">
        <v>0.0005</v>
      </c>
      <c r="G19" s="33" t="n">
        <v>0</v>
      </c>
      <c r="H19" s="33" t="n">
        <v>0</v>
      </c>
    </row>
    <row r="20" customFormat="false" ht="15" hidden="false" customHeight="false" outlineLevel="0" collapsed="false">
      <c r="A20" s="32" t="n">
        <v>16</v>
      </c>
      <c r="B20" s="32" t="s">
        <v>176</v>
      </c>
      <c r="C20" s="32" t="s">
        <v>19</v>
      </c>
      <c r="D20" s="32" t="s">
        <v>177</v>
      </c>
      <c r="E20" s="32" t="s">
        <v>172</v>
      </c>
      <c r="F20" s="33" t="n">
        <v>0.000294938</v>
      </c>
      <c r="G20" s="33" t="n">
        <v>0</v>
      </c>
      <c r="H20" s="33" t="n">
        <v>0</v>
      </c>
    </row>
    <row r="21" customFormat="false" ht="15" hidden="false" customHeight="false" outlineLevel="0" collapsed="false">
      <c r="A21" s="32" t="n">
        <v>17</v>
      </c>
      <c r="B21" s="32" t="s">
        <v>178</v>
      </c>
      <c r="C21" s="32" t="s">
        <v>19</v>
      </c>
      <c r="D21" s="32" t="s">
        <v>179</v>
      </c>
      <c r="E21" s="32" t="s">
        <v>172</v>
      </c>
      <c r="F21" s="33" t="n">
        <v>0.006637681</v>
      </c>
      <c r="G21" s="33" t="n">
        <v>0.0029989</v>
      </c>
      <c r="H21" s="33" t="n">
        <v>0</v>
      </c>
    </row>
    <row r="22" customFormat="false" ht="15" hidden="false" customHeight="false" outlineLevel="0" collapsed="false">
      <c r="A22" s="32" t="n">
        <v>18</v>
      </c>
      <c r="B22" s="32" t="s">
        <v>180</v>
      </c>
      <c r="C22" s="32" t="s">
        <v>19</v>
      </c>
      <c r="D22" s="32" t="s">
        <v>181</v>
      </c>
      <c r="E22" s="32" t="s">
        <v>172</v>
      </c>
      <c r="F22" s="33" t="n">
        <v>0.3652</v>
      </c>
      <c r="G22" s="33" t="n">
        <v>0.1197249</v>
      </c>
      <c r="H22" s="33" t="n">
        <v>0</v>
      </c>
    </row>
    <row r="23" customFormat="false" ht="15" hidden="false" customHeight="false" outlineLevel="0" collapsed="false">
      <c r="A23" s="32" t="n">
        <v>19</v>
      </c>
      <c r="B23" s="32" t="s">
        <v>182</v>
      </c>
      <c r="C23" s="32" t="s">
        <v>19</v>
      </c>
      <c r="D23" s="32" t="s">
        <v>183</v>
      </c>
      <c r="E23" s="32" t="s">
        <v>157</v>
      </c>
      <c r="F23" s="33" t="n">
        <v>0</v>
      </c>
      <c r="G23" s="33" t="n">
        <v>0.000593844</v>
      </c>
      <c r="H23" s="33" t="n">
        <v>0</v>
      </c>
    </row>
    <row r="24" customFormat="false" ht="15" hidden="false" customHeight="false" outlineLevel="0" collapsed="false">
      <c r="A24" s="32" t="n">
        <v>20</v>
      </c>
      <c r="B24" s="32" t="s">
        <v>85</v>
      </c>
      <c r="C24" s="32" t="s">
        <v>21</v>
      </c>
      <c r="D24" s="32" t="s">
        <v>184</v>
      </c>
      <c r="E24" s="34" t="s">
        <v>168</v>
      </c>
      <c r="F24" s="33" t="n">
        <v>0</v>
      </c>
      <c r="G24" s="33" t="n">
        <v>0</v>
      </c>
      <c r="H24" s="33" t="n">
        <v>0.02</v>
      </c>
    </row>
    <row r="25" customFormat="false" ht="15" hidden="false" customHeight="false" outlineLevel="0" collapsed="false">
      <c r="A25" s="32" t="n">
        <v>21</v>
      </c>
      <c r="B25" s="32" t="s">
        <v>185</v>
      </c>
      <c r="C25" s="32" t="s">
        <v>21</v>
      </c>
      <c r="D25" s="32" t="s">
        <v>186</v>
      </c>
      <c r="E25" s="34" t="s">
        <v>168</v>
      </c>
      <c r="F25" s="33" t="n">
        <v>0</v>
      </c>
      <c r="G25" s="33" t="n">
        <v>0.0118</v>
      </c>
      <c r="H25" s="33" t="n">
        <v>0</v>
      </c>
    </row>
    <row r="26" customFormat="false" ht="15" hidden="false" customHeight="false" outlineLevel="0" collapsed="false">
      <c r="A26" s="32" t="n">
        <v>22</v>
      </c>
      <c r="B26" s="32" t="s">
        <v>187</v>
      </c>
      <c r="C26" s="32" t="s">
        <v>21</v>
      </c>
      <c r="D26" s="32" t="s">
        <v>188</v>
      </c>
      <c r="E26" s="34" t="s">
        <v>168</v>
      </c>
      <c r="F26" s="33" t="n">
        <v>0.017758396</v>
      </c>
      <c r="G26" s="33" t="n">
        <v>0</v>
      </c>
      <c r="H26" s="33" t="n">
        <v>0</v>
      </c>
    </row>
    <row r="27" customFormat="false" ht="15" hidden="false" customHeight="false" outlineLevel="0" collapsed="false">
      <c r="A27" s="32" t="n">
        <v>23</v>
      </c>
      <c r="B27" s="32" t="s">
        <v>189</v>
      </c>
      <c r="C27" s="32" t="s">
        <v>21</v>
      </c>
      <c r="D27" s="32" t="s">
        <v>190</v>
      </c>
      <c r="E27" s="32" t="s">
        <v>157</v>
      </c>
      <c r="F27" s="33" t="n">
        <v>0.004192945</v>
      </c>
      <c r="G27" s="33" t="n">
        <v>0</v>
      </c>
      <c r="H27" s="33" t="n">
        <v>0</v>
      </c>
    </row>
    <row r="28" customFormat="false" ht="15" hidden="false" customHeight="false" outlineLevel="0" collapsed="false">
      <c r="A28" s="32" t="n">
        <v>24</v>
      </c>
      <c r="B28" s="32" t="s">
        <v>191</v>
      </c>
      <c r="C28" s="32" t="s">
        <v>21</v>
      </c>
      <c r="D28" s="32" t="s">
        <v>192</v>
      </c>
      <c r="E28" s="32" t="s">
        <v>172</v>
      </c>
      <c r="F28" s="33" t="n">
        <v>0</v>
      </c>
      <c r="G28" s="33" t="n">
        <v>0.012711864</v>
      </c>
      <c r="H28" s="33" t="n">
        <v>0</v>
      </c>
    </row>
    <row r="29" customFormat="false" ht="15" hidden="false" customHeight="false" outlineLevel="0" collapsed="false">
      <c r="A29" s="32" t="n">
        <v>25</v>
      </c>
      <c r="B29" s="32" t="s">
        <v>193</v>
      </c>
      <c r="C29" s="32" t="s">
        <v>21</v>
      </c>
      <c r="D29" s="32" t="s">
        <v>194</v>
      </c>
      <c r="E29" s="32" t="s">
        <v>172</v>
      </c>
      <c r="F29" s="33" t="n">
        <v>0.019589101</v>
      </c>
      <c r="G29" s="33" t="n">
        <v>0.000259889</v>
      </c>
      <c r="H29" s="33" t="n">
        <v>0</v>
      </c>
    </row>
    <row r="30" customFormat="false" ht="15" hidden="false" customHeight="false" outlineLevel="0" collapsed="false">
      <c r="A30" s="32" t="n">
        <v>26</v>
      </c>
      <c r="B30" s="32" t="s">
        <v>195</v>
      </c>
      <c r="C30" s="32" t="s">
        <v>21</v>
      </c>
      <c r="D30" s="32" t="s">
        <v>196</v>
      </c>
      <c r="E30" s="34" t="s">
        <v>168</v>
      </c>
      <c r="F30" s="33" t="n">
        <v>0.0001544</v>
      </c>
      <c r="G30" s="33" t="n">
        <v>0</v>
      </c>
      <c r="H30" s="33" t="n">
        <v>0</v>
      </c>
    </row>
    <row r="31" customFormat="false" ht="15" hidden="false" customHeight="false" outlineLevel="0" collapsed="false">
      <c r="A31" s="32" t="n">
        <v>27</v>
      </c>
      <c r="B31" s="32" t="s">
        <v>197</v>
      </c>
      <c r="C31" s="32" t="s">
        <v>21</v>
      </c>
      <c r="D31" s="32" t="s">
        <v>198</v>
      </c>
      <c r="E31" s="34" t="s">
        <v>168</v>
      </c>
      <c r="F31" s="33" t="n">
        <v>0</v>
      </c>
      <c r="G31" s="33" t="n">
        <v>0.0001716</v>
      </c>
      <c r="H31" s="33" t="n">
        <v>0</v>
      </c>
    </row>
    <row r="32" customFormat="false" ht="15" hidden="false" customHeight="false" outlineLevel="0" collapsed="false">
      <c r="A32" s="32" t="n">
        <v>28</v>
      </c>
      <c r="B32" s="32" t="s">
        <v>199</v>
      </c>
      <c r="C32" s="32" t="s">
        <v>21</v>
      </c>
      <c r="D32" s="32" t="s">
        <v>200</v>
      </c>
      <c r="E32" s="32" t="s">
        <v>172</v>
      </c>
      <c r="F32" s="33" t="n">
        <v>0.001341285</v>
      </c>
      <c r="G32" s="33" t="n">
        <v>0.000862158</v>
      </c>
      <c r="H32" s="33" t="n">
        <v>0</v>
      </c>
    </row>
    <row r="33" customFormat="false" ht="15" hidden="false" customHeight="false" outlineLevel="0" collapsed="false">
      <c r="A33" s="32" t="n">
        <v>29</v>
      </c>
      <c r="B33" s="32" t="s">
        <v>201</v>
      </c>
      <c r="C33" s="32" t="s">
        <v>21</v>
      </c>
      <c r="D33" s="32" t="s">
        <v>202</v>
      </c>
      <c r="E33" s="34" t="s">
        <v>168</v>
      </c>
      <c r="F33" s="33" t="n">
        <v>0</v>
      </c>
      <c r="G33" s="33" t="n">
        <v>0.045</v>
      </c>
      <c r="H33" s="33" t="n">
        <v>0</v>
      </c>
    </row>
    <row r="34" customFormat="false" ht="15" hidden="false" customHeight="false" outlineLevel="0" collapsed="false">
      <c r="A34" s="32" t="n">
        <v>30</v>
      </c>
      <c r="B34" s="32" t="s">
        <v>203</v>
      </c>
      <c r="C34" s="32" t="s">
        <v>21</v>
      </c>
      <c r="D34" s="32" t="s">
        <v>204</v>
      </c>
      <c r="E34" s="32" t="s">
        <v>157</v>
      </c>
      <c r="F34" s="33" t="n">
        <v>0.00081</v>
      </c>
      <c r="G34" s="33" t="n">
        <v>0.00039</v>
      </c>
      <c r="H34" s="33" t="n">
        <v>0</v>
      </c>
    </row>
    <row r="35" customFormat="false" ht="15" hidden="false" customHeight="false" outlineLevel="0" collapsed="false">
      <c r="A35" s="32" t="n">
        <v>31</v>
      </c>
      <c r="B35" s="32" t="s">
        <v>205</v>
      </c>
      <c r="C35" s="32" t="s">
        <v>21</v>
      </c>
      <c r="D35" s="32" t="s">
        <v>204</v>
      </c>
      <c r="E35" s="32" t="s">
        <v>157</v>
      </c>
      <c r="F35" s="33" t="n">
        <v>0.077665804</v>
      </c>
      <c r="G35" s="33" t="n">
        <v>0.035390019</v>
      </c>
      <c r="H35" s="33" t="n">
        <v>0</v>
      </c>
    </row>
    <row r="36" customFormat="false" ht="15" hidden="false" customHeight="false" outlineLevel="0" collapsed="false">
      <c r="A36" s="32" t="n">
        <v>32</v>
      </c>
      <c r="B36" s="32" t="s">
        <v>206</v>
      </c>
      <c r="C36" s="32" t="s">
        <v>23</v>
      </c>
      <c r="D36" s="32" t="s">
        <v>207</v>
      </c>
      <c r="E36" s="32" t="s">
        <v>157</v>
      </c>
      <c r="F36" s="33" t="n">
        <v>0.1597769</v>
      </c>
      <c r="G36" s="33" t="n">
        <v>0.190853975</v>
      </c>
      <c r="H36" s="33" t="n">
        <v>0</v>
      </c>
    </row>
    <row r="37" customFormat="false" ht="15" hidden="false" customHeight="false" outlineLevel="0" collapsed="false">
      <c r="A37" s="32" t="n">
        <v>33</v>
      </c>
      <c r="B37" s="32" t="s">
        <v>208</v>
      </c>
      <c r="C37" s="32" t="s">
        <v>23</v>
      </c>
      <c r="D37" s="32" t="s">
        <v>209</v>
      </c>
      <c r="E37" s="32" t="s">
        <v>157</v>
      </c>
      <c r="F37" s="33" t="n">
        <v>6.96E-007</v>
      </c>
      <c r="G37" s="33" t="n">
        <v>0</v>
      </c>
      <c r="H37" s="33" t="n">
        <v>0</v>
      </c>
    </row>
    <row r="38" customFormat="false" ht="15" hidden="false" customHeight="false" outlineLevel="0" collapsed="false">
      <c r="A38" s="32" t="n">
        <v>34</v>
      </c>
      <c r="B38" s="32" t="s">
        <v>89</v>
      </c>
      <c r="C38" s="32" t="s">
        <v>23</v>
      </c>
      <c r="D38" s="32" t="s">
        <v>210</v>
      </c>
      <c r="E38" s="32" t="s">
        <v>157</v>
      </c>
      <c r="F38" s="33" t="n">
        <v>0</v>
      </c>
      <c r="G38" s="33" t="n">
        <v>0.0861</v>
      </c>
      <c r="H38" s="33" t="n">
        <v>0.225</v>
      </c>
    </row>
    <row r="39" customFormat="false" ht="15" hidden="false" customHeight="false" outlineLevel="0" collapsed="false">
      <c r="A39" s="32" t="n">
        <v>35</v>
      </c>
      <c r="B39" s="32" t="s">
        <v>87</v>
      </c>
      <c r="C39" s="32" t="s">
        <v>23</v>
      </c>
      <c r="D39" s="32" t="s">
        <v>87</v>
      </c>
      <c r="E39" s="32" t="s">
        <v>157</v>
      </c>
      <c r="F39" s="33" t="n">
        <v>0.155049128</v>
      </c>
      <c r="G39" s="33" t="n">
        <v>0.121564854</v>
      </c>
      <c r="H39" s="33" t="n">
        <v>0.891663002</v>
      </c>
    </row>
    <row r="40" customFormat="false" ht="15" hidden="false" customHeight="false" outlineLevel="0" collapsed="false">
      <c r="A40" s="32" t="n">
        <v>36</v>
      </c>
      <c r="B40" s="32" t="s">
        <v>97</v>
      </c>
      <c r="C40" s="32" t="s">
        <v>25</v>
      </c>
      <c r="D40" s="32" t="s">
        <v>211</v>
      </c>
      <c r="E40" s="32" t="s">
        <v>172</v>
      </c>
      <c r="F40" s="33" t="n">
        <v>0</v>
      </c>
      <c r="G40" s="33" t="n">
        <v>0</v>
      </c>
      <c r="H40" s="33" t="n">
        <v>0.09</v>
      </c>
    </row>
    <row r="41" customFormat="false" ht="15" hidden="false" customHeight="false" outlineLevel="0" collapsed="false">
      <c r="A41" s="32" t="n">
        <v>37</v>
      </c>
      <c r="B41" s="32" t="s">
        <v>99</v>
      </c>
      <c r="C41" s="32" t="s">
        <v>25</v>
      </c>
      <c r="D41" s="32" t="s">
        <v>212</v>
      </c>
      <c r="E41" s="32" t="s">
        <v>172</v>
      </c>
      <c r="F41" s="33" t="n">
        <v>0</v>
      </c>
      <c r="G41" s="33" t="n">
        <v>0</v>
      </c>
      <c r="H41" s="33" t="n">
        <v>0.032</v>
      </c>
    </row>
    <row r="42" customFormat="false" ht="15" hidden="false" customHeight="false" outlineLevel="0" collapsed="false">
      <c r="A42" s="32" t="n">
        <v>38</v>
      </c>
      <c r="B42" s="32" t="s">
        <v>213</v>
      </c>
      <c r="C42" s="32" t="s">
        <v>25</v>
      </c>
      <c r="D42" s="32" t="s">
        <v>214</v>
      </c>
      <c r="E42" s="32" t="s">
        <v>157</v>
      </c>
      <c r="F42" s="33" t="n">
        <v>0</v>
      </c>
      <c r="G42" s="33" t="n">
        <v>0.37</v>
      </c>
      <c r="H42" s="33" t="n">
        <v>0</v>
      </c>
    </row>
    <row r="43" customFormat="false" ht="15" hidden="false" customHeight="false" outlineLevel="0" collapsed="false">
      <c r="A43" s="32" t="n">
        <v>39</v>
      </c>
      <c r="B43" s="32" t="s">
        <v>215</v>
      </c>
      <c r="C43" s="32" t="s">
        <v>25</v>
      </c>
      <c r="D43" s="32" t="s">
        <v>216</v>
      </c>
      <c r="E43" s="32" t="s">
        <v>172</v>
      </c>
      <c r="F43" s="33" t="n">
        <v>0.0075</v>
      </c>
      <c r="G43" s="33" t="n">
        <v>0</v>
      </c>
      <c r="H43" s="33" t="n">
        <v>0</v>
      </c>
    </row>
    <row r="44" customFormat="false" ht="15" hidden="false" customHeight="false" outlineLevel="0" collapsed="false">
      <c r="A44" s="32" t="n">
        <v>40</v>
      </c>
      <c r="B44" s="32" t="s">
        <v>217</v>
      </c>
      <c r="C44" s="32" t="s">
        <v>25</v>
      </c>
      <c r="D44" s="32" t="s">
        <v>218</v>
      </c>
      <c r="E44" s="32" t="s">
        <v>172</v>
      </c>
      <c r="F44" s="33" t="n">
        <v>0.0054</v>
      </c>
      <c r="G44" s="33" t="n">
        <v>0</v>
      </c>
      <c r="H44" s="33" t="n">
        <v>0</v>
      </c>
    </row>
    <row r="45" customFormat="false" ht="15" hidden="false" customHeight="false" outlineLevel="0" collapsed="false">
      <c r="A45" s="32" t="n">
        <v>41</v>
      </c>
      <c r="B45" s="32" t="s">
        <v>219</v>
      </c>
      <c r="C45" s="32" t="s">
        <v>25</v>
      </c>
      <c r="D45" s="32" t="s">
        <v>220</v>
      </c>
      <c r="E45" s="32" t="s">
        <v>172</v>
      </c>
      <c r="F45" s="33" t="n">
        <v>0.003159</v>
      </c>
      <c r="G45" s="33" t="n">
        <v>0</v>
      </c>
      <c r="H45" s="33" t="n">
        <v>0</v>
      </c>
    </row>
    <row r="46" customFormat="false" ht="15" hidden="false" customHeight="false" outlineLevel="0" collapsed="false">
      <c r="A46" s="32" t="n">
        <v>42</v>
      </c>
      <c r="B46" s="32" t="s">
        <v>221</v>
      </c>
      <c r="C46" s="32" t="s">
        <v>25</v>
      </c>
      <c r="D46" s="32" t="s">
        <v>222</v>
      </c>
      <c r="E46" s="32" t="s">
        <v>157</v>
      </c>
      <c r="F46" s="33" t="n">
        <v>0</v>
      </c>
      <c r="G46" s="33" t="n">
        <v>0.1104301</v>
      </c>
      <c r="H46" s="33" t="n">
        <v>0</v>
      </c>
    </row>
    <row r="47" customFormat="false" ht="15" hidden="false" customHeight="false" outlineLevel="0" collapsed="false">
      <c r="A47" s="32" t="n">
        <v>43</v>
      </c>
      <c r="B47" s="32" t="s">
        <v>223</v>
      </c>
      <c r="C47" s="32" t="s">
        <v>25</v>
      </c>
      <c r="D47" s="32" t="s">
        <v>214</v>
      </c>
      <c r="E47" s="32" t="s">
        <v>157</v>
      </c>
      <c r="F47" s="33" t="n">
        <v>0</v>
      </c>
      <c r="G47" s="33" t="n">
        <v>0.22265</v>
      </c>
      <c r="H47" s="33" t="n">
        <v>0</v>
      </c>
    </row>
    <row r="48" customFormat="false" ht="15" hidden="false" customHeight="false" outlineLevel="0" collapsed="false">
      <c r="A48" s="32" t="n">
        <v>44</v>
      </c>
      <c r="B48" s="32" t="s">
        <v>224</v>
      </c>
      <c r="C48" s="32" t="s">
        <v>25</v>
      </c>
      <c r="D48" s="32" t="s">
        <v>225</v>
      </c>
      <c r="E48" s="32" t="s">
        <v>172</v>
      </c>
      <c r="F48" s="33" t="n">
        <v>0</v>
      </c>
      <c r="G48" s="33" t="n">
        <v>0.408</v>
      </c>
      <c r="H48" s="33" t="n">
        <v>0</v>
      </c>
    </row>
    <row r="49" customFormat="false" ht="15" hidden="false" customHeight="false" outlineLevel="0" collapsed="false">
      <c r="A49" s="32" t="n">
        <v>45</v>
      </c>
      <c r="B49" s="32" t="s">
        <v>91</v>
      </c>
      <c r="C49" s="32" t="s">
        <v>25</v>
      </c>
      <c r="D49" s="32" t="s">
        <v>91</v>
      </c>
      <c r="E49" s="32" t="s">
        <v>157</v>
      </c>
      <c r="F49" s="33" t="n">
        <v>0</v>
      </c>
      <c r="G49" s="33" t="n">
        <v>0</v>
      </c>
      <c r="H49" s="33" t="n">
        <v>0.520763666</v>
      </c>
    </row>
    <row r="50" customFormat="false" ht="15" hidden="false" customHeight="false" outlineLevel="0" collapsed="false">
      <c r="A50" s="32" t="n">
        <v>46</v>
      </c>
      <c r="B50" s="32" t="s">
        <v>93</v>
      </c>
      <c r="C50" s="32" t="s">
        <v>25</v>
      </c>
      <c r="D50" s="32" t="s">
        <v>226</v>
      </c>
      <c r="E50" s="32" t="s">
        <v>157</v>
      </c>
      <c r="F50" s="33" t="n">
        <v>0.0602851</v>
      </c>
      <c r="G50" s="33" t="n">
        <v>0.4354062</v>
      </c>
      <c r="H50" s="33" t="n">
        <v>0.278976</v>
      </c>
    </row>
    <row r="51" customFormat="false" ht="15" hidden="false" customHeight="false" outlineLevel="0" collapsed="false">
      <c r="A51" s="32" t="n">
        <v>47</v>
      </c>
      <c r="B51" s="32" t="s">
        <v>95</v>
      </c>
      <c r="C51" s="32" t="s">
        <v>25</v>
      </c>
      <c r="D51" s="32" t="s">
        <v>227</v>
      </c>
      <c r="E51" s="32" t="s">
        <v>157</v>
      </c>
      <c r="F51" s="33" t="n">
        <v>0</v>
      </c>
      <c r="G51" s="33" t="n">
        <v>0</v>
      </c>
      <c r="H51" s="33" t="n">
        <v>0.1555</v>
      </c>
    </row>
    <row r="52" customFormat="false" ht="15" hidden="false" customHeight="false" outlineLevel="0" collapsed="false">
      <c r="A52" s="32" t="n">
        <v>48</v>
      </c>
      <c r="B52" s="32" t="s">
        <v>103</v>
      </c>
      <c r="C52" s="32" t="s">
        <v>27</v>
      </c>
      <c r="D52" s="32" t="s">
        <v>228</v>
      </c>
      <c r="E52" s="32" t="s">
        <v>172</v>
      </c>
      <c r="F52" s="33" t="n">
        <v>0</v>
      </c>
      <c r="G52" s="33" t="n">
        <v>0</v>
      </c>
      <c r="H52" s="33" t="n">
        <v>0.0202548</v>
      </c>
    </row>
    <row r="53" customFormat="false" ht="15" hidden="false" customHeight="false" outlineLevel="0" collapsed="false">
      <c r="A53" s="32" t="n">
        <v>49</v>
      </c>
      <c r="B53" s="32" t="s">
        <v>104</v>
      </c>
      <c r="C53" s="32" t="s">
        <v>27</v>
      </c>
      <c r="D53" s="32" t="s">
        <v>228</v>
      </c>
      <c r="E53" s="32" t="s">
        <v>172</v>
      </c>
      <c r="F53" s="33" t="n">
        <v>0</v>
      </c>
      <c r="G53" s="33" t="n">
        <v>0.009</v>
      </c>
      <c r="H53" s="33" t="n">
        <v>0.009</v>
      </c>
    </row>
    <row r="54" customFormat="false" ht="15" hidden="false" customHeight="false" outlineLevel="0" collapsed="false">
      <c r="A54" s="32" t="n">
        <v>50</v>
      </c>
      <c r="B54" s="32" t="s">
        <v>229</v>
      </c>
      <c r="C54" s="32" t="s">
        <v>27</v>
      </c>
      <c r="D54" s="32" t="s">
        <v>228</v>
      </c>
      <c r="E54" s="32" t="s">
        <v>172</v>
      </c>
      <c r="F54" s="33" t="n">
        <v>0</v>
      </c>
      <c r="G54" s="33" t="n">
        <v>0.0002</v>
      </c>
      <c r="H54" s="33" t="n">
        <v>0</v>
      </c>
    </row>
    <row r="55" customFormat="false" ht="15" hidden="false" customHeight="false" outlineLevel="0" collapsed="false">
      <c r="A55" s="32" t="n">
        <v>51</v>
      </c>
      <c r="B55" s="32" t="s">
        <v>230</v>
      </c>
      <c r="C55" s="32" t="s">
        <v>27</v>
      </c>
      <c r="D55" s="32" t="s">
        <v>228</v>
      </c>
      <c r="E55" s="32" t="s">
        <v>172</v>
      </c>
      <c r="F55" s="33" t="n">
        <v>0</v>
      </c>
      <c r="G55" s="33" t="n">
        <v>0.0015</v>
      </c>
      <c r="H55" s="33" t="n">
        <v>0</v>
      </c>
    </row>
    <row r="56" customFormat="false" ht="15" hidden="false" customHeight="false" outlineLevel="0" collapsed="false">
      <c r="A56" s="32" t="n">
        <v>52</v>
      </c>
      <c r="B56" s="32" t="s">
        <v>231</v>
      </c>
      <c r="C56" s="32" t="s">
        <v>27</v>
      </c>
      <c r="D56" s="32" t="s">
        <v>232</v>
      </c>
      <c r="E56" s="34" t="s">
        <v>168</v>
      </c>
      <c r="F56" s="33" t="n">
        <v>2.6825E-005</v>
      </c>
      <c r="G56" s="33" t="n">
        <v>0</v>
      </c>
      <c r="H56" s="33" t="n">
        <v>0</v>
      </c>
    </row>
    <row r="57" customFormat="false" ht="15" hidden="false" customHeight="false" outlineLevel="0" collapsed="false">
      <c r="A57" s="32" t="n">
        <v>53</v>
      </c>
      <c r="B57" s="32" t="s">
        <v>233</v>
      </c>
      <c r="C57" s="32" t="s">
        <v>27</v>
      </c>
      <c r="D57" s="32" t="s">
        <v>234</v>
      </c>
      <c r="E57" s="34" t="s">
        <v>168</v>
      </c>
      <c r="F57" s="33" t="n">
        <v>0.002</v>
      </c>
      <c r="G57" s="33" t="n">
        <v>0</v>
      </c>
      <c r="H57" s="33" t="n">
        <v>0</v>
      </c>
    </row>
    <row r="58" customFormat="false" ht="15" hidden="false" customHeight="false" outlineLevel="0" collapsed="false">
      <c r="A58" s="32" t="n">
        <v>54</v>
      </c>
      <c r="B58" s="32" t="s">
        <v>235</v>
      </c>
      <c r="C58" s="32" t="s">
        <v>27</v>
      </c>
      <c r="D58" s="32" t="s">
        <v>236</v>
      </c>
      <c r="E58" s="32" t="s">
        <v>172</v>
      </c>
      <c r="F58" s="33" t="n">
        <v>0.003821683</v>
      </c>
      <c r="G58" s="33" t="n">
        <v>0</v>
      </c>
      <c r="H58" s="33" t="n">
        <v>0</v>
      </c>
    </row>
    <row r="59" customFormat="false" ht="15" hidden="false" customHeight="false" outlineLevel="0" collapsed="false">
      <c r="A59" s="32" t="n">
        <v>55</v>
      </c>
      <c r="B59" s="32" t="s">
        <v>237</v>
      </c>
      <c r="C59" s="32" t="s">
        <v>27</v>
      </c>
      <c r="D59" s="32" t="s">
        <v>228</v>
      </c>
      <c r="E59" s="32" t="s">
        <v>172</v>
      </c>
      <c r="F59" s="33" t="n">
        <v>0</v>
      </c>
      <c r="G59" s="33" t="n">
        <v>0.00335</v>
      </c>
      <c r="H59" s="33" t="n">
        <v>0</v>
      </c>
    </row>
    <row r="60" customFormat="false" ht="15" hidden="false" customHeight="false" outlineLevel="0" collapsed="false">
      <c r="A60" s="32" t="n">
        <v>56</v>
      </c>
      <c r="B60" s="32" t="s">
        <v>238</v>
      </c>
      <c r="C60" s="32" t="s">
        <v>27</v>
      </c>
      <c r="D60" s="32" t="s">
        <v>239</v>
      </c>
      <c r="E60" s="32" t="s">
        <v>172</v>
      </c>
      <c r="F60" s="33" t="n">
        <v>0.002</v>
      </c>
      <c r="G60" s="33" t="n">
        <v>0</v>
      </c>
      <c r="H60" s="33" t="n">
        <v>0</v>
      </c>
    </row>
    <row r="61" customFormat="false" ht="15" hidden="false" customHeight="false" outlineLevel="0" collapsed="false">
      <c r="A61" s="32" t="n">
        <v>57</v>
      </c>
      <c r="B61" s="32" t="s">
        <v>240</v>
      </c>
      <c r="C61" s="32" t="s">
        <v>27</v>
      </c>
      <c r="D61" s="32" t="s">
        <v>228</v>
      </c>
      <c r="E61" s="32" t="s">
        <v>172</v>
      </c>
      <c r="F61" s="33" t="n">
        <v>0.0015</v>
      </c>
      <c r="G61" s="33" t="n">
        <v>0</v>
      </c>
      <c r="H61" s="33" t="n">
        <v>0</v>
      </c>
    </row>
    <row r="62" customFormat="false" ht="15" hidden="false" customHeight="false" outlineLevel="0" collapsed="false">
      <c r="A62" s="32" t="n">
        <v>58</v>
      </c>
      <c r="B62" s="32" t="s">
        <v>241</v>
      </c>
      <c r="C62" s="32" t="s">
        <v>27</v>
      </c>
      <c r="D62" s="32" t="s">
        <v>228</v>
      </c>
      <c r="E62" s="32" t="s">
        <v>172</v>
      </c>
      <c r="F62" s="33" t="n">
        <v>0</v>
      </c>
      <c r="G62" s="33" t="n">
        <v>0.084745763</v>
      </c>
      <c r="H62" s="33" t="n">
        <v>0</v>
      </c>
    </row>
    <row r="63" customFormat="false" ht="15" hidden="false" customHeight="false" outlineLevel="0" collapsed="false">
      <c r="A63" s="32" t="n">
        <v>59</v>
      </c>
      <c r="B63" s="32" t="s">
        <v>101</v>
      </c>
      <c r="C63" s="32" t="s">
        <v>27</v>
      </c>
      <c r="D63" s="32" t="s">
        <v>101</v>
      </c>
      <c r="E63" s="32" t="s">
        <v>157</v>
      </c>
      <c r="F63" s="33" t="n">
        <v>0.02922</v>
      </c>
      <c r="G63" s="33" t="n">
        <v>0</v>
      </c>
      <c r="H63" s="33" t="n">
        <v>0.350192</v>
      </c>
    </row>
    <row r="64" customFormat="false" ht="15" hidden="false" customHeight="false" outlineLevel="0" collapsed="false">
      <c r="A64" s="32" t="n">
        <v>60</v>
      </c>
      <c r="B64" s="32" t="s">
        <v>242</v>
      </c>
      <c r="C64" s="32" t="s">
        <v>29</v>
      </c>
      <c r="D64" s="32" t="s">
        <v>242</v>
      </c>
      <c r="E64" s="32" t="s">
        <v>157</v>
      </c>
      <c r="F64" s="33" t="n">
        <v>1.7839522</v>
      </c>
      <c r="G64" s="33" t="n">
        <v>0.8181869</v>
      </c>
      <c r="H64" s="33" t="n">
        <v>0</v>
      </c>
    </row>
    <row r="65" customFormat="false" ht="15" hidden="false" customHeight="false" outlineLevel="0" collapsed="false">
      <c r="A65" s="32" t="n">
        <v>61</v>
      </c>
      <c r="B65" s="32" t="s">
        <v>106</v>
      </c>
      <c r="C65" s="32" t="s">
        <v>29</v>
      </c>
      <c r="D65" s="32" t="s">
        <v>243</v>
      </c>
      <c r="E65" s="32" t="s">
        <v>157</v>
      </c>
      <c r="F65" s="33" t="n">
        <v>0</v>
      </c>
      <c r="G65" s="33" t="n">
        <v>0.101219326</v>
      </c>
      <c r="H65" s="33" t="n">
        <v>0.137142119</v>
      </c>
    </row>
    <row r="66" customFormat="false" ht="15" hidden="false" customHeight="false" outlineLevel="0" collapsed="false">
      <c r="A66" s="32" t="n">
        <v>62</v>
      </c>
      <c r="B66" s="32" t="s">
        <v>110</v>
      </c>
      <c r="C66" s="32" t="s">
        <v>31</v>
      </c>
      <c r="D66" s="32" t="s">
        <v>244</v>
      </c>
      <c r="E66" s="32" t="s">
        <v>172</v>
      </c>
      <c r="F66" s="33" t="n">
        <v>0</v>
      </c>
      <c r="G66" s="33" t="n">
        <v>0.009568</v>
      </c>
      <c r="H66" s="33" t="n">
        <v>0.01196</v>
      </c>
    </row>
    <row r="67" customFormat="false" ht="15" hidden="false" customHeight="false" outlineLevel="0" collapsed="false">
      <c r="A67" s="32" t="n">
        <v>63</v>
      </c>
      <c r="B67" s="32" t="s">
        <v>112</v>
      </c>
      <c r="C67" s="32" t="s">
        <v>31</v>
      </c>
      <c r="D67" s="32" t="s">
        <v>245</v>
      </c>
      <c r="E67" s="34" t="s">
        <v>168</v>
      </c>
      <c r="F67" s="33" t="n">
        <v>0</v>
      </c>
      <c r="G67" s="33" t="n">
        <v>0.00844</v>
      </c>
      <c r="H67" s="33" t="n">
        <v>0.00211</v>
      </c>
    </row>
    <row r="68" customFormat="false" ht="15" hidden="false" customHeight="false" outlineLevel="0" collapsed="false">
      <c r="A68" s="32" t="n">
        <v>64</v>
      </c>
      <c r="B68" s="32" t="s">
        <v>114</v>
      </c>
      <c r="C68" s="32" t="s">
        <v>31</v>
      </c>
      <c r="D68" s="32" t="s">
        <v>246</v>
      </c>
      <c r="E68" s="34" t="s">
        <v>168</v>
      </c>
      <c r="F68" s="33" t="n">
        <v>0.006559916</v>
      </c>
      <c r="G68" s="33" t="n">
        <v>0.004614793</v>
      </c>
      <c r="H68" s="33" t="n">
        <v>0.001533944</v>
      </c>
    </row>
    <row r="69" customFormat="false" ht="15" hidden="false" customHeight="false" outlineLevel="0" collapsed="false">
      <c r="A69" s="32" t="n">
        <v>65</v>
      </c>
      <c r="B69" s="32" t="s">
        <v>247</v>
      </c>
      <c r="C69" s="32" t="s">
        <v>31</v>
      </c>
      <c r="D69" s="32" t="s">
        <v>248</v>
      </c>
      <c r="E69" s="32" t="s">
        <v>157</v>
      </c>
      <c r="F69" s="33" t="n">
        <v>0.003535831</v>
      </c>
      <c r="G69" s="33" t="n">
        <v>0.005109999</v>
      </c>
      <c r="H69" s="33" t="n">
        <v>0</v>
      </c>
    </row>
    <row r="70" customFormat="false" ht="15" hidden="false" customHeight="false" outlineLevel="0" collapsed="false">
      <c r="A70" s="32" t="n">
        <v>66</v>
      </c>
      <c r="B70" s="32" t="s">
        <v>249</v>
      </c>
      <c r="C70" s="32" t="s">
        <v>31</v>
      </c>
      <c r="D70" s="32" t="s">
        <v>250</v>
      </c>
      <c r="E70" s="34" t="s">
        <v>168</v>
      </c>
      <c r="F70" s="33" t="n">
        <v>0.0002711</v>
      </c>
      <c r="G70" s="33" t="n">
        <v>0</v>
      </c>
      <c r="H70" s="33" t="n">
        <v>0</v>
      </c>
    </row>
    <row r="71" customFormat="false" ht="15" hidden="false" customHeight="false" outlineLevel="0" collapsed="false">
      <c r="A71" s="32" t="n">
        <v>67</v>
      </c>
      <c r="B71" s="32" t="s">
        <v>108</v>
      </c>
      <c r="C71" s="32" t="s">
        <v>31</v>
      </c>
      <c r="D71" s="32" t="s">
        <v>108</v>
      </c>
      <c r="E71" s="32" t="s">
        <v>157</v>
      </c>
      <c r="F71" s="33" t="n">
        <v>0.007789803</v>
      </c>
      <c r="G71" s="33" t="n">
        <v>0.00036</v>
      </c>
      <c r="H71" s="33" t="n">
        <v>0.0148</v>
      </c>
    </row>
    <row r="72" customFormat="false" ht="15" hidden="false" customHeight="false" outlineLevel="0" collapsed="false">
      <c r="A72" s="32" t="n">
        <v>68</v>
      </c>
      <c r="B72" s="32" t="s">
        <v>118</v>
      </c>
      <c r="C72" s="32" t="s">
        <v>33</v>
      </c>
      <c r="D72" s="32" t="s">
        <v>251</v>
      </c>
      <c r="E72" s="32" t="s">
        <v>157</v>
      </c>
      <c r="F72" s="33" t="n">
        <v>0</v>
      </c>
      <c r="G72" s="33" t="n">
        <v>0</v>
      </c>
      <c r="H72" s="33" t="n">
        <v>0.03</v>
      </c>
    </row>
    <row r="73" customFormat="false" ht="15" hidden="false" customHeight="false" outlineLevel="0" collapsed="false">
      <c r="A73" s="32" t="n">
        <v>69</v>
      </c>
      <c r="B73" s="32" t="s">
        <v>120</v>
      </c>
      <c r="C73" s="32" t="s">
        <v>33</v>
      </c>
      <c r="D73" s="32" t="s">
        <v>252</v>
      </c>
      <c r="E73" s="34" t="s">
        <v>168</v>
      </c>
      <c r="F73" s="33" t="n">
        <v>0</v>
      </c>
      <c r="G73" s="33" t="n">
        <v>0</v>
      </c>
      <c r="H73" s="33" t="n">
        <v>0.02123802</v>
      </c>
    </row>
    <row r="74" customFormat="false" ht="15" hidden="false" customHeight="false" outlineLevel="0" collapsed="false">
      <c r="A74" s="32" t="n">
        <v>70</v>
      </c>
      <c r="B74" s="32" t="s">
        <v>124</v>
      </c>
      <c r="C74" s="32" t="s">
        <v>33</v>
      </c>
      <c r="D74" s="32" t="s">
        <v>253</v>
      </c>
      <c r="E74" s="32" t="s">
        <v>157</v>
      </c>
      <c r="F74" s="33" t="n">
        <v>0</v>
      </c>
      <c r="G74" s="33" t="n">
        <v>0.272461</v>
      </c>
      <c r="H74" s="33" t="n">
        <v>-0.2073568</v>
      </c>
    </row>
    <row r="75" customFormat="false" ht="15" hidden="false" customHeight="false" outlineLevel="0" collapsed="false">
      <c r="A75" s="32" t="n">
        <v>71</v>
      </c>
      <c r="B75" s="32" t="s">
        <v>122</v>
      </c>
      <c r="C75" s="32" t="s">
        <v>33</v>
      </c>
      <c r="D75" s="32" t="s">
        <v>122</v>
      </c>
      <c r="E75" s="32" t="s">
        <v>157</v>
      </c>
      <c r="F75" s="33" t="n">
        <v>0.002356076</v>
      </c>
      <c r="G75" s="33" t="n">
        <v>0.039835</v>
      </c>
      <c r="H75" s="33" t="n">
        <v>0.006333509</v>
      </c>
    </row>
    <row r="76" customFormat="false" ht="15" hidden="false" customHeight="false" outlineLevel="0" collapsed="false">
      <c r="A76" s="32" t="n">
        <v>72</v>
      </c>
      <c r="B76" s="32" t="s">
        <v>254</v>
      </c>
      <c r="C76" s="32" t="s">
        <v>33</v>
      </c>
      <c r="D76" s="32" t="s">
        <v>254</v>
      </c>
      <c r="E76" s="32" t="s">
        <v>157</v>
      </c>
      <c r="F76" s="33" t="n">
        <v>0.076975</v>
      </c>
      <c r="G76" s="33" t="n">
        <v>0</v>
      </c>
      <c r="H76" s="33" t="n">
        <v>0</v>
      </c>
    </row>
    <row r="77" customFormat="false" ht="15" hidden="false" customHeight="false" outlineLevel="0" collapsed="false">
      <c r="A77" s="32" t="n">
        <v>73</v>
      </c>
      <c r="B77" s="32" t="s">
        <v>116</v>
      </c>
      <c r="C77" s="32" t="s">
        <v>33</v>
      </c>
      <c r="D77" s="32" t="s">
        <v>255</v>
      </c>
      <c r="E77" s="32" t="s">
        <v>157</v>
      </c>
      <c r="F77" s="33" t="n">
        <v>0.147217434999999</v>
      </c>
      <c r="G77" s="33" t="n">
        <v>0</v>
      </c>
      <c r="H77" s="33" t="n">
        <v>0.383262019000011</v>
      </c>
    </row>
    <row r="78" customFormat="false" ht="15" hidden="false" customHeight="false" outlineLevel="0" collapsed="false">
      <c r="B78" s="35" t="s">
        <v>48</v>
      </c>
      <c r="F78" s="9" t="n">
        <f aca="false">SUM(F5:F77)</f>
        <v>18.433560404</v>
      </c>
      <c r="G78" s="9" t="n">
        <f aca="false">SUM(G5:G77)</f>
        <v>25.988430681</v>
      </c>
      <c r="H78" s="9" t="n">
        <f aca="false">SUM(H5:H77)</f>
        <v>41.552284775</v>
      </c>
    </row>
    <row r="79" customFormat="false" ht="15" hidden="false" customHeight="false" outlineLevel="0" collapsed="false">
      <c r="B79" s="11" t="s">
        <v>256</v>
      </c>
      <c r="F79" s="13" t="n">
        <v>18.433560404</v>
      </c>
      <c r="G79" s="13" t="n">
        <v>25.988430681</v>
      </c>
      <c r="H79" s="13" t="n">
        <v>41.552284775</v>
      </c>
    </row>
    <row r="80" customFormat="false" ht="15" hidden="false" customHeight="false" outlineLevel="0" collapsed="false">
      <c r="B80" s="11" t="s">
        <v>257</v>
      </c>
      <c r="F80" s="36" t="n">
        <f aca="false">F78-F79</f>
        <v>0</v>
      </c>
      <c r="G80" s="36" t="n">
        <f aca="false">G78-G79</f>
        <v>0</v>
      </c>
      <c r="H80" s="36" t="n">
        <f aca="false">H78-H79</f>
        <v>0</v>
      </c>
    </row>
    <row r="82" customFormat="false" ht="15" hidden="false" customHeight="false" outlineLevel="0" collapsed="false">
      <c r="B82" s="2" t="s">
        <v>258</v>
      </c>
    </row>
  </sheetData>
  <autoFilter ref="A4:H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2026-09-24T06:04:36Z</dcterms:created>
  <dc:creator>openpyxl</dc:creator>
  <dc:description/>
  <dc:language>en-US</dc:language>
  <cp:lastModifiedBy/>
  <dcterms:modified xsi:type="dcterms:W3CDTF">2026-09-24T06:04:36Z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