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Assumptions" sheetId="2" state="visible" r:id="rId2"/>
    <sheet name="Adaptors · POP &amp; Loft · 3Y" sheetId="3" state="visible" r:id="rId3"/>
    <sheet name="TG &amp; Audience" sheetId="4" state="visible" r:id="rId4"/>
    <sheet name="Competition" sheetId="5" state="visible" r:id="rId5"/>
    <sheet name="Marketing Strateg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&quot;x&quot;"/>
    <numFmt numFmtId="166" formatCode="0.00&quot;x&quot;"/>
  </numFmts>
  <fonts count="23">
    <font>
      <name val="Calibri"/>
      <family val="2"/>
      <color theme="1"/>
      <sz val="11"/>
      <scheme val="minor"/>
    </font>
    <font>
      <name val="Arial"/>
      <b val="1"/>
      <color rgb="001F3864"/>
      <sz val="18"/>
    </font>
    <font>
      <name val="Arial"/>
      <i val="1"/>
      <color rgb="00595959"/>
      <sz val="10"/>
    </font>
    <font>
      <name val="Arial"/>
      <b val="1"/>
      <color rgb="002E5496"/>
      <sz val="11"/>
    </font>
    <font>
      <name val="Arial"/>
      <color rgb="00000000"/>
      <sz val="11"/>
    </font>
    <font>
      <name val="Arial"/>
      <color rgb="000000FF"/>
      <sz val="11"/>
    </font>
    <font>
      <name val="Arial"/>
      <color rgb="00008000"/>
      <sz val="11"/>
    </font>
    <font>
      <name val="Arial"/>
      <b val="1"/>
      <color rgb="001F3864"/>
      <sz val="16"/>
    </font>
    <font>
      <name val="Arial"/>
      <i val="1"/>
      <color rgb="00595959"/>
      <sz val="11"/>
    </font>
    <font>
      <name val="Arial"/>
      <b val="1"/>
      <color rgb="00FFFFFF"/>
      <sz val="12"/>
    </font>
    <font>
      <name val="Arial"/>
      <b val="1"/>
      <color rgb="00000000"/>
      <sz val="11"/>
    </font>
    <font>
      <name val="Arial"/>
      <b val="1"/>
      <color rgb="000000FF"/>
      <sz val="11"/>
    </font>
    <font>
      <name val="Arial"/>
      <b val="1"/>
      <color rgb="00FFFFFF"/>
      <sz val="11"/>
    </font>
    <font>
      <name val="Arial"/>
      <i val="1"/>
      <color rgb="00595959"/>
      <sz val="9"/>
    </font>
    <font>
      <name val="Arial"/>
      <color rgb="00000000"/>
      <sz val="10"/>
    </font>
    <font>
      <name val="Arial"/>
      <b val="1"/>
      <color rgb="00008000"/>
      <sz val="11"/>
    </font>
    <font>
      <name val="Arial"/>
      <i val="1"/>
      <color rgb="00333333"/>
      <sz val="11"/>
    </font>
    <font>
      <name val="Arial"/>
      <b val="1"/>
      <color rgb="001F3864"/>
      <sz val="15"/>
    </font>
    <font>
      <name val="Arial"/>
      <i val="1"/>
      <color rgb="00000000"/>
      <sz val="11"/>
    </font>
    <font>
      <name val="Arial"/>
      <b val="1"/>
      <color rgb="001F3864"/>
      <sz val="11"/>
    </font>
    <font>
      <name val="Arial"/>
      <color rgb="00333333"/>
      <sz val="11"/>
    </font>
    <font>
      <name val="Arial"/>
      <b val="1"/>
      <color rgb="00843C0C"/>
      <sz val="11"/>
    </font>
    <font>
      <name val="Arial"/>
      <b val="1"/>
      <color rgb="00000000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699"/>
      </patternFill>
    </fill>
    <fill>
      <patternFill patternType="solid">
        <fgColor rgb="00FFF2CC"/>
      </patternFill>
    </fill>
    <fill>
      <patternFill patternType="solid">
        <fgColor rgb="002E5496"/>
      </patternFill>
    </fill>
    <fill>
      <patternFill patternType="solid">
        <fgColor rgb="00F2F2F2"/>
      </patternFill>
    </fill>
    <fill>
      <patternFill patternType="solid">
        <fgColor rgb="00548235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9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0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/>
    </xf>
    <xf numFmtId="3" fontId="10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center" vertical="center"/>
    </xf>
    <xf numFmtId="3" fontId="11" fillId="4" borderId="1" applyAlignment="1" pivotButton="0" quotePrefix="0" xfId="0">
      <alignment horizontal="center" vertical="center"/>
    </xf>
    <xf numFmtId="10" fontId="4" fillId="0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12" fillId="5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1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3" fontId="6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left" vertical="center" wrapText="1"/>
    </xf>
    <xf numFmtId="3" fontId="15" fillId="0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/>
    </xf>
    <xf numFmtId="0" fontId="16" fillId="6" borderId="1" applyAlignment="1" pivotButton="0" quotePrefix="0" xfId="0">
      <alignment horizontal="left" vertical="center" wrapText="1"/>
    </xf>
    <xf numFmtId="164" fontId="6" fillId="0" borderId="1" applyAlignment="1" pivotButton="0" quotePrefix="0" xfId="0">
      <alignment horizontal="center" vertical="center"/>
    </xf>
    <xf numFmtId="3" fontId="1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5" fontId="4" fillId="0" borderId="1" applyAlignment="1" pivotButton="0" quotePrefix="0" xfId="0">
      <alignment horizontal="center" vertical="center"/>
    </xf>
    <xf numFmtId="0" fontId="17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/>
    </xf>
    <xf numFmtId="166" fontId="10" fillId="0" borderId="1" applyAlignment="1" pivotButton="0" quotePrefix="0" xfId="0">
      <alignment horizontal="center" vertical="center"/>
    </xf>
    <xf numFmtId="3" fontId="10" fillId="0" borderId="1" applyAlignment="1" pivotButton="0" quotePrefix="0" xfId="0">
      <alignment horizontal="center" vertical="center"/>
    </xf>
    <xf numFmtId="10" fontId="4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4" fontId="1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18" fillId="0" borderId="1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10" fillId="3" borderId="1" applyAlignment="1" pivotButton="0" quotePrefix="0" xfId="0">
      <alignment horizontal="center" vertical="center"/>
    </xf>
    <xf numFmtId="3" fontId="6" fillId="0" borderId="1" applyAlignment="1" pivotButton="0" quotePrefix="0" xfId="0">
      <alignment horizontal="center" vertical="center"/>
    </xf>
    <xf numFmtId="164" fontId="10" fillId="4" borderId="1" applyAlignment="1" pivotButton="0" quotePrefix="0" xfId="0">
      <alignment horizontal="center" vertical="center"/>
    </xf>
    <xf numFmtId="0" fontId="9" fillId="7" borderId="0" applyAlignment="1" pivotButton="0" quotePrefix="0" xfId="0">
      <alignment horizontal="left" vertical="center"/>
    </xf>
    <xf numFmtId="0" fontId="20" fillId="8" borderId="1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1" fillId="0" borderId="1" applyAlignment="1" pivotButton="0" quotePrefix="0" xfId="0">
      <alignment horizontal="left" vertical="center" wrapText="1"/>
    </xf>
    <xf numFmtId="0" fontId="9" fillId="2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top"/>
    </xf>
    <xf numFmtId="0" fontId="14" fillId="0" borderId="0" applyAlignment="1" pivotButton="0" quotePrefix="0" xfId="0">
      <alignment horizontal="left" vertical="top" wrapText="1"/>
    </xf>
    <xf numFmtId="0" fontId="9" fillId="7" borderId="0" applyAlignment="1" pivotButton="0" quotePrefix="0" xfId="0">
      <alignment horizontal="left" vertical="center"/>
    </xf>
    <xf numFmtId="0" fontId="16" fillId="8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22" fillId="0" borderId="1" applyAlignment="1" pivotButton="0" quotePrefix="0" xfId="0">
      <alignment horizontal="left" vertical="top" wrapText="1"/>
    </xf>
    <xf numFmtId="0" fontId="14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s:worksheet xmlns:s="http://schemas.openxmlformats.org/spreadsheetml/2006/main">
  <s:sheetPr>
    <s:outlinePr summaryBelow="1" summaryRight="1"/>
    <s:pageSetUpPr/>
  </s:sheetPr>
  <s:dimension ref="B2:C15"/>
  <s:sheetViews>
    <s:sheetView showGridLines="0" workbookViewId="0">
      <s:selection activeCell="A1" sqref="A1"/>
    </s:sheetView>
  </s:sheetViews>
  <s:sheetFormatPr baseColWidth="8" defaultRowHeight="15"/>
  <s:cols>
    <s:col width="3" customWidth="1" min="1" max="1"/>
    <s:col width="30" customWidth="1" min="2" max="2"/>
    <s:col width="98" customWidth="1" min="3" max="3"/>
  </s:cols>
  <s:sheetData>
    <s:row r="2">
      <s:c r="B2" s="1" t="inlineStr">
        <s:is>
          <s:t>DailyObjects — Category Building Block View</s:t>
        </s:is>
      </s:c>
    </s:row>
    <s:row r="3">
      <s:c r="B3" s="2" t="inlineStr">
        <s:is>
          <s:t>Adaptors Range (POP · Loft) · 3-Year View: FY27–FY29</s:t>
        </s:is>
      </s:c>
    </s:row>
    <s:row r="5" ht="30" customHeight="1">
      <s:c r="B5" s="3" t="inlineStr">
        <s:is>
          <s:t>Focus</s:t>
        </s:is>
      </s:c>
      <s:c r="C5" s="4" t="inlineStr">
        <s:is>
          <s:t>Adaptors range only — DailyObjects' charging accessories. Two lines: POP (charging adapters &amp; cables — wired GaN/PD fast charging) and Loft (wireless charging stations &amp; docks). Loft is the newer, in-house/IP, more premium line.</s:t>
        </s:is>
      </s:c>
    </s:row>
    <s:row r="6" ht="30" customHeight="1">
      <s:c r="B6" s="3" t="inlineStr">
        <s:is>
          <s:t>Scope</s:t>
        </s:is>
      </s:c>
      <s:c r="C6" s="4" t="inlineStr">
        <s:is>
          <s:t>POP = GaN/PD wall adapters + premium USB-C cables (incl. 140W). Loft = Qi2/MagSafe multi-device wireless charging stations, foldable &amp; 3-in-1 docks. Product pages: POP /lp?type=adapter-and-cables · Loft /lp?type=charging-stations (cid 1809).</s:t>
        </s:is>
      </s:c>
    </s:row>
    <s:row r="7" ht="30" customHeight="1">
      <s:c r="B7" s="3" t="inlineStr">
        <s:is>
          <s:t>Currency / horizon</s:t>
        </s:is>
      </s:c>
      <s:c r="C7" s="4" t="inlineStr">
        <s:is>
          <s:t>INR; USD converted at Rs 88/USD; values in Rs Crore. FY ends 31 March; market data is calendar-year mapped to nearest FY.</s:t>
        </s:is>
      </s:c>
    </s:row>
    <s:row r="8" ht="30" customHeight="1">
      <s:c r="B8" s="3" t="inlineStr">
        <s:is>
          <s:t>Tabs</s:t>
        </s:is>
      </s:c>
      <s:c r="C8" s="4" t="inlineStr">
        <s:is>
          <s:t>Read Me · Assumptions · Adaptors 3Y (six blocks, POP &amp; Loft) · TG &amp; Audience (real Meta data + TG sizing) · Competition · Marketing Strategy (holistic).</s:t>
        </s:is>
      </s:c>
    </s:row>
    <s:row r="9" ht="30" customHeight="1">
      <s:c r="B9" s="3" t="inlineStr">
        <s:is>
          <s:t>Data</s:t>
        </s:is>
      </s:c>
      <s:c r="C9" s="4" t="inlineStr">
        <s:is>
          <s:t>Market: IMARC, Grand View, Expert Market Research, Ken Research, Counterpoint/IDC. TG &amp; performance: your LIVE Meta 'pop' &amp; 'loft' campaigns, last 12 months, via Windsor.ai (account: DailyObjects Prepaid 1).</s:t>
        </s:is>
      </s:c>
    </s:row>
    <s:row r="10" ht="30" customHeight="1">
      <s:c r="B10" s="3" t="inlineStr">
        <s:is>
          <s:t>How to read</s:t>
        </s:is>
      </s:c>
      <s:c r="C10" s="4" t="inlineStr">
        <s:is>
          <s:t>POP is the established, high-ROAS, younger/value line; Loft is the newer, premium, slightly older/higher-AOV line still scaling. The workbook keeps them side by side so you can see where each wins.</s:t>
        </s:is>
      </s:c>
    </s:row>
    <s:row r="12">
      <s:c r="B12" s="5" t="inlineStr">
        <s:is>
          <s:t>Colour key</s:t>
        </s:is>
      </s:c>
    </s:row>
    <s:row r="13">
      <s:c r="C13" s="6" t="inlineStr">
        <s:is>
          <s:t>Blue = input / assumption you can change</s:t>
        </s:is>
      </s:c>
    </s:row>
    <s:row r="14">
      <s:c r="C14" s="7" t="inlineStr">
        <s:is>
          <s:t>Black = formula</s:t>
        </s:is>
      </s:c>
    </s:row>
    <s:row r="15">
      <s:c r="C15" s="8" t="inlineStr">
        <s:is>
          <s:t>Green = pulled from another tab</s:t>
        </s:is>
      </s:c>
    </s:row>
  </s:sheetData>
  <s:pageMargins left="0.75" right="0.75" top="1" bottom="1" header="0.5" footer="0.5"/>
</s:worksheet>
</file>

<file path=xl/worksheets/sheet2.xml><?xml version="1.0" encoding="utf-8"?>
<s:worksheet xmlns:s="http://schemas.openxmlformats.org/spreadsheetml/2006/main">
  <s:sheetPr>
    <s:outlinePr summaryBelow="1" summaryRight="1"/>
    <s:pageSetUpPr/>
  </s:sheetPr>
  <s:dimension ref="B2:G42"/>
  <s:sheetViews>
    <s:sheetView showGridLines="0" workbookViewId="0">
      <s:selection activeCell="A1" sqref="A1"/>
    </s:sheetView>
  </s:sheetViews>
  <s:sheetFormatPr baseColWidth="8" defaultRowHeight="15"/>
  <s:cols>
    <s:col width="3" customWidth="1" min="1" max="1"/>
    <s:col width="46" customWidth="1" min="2" max="2"/>
    <s:col width="13" customWidth="1" min="3" max="3"/>
    <s:col width="13" customWidth="1" min="4" max="4"/>
    <s:col width="13" customWidth="1" min="5" max="5"/>
    <s:col width="22" customWidth="1" min="6" max="6"/>
    <s:col width="60" customWidth="1" min="7" max="7"/>
  </s:cols>
  <s:sheetData>
    <s:row r="2">
      <s:c r="B2" s="9" t="inlineStr">
        <s:is>
          <s:t>Assumptions &amp; Market Sizing — Adaptors (POP &amp; Loft)</s:t>
        </s:is>
      </s:c>
    </s:row>
    <s:row r="3">
      <s:c r="B3" s="10" t="inlineStr">
        <s:is>
          <s:t>Blue cells are editable; the other tabs link back here. FY27–FY29 are targets you set.</s:t>
        </s:is>
      </s:c>
    </s:row>
    <s:row r="5">
      <s:c r="B5" s="46" t="inlineStr">
        <s:is>
          <s:t>Global</s:t>
        </s:is>
      </s:c>
    </s:row>
    <s:row r="6">
      <s:c r="B6" s="13" t="inlineStr">
        <s:is>
          <s:t>Input</s:t>
        </s:is>
      </s:c>
      <s:c r="C6" s="13" t="inlineStr">
        <s:is>
          <s:t>Value</s:t>
        </s:is>
      </s:c>
      <s:c r="D6" s="47" t="inlineStr"/>
      <s:c r="E6" s="47" t="inlineStr"/>
      <s:c r="F6" s="13" t="inlineStr">
        <s:is>
          <s:t>Source / note</s:t>
        </s:is>
      </s:c>
    </s:row>
    <s:row r="7">
      <s:c r="B7" s="48" t="inlineStr">
        <s:is>
          <s:t>USD : INR conversion</s:t>
        </s:is>
      </s:c>
      <s:c r="C7" s="49" t="n">
        <s:v>88</s:v>
      </s:c>
      <s:c r="D7" s="48" t="inlineStr"/>
      <s:c r="E7" s="48" t="inlineStr"/>
      <s:c r="F7" s="17" t="inlineStr">
        <s:is>
          <s:t>Working assumption, 2026</s:t>
        </s:is>
      </s:c>
    </s:row>
    <s:row r="8">
      <s:c r="B8" s="48" t="inlineStr">
        <s:is>
          <s:t>Rs per Crore</s:t>
        </s:is>
      </s:c>
      <s:c r="C8" s="49" t="n">
        <s:v>10000000</s:v>
      </s:c>
      <s:c r="D8" s="48" t="inlineStr"/>
      <s:c r="E8" s="48" t="inlineStr"/>
      <s:c r="F8" s="17" t="inlineStr">
        <s:is>
          <s:t>1 Cr = 1e7</s:t>
        </s:is>
      </s:c>
    </s:row>
    <s:row r="9">
      <s:c r="B9" s="48" t="inlineStr">
        <s:is>
          <s:t>DailyObjects brand AOV (Rs)</s:t>
        </s:is>
      </s:c>
      <s:c r="C9" s="49" t="n">
        <s:v>2500</s:v>
      </s:c>
      <s:c r="D9" s="48" t="inlineStr"/>
      <s:c r="E9" s="48" t="inlineStr"/>
      <s:c r="F9" s="17" t="inlineStr">
        <s:is>
          <s:t>Brand average, for AOV comparison</s:t>
        </s:is>
      </s:c>
    </s:row>
    <s:row r="10">
      <s:c r="B10" s="48" t="inlineStr">
        <s:is>
          <s:t>DailyObjects total revenue FY27 (Rs Cr)</s:t>
        </s:is>
      </s:c>
      <s:c r="C10" s="49" t="n">
        <s:v>400</s:v>
      </s:c>
      <s:c r="D10" s="48" t="inlineStr"/>
      <s:c r="E10" s="48" t="inlineStr"/>
      <s:c r="F10" s="17" t="inlineStr">
        <s:is>
          <s:t>CEO guidance (context)</s:t>
        </s:is>
      </s:c>
    </s:row>
    <s:row r="12">
      <s:c r="B12" s="46" t="inlineStr">
        <s:is>
          <s:t>POP — Adapters &amp; Cables market (India wired charging: GaN/PD adapters + premium cables)</s:t>
        </s:is>
      </s:c>
    </s:row>
    <s:row r="13">
      <s:c r="B13" s="13" t="inlineStr">
        <s:is>
          <s:t>Metric</s:t>
        </s:is>
      </s:c>
      <s:c r="C13" s="18" t="inlineStr">
        <s:is>
          <s:t>FY26</s:t>
        </s:is>
      </s:c>
      <s:c r="D13" s="18" t="inlineStr">
        <s:is>
          <s:t>FY27</s:t>
        </s:is>
      </s:c>
      <s:c r="E13" s="18" t="inlineStr">
        <s:is>
          <s:t>FY28</s:t>
        </s:is>
      </s:c>
      <s:c r="F13" s="18" t="inlineStr">
        <s:is>
          <s:t>FY29</s:t>
        </s:is>
      </s:c>
      <s:c r="G13" s="13" t="inlineStr">
        <s:is>
          <s:t>Source / note</s:t>
        </s:is>
      </s:c>
    </s:row>
    <s:row r="14">
      <s:c r="B14" s="48" t="inlineStr">
        <s:is>
          <s:t>India TAM base 2024 (USD M)</s:t>
        </s:is>
      </s:c>
      <s:c r="C14" s="49" t="n">
        <s:v>2110</s:v>
      </s:c>
      <s:c r="D14" s="48" t="inlineStr"/>
      <s:c r="E14" s="48" t="inlineStr"/>
      <s:c r="F14" s="48" t="inlineStr"/>
      <s:c r="G14" s="17" t="inlineStr">
        <s:is>
          <s:t>India USB/wired charger TAM ~USD 2.11B, 2024 (Expert Market Research); CAGR 8.9% (2025-34).</s:t>
        </s:is>
      </s:c>
    </s:row>
    <s:row r="15">
      <s:c r="B15" s="48" t="inlineStr">
        <s:is>
          <s:t>TAM CAGR</s:t>
        </s:is>
      </s:c>
      <s:c r="C15" s="56" t="n">
        <s:v>0.089</s:v>
      </s:c>
      <s:c r="D15" s="48" t="inlineStr"/>
      <s:c r="E15" s="48" t="inlineStr"/>
      <s:c r="F15" s="48" t="inlineStr"/>
      <s:c r="G15" s="17" t="inlineStr">
        <s:is>
          <s:t>Secondary research (see note)</s:t>
        </s:is>
      </s:c>
    </s:row>
    <s:row r="16">
      <s:c r="B16" s="48" t="inlineStr">
        <s:is>
          <s:t>India TAM (Rs Cr)</s:t>
        </s:is>
      </s:c>
      <s:c r="C16" s="52">
        <s:f>$C$14*$C$7/10*(1+$C$15)^1</s:f>
        <s:v>20220.552</s:v>
      </s:c>
      <s:c r="D16" s="52">
        <s:f>$C$14*$C$7/10*(1+$C$15)^2</s:f>
        <s:v>22020.181128</s:v>
      </s:c>
      <s:c r="E16" s="52">
        <s:f>$C$14*$C$7/10*(1+$C$15)^3</s:f>
        <s:v>23979.977248392</s:v>
      </s:c>
      <s:c r="F16" s="52">
        <s:f>$C$14*$C$7/10*(1+$C$15)^4</s:f>
        <s:v>26114.195223498886</s:v>
      </s:c>
      <s:c r="G16" s="17" t="inlineStr">
        <s:is>
          <s:t>USD M -&gt; Rs Cr = USD M x rate / 10</s:t>
        </s:is>
      </s:c>
    </s:row>
    <s:row r="17">
      <s:c r="B17" s="48" t="inlineStr">
        <s:is>
          <s:t>Premium/branded share of value</s:t>
        </s:is>
      </s:c>
      <s:c r="C17" s="56" t="n">
        <s:v>0.18</s:v>
      </s:c>
      <s:c r="D17" s="56" t="n">
        <s:v>0.2</s:v>
      </s:c>
      <s:c r="E17" s="56" t="n">
        <s:v>0.22</s:v>
      </s:c>
      <s:c r="F17" s="56" t="n">
        <s:v>0.25</s:v>
      </s:c>
      <s:c r="G17" s="17" t="inlineStr">
        <s:is>
          <s:t>GaN/branded premium tier where POP plays. India GaN chargers ~USD 79M 2023 growing ~18-20% (Ken Research); premium cables incl. 140W. Editable.</s:t>
        </s:is>
      </s:c>
    </s:row>
    <s:row r="18">
      <s:c r="B18" s="48" t="inlineStr">
        <s:is>
          <s:t>Premium SAM (Rs Cr) — total market</s:t>
        </s:is>
      </s:c>
      <s:c r="C18" s="54">
        <s:f>C16*C17</s:f>
        <s:v>3639.6993599999996</s:v>
      </s:c>
      <s:c r="D18" s="54">
        <s:f>D16*D17</s:f>
        <s:v>4404.0362256</s:v>
      </s:c>
      <s:c r="E18" s="54">
        <s:f>E16*E17</s:f>
        <s:v>5275.59499464624</s:v>
      </s:c>
      <s:c r="F18" s="54">
        <s:f>F16*F17</s:f>
        <s:v>6528.548805874721</s:v>
      </s:c>
      <s:c r="G18" s="17" t="inlineStr">
        <s:is>
          <s:t>On+offline premium market (context)</s:t>
        </s:is>
      </s:c>
    </s:row>
    <s:row r="19">
      <s:c r="B19" s="48" t="inlineStr">
        <s:is>
          <s:t>Online share of market (%)</s:t>
        </s:is>
      </s:c>
      <s:c r="C19" s="56" t="n">
        <s:v>0.45</s:v>
      </s:c>
      <s:c r="D19" s="56" t="n">
        <s:v>0.45</s:v>
      </s:c>
      <s:c r="E19" s="56" t="n">
        <s:v>0.45</s:v>
      </s:c>
      <s:c r="F19" s="56" t="n">
        <s:v>0.45</s:v>
      </s:c>
      <s:c r="G19" s="17" t="inlineStr">
        <s:is>
          <s:t>Accessories online channel; premium/design DTC skews online. Moderated for India offline. Editable.</s:t>
        </s:is>
      </s:c>
    </s:row>
    <s:row r="20">
      <s:c r="B20" s="48" t="inlineStr">
        <s:is>
          <s:t>Online TAM (Rs Cr)</s:t>
        </s:is>
      </s:c>
      <s:c r="C20" s="54">
        <s:f>C16*C19</s:f>
        <s:v>9099.2484</s:v>
      </s:c>
      <s:c r="D20" s="54">
        <s:f>D16*D19</s:f>
        <s:v>9909.0815076</s:v>
      </s:c>
      <s:c r="E20" s="54">
        <s:f>E16*E19</s:f>
        <s:v>10790.9897617764</s:v>
      </s:c>
      <s:c r="F20" s="54">
        <s:f>F16*F19</s:f>
        <s:v>11751.3878505745</s:v>
      </s:c>
      <s:c r="G20" s="17" t="inlineStr">
        <s:is>
          <s:t>India TAM x online share</s:t>
        </s:is>
      </s:c>
    </s:row>
    <s:row r="21">
      <s:c r="B21" s="48" t="inlineStr">
        <s:is>
          <s:t>Premium ONLINE SAM (Rs Cr) — DO target</s:t>
        </s:is>
      </s:c>
      <s:c r="C21" s="52">
        <s:f>C20*C17</s:f>
        <s:v>1637.864712</s:v>
      </s:c>
      <s:c r="D21" s="52">
        <s:f>D20*D17</s:f>
        <s:v>1981.81630152</s:v>
      </s:c>
      <s:c r="E21" s="52">
        <s:f>E20*E17</s:f>
        <s:v>2374.017747590808</s:v>
      </s:c>
      <s:c r="F21" s="52">
        <s:f>F20*F17</s:f>
        <s:v>2937.846962643625</s:v>
      </s:c>
      <s:c r="G21" s="17" t="inlineStr">
        <s:is>
          <s:t>DO's real serviceable market (online only)</s:t>
        </s:is>
      </s:c>
    </s:row>
    <s:row r="22">
      <s:c r="B22" s="48" t="inlineStr">
        <s:is>
          <s:t>DO revenue (Rs Cr)</s:t>
        </s:is>
      </s:c>
      <s:c r="C22" s="22" t="n">
        <s:v>30</s:v>
      </s:c>
      <s:c r="D22" s="22" t="n">
        <s:v>45</s:v>
      </s:c>
      <s:c r="E22" s="22" t="n">
        <s:v>58</s:v>
      </s:c>
      <s:c r="F22" s="22" t="n">
        <s:v>72</s:v>
      </s:c>
      <s:c r="G22" s="17" t="inlineStr">
        <s:is>
          <s:t>PLACEHOLDER aspiration — REPLACE with your POP actuals/targets. FY26 base, FY27-29 growth.</s:t>
        </s:is>
      </s:c>
    </s:row>
    <s:row r="23">
      <s:c r="B23" s="48" t="inlineStr">
        <s:is>
          <s:t>DO share (of total premium SAM)</s:t>
        </s:is>
      </s:c>
      <s:c r="C23" s="53">
        <s:f>C22/C18</s:f>
        <s:v>0.008242439012874954</s:v>
      </s:c>
      <s:c r="D23" s="53">
        <s:f>D22/D18</s:f>
        <s:v>0.010217899602737546</s:v>
      </s:c>
      <s:c r="E23" s="53">
        <s:f>E22/E18</s:f>
        <s:v>0.010994020590826124</s:v>
      </s:c>
      <s:c r="F23" s="53">
        <s:f>F22/F18</s:f>
        <s:v>0.01102848460521743</s:v>
      </s:c>
      <s:c r="G23" s="17" t="inlineStr">
        <s:is>
          <s:t>Share of full on+offline premium market</s:t>
        </s:is>
      </s:c>
    </s:row>
    <s:row r="24">
      <s:c r="B24" s="48" t="inlineStr">
        <s:is>
          <s:t>DO market share (of premium online SAM)</s:t>
        </s:is>
      </s:c>
      <s:c r="C24" s="53">
        <s:f>C22/C21</s:f>
        <s:v>0.01831653113972212</s:v>
      </s:c>
      <s:c r="D24" s="53">
        <s:f>D22/D21</s:f>
        <s:v>0.02270644356163899</s:v>
      </s:c>
      <s:c r="E24" s="53">
        <s:f>E22/E21</s:f>
        <s:v>0.024431156868502498</s:v>
      </s:c>
      <s:c r="F24" s="53">
        <s:f>F22/F21</s:f>
        <s:v>0.024507743567149843</s:v>
      </s:c>
      <s:c r="G24" s="17" t="inlineStr">
        <s:is>
          <s:t>DO share of the ONLINE serviceable market (the real read)</s:t>
        </s:is>
      </s:c>
    </s:row>
    <s:row r="25">
      <s:c r="B25" s="48" t="inlineStr">
        <s:is>
          <s:t>Basket AOV (Rs)</s:t>
        </s:is>
      </s:c>
      <s:c r="C25" s="48" t="inlineStr"/>
      <s:c r="D25" s="49" t="n">
        <s:v>2399</s:v>
      </s:c>
      <s:c r="E25" s="49" t="n">
        <s:v>2450</s:v>
      </s:c>
      <s:c r="F25" s="49" t="n">
        <s:v>2500</s:v>
      </s:c>
      <s:c r="G25" s="17" t="inlineStr">
        <s:is>
          <s:t>AOV MEASURED from your Meta 'pop' campaigns, last 12m (Rs 2,399). FY28-29 assume mild premiumisation.</s:t>
        </s:is>
      </s:c>
    </s:row>
    <s:row r="26">
      <s:c r="B26" s="48" t="inlineStr">
        <s:is>
          <s:t>Projected units / orders (#)</s:t>
        </s:is>
      </s:c>
      <s:c r="C26" s="48" t="inlineStr"/>
      <s:c r="D26" s="54">
        <s:f>(D22/D25)*$C$8</s:f>
        <s:v>187578.15756565233</s:v>
      </s:c>
      <s:c r="E26" s="54">
        <s:f>(E22/E25)*$C$8</s:f>
        <s:v>236734.693877551</s:v>
      </s:c>
      <s:c r="F26" s="54">
        <s:f>(F22/F25)*$C$8</s:f>
        <s:v>288000.0</s:v>
      </s:c>
      <s:c r="G26" s="17" t="inlineStr">
        <s:is>
          <s:t>Revenue / AOV x Rs per Cr</s:t>
        </s:is>
      </s:c>
    </s:row>
    <s:row r="28">
      <s:c r="B28" s="46" t="inlineStr">
        <s:is>
          <s:t>LOFT — Charging Stations market (India wireless charging: Qi2/MagSafe stations &amp; docks)</s:t>
        </s:is>
      </s:c>
    </s:row>
    <s:row r="29">
      <s:c r="B29" s="13" t="inlineStr">
        <s:is>
          <s:t>Metric</s:t>
        </s:is>
      </s:c>
      <s:c r="C29" s="18" t="inlineStr">
        <s:is>
          <s:t>FY26</s:t>
        </s:is>
      </s:c>
      <s:c r="D29" s="18" t="inlineStr">
        <s:is>
          <s:t>FY27</s:t>
        </s:is>
      </s:c>
      <s:c r="E29" s="18" t="inlineStr">
        <s:is>
          <s:t>FY28</s:t>
        </s:is>
      </s:c>
      <s:c r="F29" s="18" t="inlineStr">
        <s:is>
          <s:t>FY29</s:t>
        </s:is>
      </s:c>
      <s:c r="G29" s="13" t="inlineStr">
        <s:is>
          <s:t>Source / note</s:t>
        </s:is>
      </s:c>
    </s:row>
    <s:row r="30">
      <s:c r="B30" s="48" t="inlineStr">
        <s:is>
          <s:t>India TAM base 2024 (USD M)</s:t>
        </s:is>
      </s:c>
      <s:c r="C30" s="49" t="n">
        <s:v>616.9</s:v>
      </s:c>
      <s:c r="D30" s="48" t="inlineStr"/>
      <s:c r="E30" s="48" t="inlineStr"/>
      <s:c r="F30" s="48" t="inlineStr"/>
      <s:c r="G30" s="17" t="inlineStr">
        <s:is>
          <s:t>India wireless charging TAM USD 616.9M, 2024 (IMARC); CAGR 11.44% (2025-33).</s:t>
        </s:is>
      </s:c>
    </s:row>
    <s:row r="31">
      <s:c r="B31" s="48" t="inlineStr">
        <s:is>
          <s:t>TAM CAGR</s:t>
        </s:is>
      </s:c>
      <s:c r="C31" s="56" t="n">
        <s:v>0.1144</s:v>
      </s:c>
      <s:c r="D31" s="48" t="inlineStr"/>
      <s:c r="E31" s="48" t="inlineStr"/>
      <s:c r="F31" s="48" t="inlineStr"/>
      <s:c r="G31" s="17" t="inlineStr">
        <s:is>
          <s:t>Secondary research (see note)</s:t>
        </s:is>
      </s:c>
    </s:row>
    <s:row r="32">
      <s:c r="B32" s="48" t="inlineStr">
        <s:is>
          <s:t>India TAM (Rs Cr)</s:t>
        </s:is>
      </s:c>
      <s:c r="C32" s="52">
        <s:f>$C$30*$C$7/10*(1+$C$31)^1</s:f>
        <s:v>6049.765568</s:v>
      </s:c>
      <s:c r="D32" s="52">
        <s:f>$C$30*$C$7/10*(1+$C$31)^2</s:f>
        <s:v>6741.858748979201</s:v>
      </s:c>
      <s:c r="E32" s="52">
        <s:f>$C$30*$C$7/10*(1+$C$31)^3</s:f>
        <s:v>7513.127389862421</s:v>
      </s:c>
      <s:c r="F32" s="52">
        <s:f>$C$30*$C$7/10*(1+$C$31)^4</s:f>
        <s:v>8372.629163262684</s:v>
      </s:c>
      <s:c r="G32" s="17" t="inlineStr">
        <s:is>
          <s:t>USD M -&gt; Rs Cr = USD M x rate / 10</s:t>
        </s:is>
      </s:c>
    </s:row>
    <s:row r="33">
      <s:c r="B33" s="48" t="inlineStr">
        <s:is>
          <s:t>Premium/branded share of value</s:t>
        </s:is>
      </s:c>
      <s:c r="C33" s="56" t="n">
        <s:v>0.22</s:v>
      </s:c>
      <s:c r="D33" s="56" t="n">
        <s:v>0.24</s:v>
      </s:c>
      <s:c r="E33" s="56" t="n">
        <s:v>0.26</s:v>
      </s:c>
      <s:c r="F33" s="56" t="n">
        <s:v>0.28</s:v>
      </s:c>
      <s:c r="G33" s="17" t="inlineStr">
        <s:is>
          <s:t>Multi-device Qi2/MagSafe charging STATIONS (premium slice of wireless charging, vs simple pads). Editable.</s:t>
        </s:is>
      </s:c>
    </s:row>
    <s:row r="34">
      <s:c r="B34" s="48" t="inlineStr">
        <s:is>
          <s:t>Premium SAM (Rs Cr) — total market</s:t>
        </s:is>
      </s:c>
      <s:c r="C34" s="54">
        <s:f>C32*C33</s:f>
        <s:v>1330.94842496</s:v>
      </s:c>
      <s:c r="D34" s="54">
        <s:f>D32*D33</s:f>
        <s:v>1618.046099755008</s:v>
      </s:c>
      <s:c r="E34" s="54">
        <s:f>E32*E33</s:f>
        <s:v>1953.4131213642297</s:v>
      </s:c>
      <s:c r="F34" s="54">
        <s:f>F32*F33</s:f>
        <s:v>2344.3361657135515</s:v>
      </s:c>
      <s:c r="G34" s="17" t="inlineStr">
        <s:is>
          <s:t>On+offline premium market (context)</s:t>
        </s:is>
      </s:c>
    </s:row>
    <s:row r="35">
      <s:c r="B35" s="48" t="inlineStr">
        <s:is>
          <s:t>Online share of market (%)</s:t>
        </s:is>
      </s:c>
      <s:c r="C35" s="56" t="n">
        <s:v>0.55</s:v>
      </s:c>
      <s:c r="D35" s="56" t="n">
        <s:v>0.55</s:v>
      </s:c>
      <s:c r="E35" s="56" t="n">
        <s:v>0.55</s:v>
      </s:c>
      <s:c r="F35" s="56" t="n">
        <s:v>0.55</s:v>
      </s:c>
      <s:c r="G35" s="17" t="inlineStr">
        <s:is>
          <s:t>Premium wireless / MagSafe design buyers skew strongly online. Editable.</s:t>
        </s:is>
      </s:c>
    </s:row>
    <s:row r="36">
      <s:c r="B36" s="48" t="inlineStr">
        <s:is>
          <s:t>Online TAM (Rs Cr)</s:t>
        </s:is>
      </s:c>
      <s:c r="C36" s="54">
        <s:f>C32*C35</s:f>
        <s:v>3327.3710624</s:v>
      </s:c>
      <s:c r="D36" s="54">
        <s:f>D32*D35</s:f>
        <s:v>3708.0223119385605</s:v>
      </s:c>
      <s:c r="E36" s="54">
        <s:f>E32*E35</s:f>
        <s:v>4132.220064424332</s:v>
      </s:c>
      <s:c r="F36" s="54">
        <s:f>F32*F35</s:f>
        <s:v>4604.946039794477</s:v>
      </s:c>
      <s:c r="G36" s="17" t="inlineStr">
        <s:is>
          <s:t>India TAM x online share</s:t>
        </s:is>
      </s:c>
    </s:row>
    <s:row r="37">
      <s:c r="B37" s="48" t="inlineStr">
        <s:is>
          <s:t>Premium ONLINE SAM (Rs Cr) — DO target</s:t>
        </s:is>
      </s:c>
      <s:c r="C37" s="52">
        <s:f>C36*C33</s:f>
        <s:v>732.021633728</s:v>
      </s:c>
      <s:c r="D37" s="52">
        <s:f>D36*D33</s:f>
        <s:v>889.9253548652545</s:v>
      </s:c>
      <s:c r="E37" s="52">
        <s:f>E36*E33</s:f>
        <s:v>1074.3772167503264</s:v>
      </s:c>
      <s:c r="F37" s="52">
        <s:f>F36*F33</s:f>
        <s:v>1289.3848911424536</s:v>
      </s:c>
      <s:c r="G37" s="17" t="inlineStr">
        <s:is>
          <s:t>DO's real serviceable market (online only)</s:t>
        </s:is>
      </s:c>
    </s:row>
    <s:row r="38">
      <s:c r="B38" s="48" t="inlineStr">
        <s:is>
          <s:t>DO revenue (Rs Cr)</s:t>
        </s:is>
      </s:c>
      <s:c r="C38" s="22" t="n">
        <s:v>10</s:v>
      </s:c>
      <s:c r="D38" s="22" t="n">
        <s:v>22</s:v>
      </s:c>
      <s:c r="E38" s="22" t="n">
        <s:v>38</s:v>
      </s:c>
      <s:c r="F38" s="22" t="n">
        <s:v>55</s:v>
      </s:c>
      <s:c r="G38" s="17" t="inlineStr">
        <s:is>
          <s:t>PLACEHOLDER aspiration — REPLACE with your Loft actuals/targets. New IP line, faster ramp.</s:t>
        </s:is>
      </s:c>
    </s:row>
    <s:row r="39">
      <s:c r="B39" s="48" t="inlineStr">
        <s:is>
          <s:t>DO share (of total premium SAM)</s:t>
        </s:is>
      </s:c>
      <s:c r="C39" s="53">
        <s:f>C38/C34</s:f>
        <s:v>0.0075134391479523615</s:v>
      </s:c>
      <s:c r="D39" s="53">
        <s:f>D38/D34</s:f>
        <s:v>0.013596645981428507</s:v>
      </s:c>
      <s:c r="E39" s="53">
        <s:f>E38/E34</s:f>
        <s:v>0.019453130310428886</s:v>
      </s:c>
      <s:c r="F39" s="53">
        <s:f>F38/F34</s:f>
        <s:v>0.02346079918246687</s:v>
      </s:c>
      <s:c r="G39" s="17" t="inlineStr">
        <s:is>
          <s:t>Share of full on+offline premium market</s:t>
        </s:is>
      </s:c>
    </s:row>
    <s:row r="40">
      <s:c r="B40" s="48" t="inlineStr">
        <s:is>
          <s:t>DO market share (of premium online SAM)</s:t>
        </s:is>
      </s:c>
      <s:c r="C40" s="53">
        <s:f>C38/C37</s:f>
        <s:v>0.013660798450822477</s:v>
      </s:c>
      <s:c r="D40" s="53">
        <s:f>D38/D37</s:f>
        <s:v>0.024721174511688194</s:v>
      </s:c>
      <s:c r="E40" s="53">
        <s:f>E38/E37</s:f>
        <s:v>0.03536932783714343</s:v>
      </s:c>
      <s:c r="F40" s="53">
        <s:f>F38/F37</s:f>
        <s:v>0.04265599851357611</s:v>
      </s:c>
      <s:c r="G40" s="17" t="inlineStr">
        <s:is>
          <s:t>DO share of the ONLINE serviceable market (the real read)</s:t>
        </s:is>
      </s:c>
    </s:row>
    <s:row r="41">
      <s:c r="B41" s="48" t="inlineStr">
        <s:is>
          <s:t>Basket AOV (Rs)</s:t>
        </s:is>
      </s:c>
      <s:c r="C41" s="48" t="inlineStr"/>
      <s:c r="D41" s="49" t="n">
        <s:v>3353</s:v>
      </s:c>
      <s:c r="E41" s="49" t="n">
        <s:v>3450</s:v>
      </s:c>
      <s:c r="F41" s="49" t="n">
        <s:v>3550</s:v>
      </s:c>
      <s:c r="G41" s="17" t="inlineStr">
        <s:is>
          <s:t>AOV MEASURED from your Meta 'loft' campaigns, last 12m (Rs 3,353) — ~40% above POP. FY28-29 mild premiumisation.</s:t>
        </s:is>
      </s:c>
    </s:row>
    <s:row r="42">
      <s:c r="B42" s="48" t="inlineStr">
        <s:is>
          <s:t>Projected units / orders (#)</s:t>
        </s:is>
      </s:c>
      <s:c r="C42" s="48" t="inlineStr"/>
      <s:c r="D42" s="54">
        <s:f>(D38/D41)*$C$8</s:f>
        <s:v>65612.88398449149</s:v>
      </s:c>
      <s:c r="E42" s="54">
        <s:f>(E38/E41)*$C$8</s:f>
        <s:v>110144.92753623189</s:v>
      </s:c>
      <s:c r="F42" s="54">
        <s:f>(F38/F41)*$C$8</s:f>
        <s:v>154929.57746478874</s:v>
      </s:c>
      <s:c r="G42" s="17" t="inlineStr">
        <s:is>
          <s:t>Revenue / AOV x Rs per Cr</s:t>
        </s:is>
      </s:c>
    </s:row>
  </s:sheetData>
  <s:mergeCells count="5">
    <s:mergeCell ref="B3:G3"/>
    <s:mergeCell ref="B2:G2"/>
    <s:mergeCell ref="B28:G28"/>
    <s:mergeCell ref="B5:F5"/>
    <s:mergeCell ref="B12:G12"/>
  </s:mergeCells>
  <s:pageMargins left="0.75" right="0.75" top="1" bottom="1" header="0.5" footer="0.5"/>
</s:worksheet>
</file>

<file path=xl/worksheets/sheet3.xml><?xml version="1.0" encoding="utf-8"?>
<s:worksheet xmlns:s="http://schemas.openxmlformats.org/spreadsheetml/2006/main">
  <s:sheetPr>
    <s:outlinePr summaryBelow="1" summaryRight="1"/>
    <s:pageSetUpPr/>
  </s:sheetPr>
  <s:dimension ref="B2:I35"/>
  <s:sheetViews>
    <s:sheetView showGridLines="0" workbookViewId="0">
      <s:selection activeCell="A1" sqref="A1"/>
    </s:sheetView>
  </s:sheetViews>
  <s:sheetFormatPr baseColWidth="8" defaultRowHeight="15"/>
  <s:cols>
    <s:col width="3" customWidth="1" min="1" max="1"/>
    <s:col width="36" customWidth="1" min="2" max="2"/>
    <s:col width="13" customWidth="1" min="3" max="3"/>
    <s:col width="34" customWidth="1" min="4" max="4"/>
    <s:col width="12" customWidth="1" min="5" max="5"/>
    <s:col width="12" customWidth="1" min="6" max="6"/>
    <s:col width="12" customWidth="1" min="7" max="7"/>
    <s:col width="12" customWidth="1" min="8" max="8"/>
    <s:col width="52" customWidth="1" min="9" max="9"/>
  </s:cols>
  <s:sheetData>
    <s:row r="2">
      <s:c r="B2" s="24" t="inlineStr">
        <s:is>
          <s:t>Adaptors (POP &amp; Loft) — 3-Year Building Block View</s:t>
        </s:is>
      </s:c>
    </s:row>
    <s:row r="3">
      <s:c r="B3" s="45" t="inlineStr">
        <s:is>
          <s:t>POP = wired GaN/PD adapters + cables · Loft = Qi2/MagSafe wireless charging stations · FY27–FY29 · figures link to Assumptions</s:t>
        </s:is>
      </s:c>
    </s:row>
    <s:row r="5">
      <s:c r="B5" s="26" t="inlineStr">
        <s:is>
          <s:t>Building block</s:t>
        </s:is>
      </s:c>
      <s:c r="C5" s="26" t="inlineStr">
        <s:is>
          <s:t>Approach</s:t>
        </s:is>
      </s:c>
      <s:c r="D5" s="26" t="inlineStr">
        <s:is>
          <s:t>Metric</s:t>
        </s:is>
      </s:c>
      <s:c r="E5" s="27" t="inlineStr">
        <s:is>
          <s:t>FY26</s:t>
        </s:is>
      </s:c>
      <s:c r="F5" s="27" t="inlineStr">
        <s:is>
          <s:t>FY27</s:t>
        </s:is>
      </s:c>
      <s:c r="G5" s="27" t="inlineStr">
        <s:is>
          <s:t>FY28</s:t>
        </s:is>
      </s:c>
      <s:c r="H5" s="27" t="inlineStr">
        <s:is>
          <s:t>FY29</s:t>
        </s:is>
      </s:c>
      <s:c r="I5" s="26" t="inlineStr">
        <s:is>
          <s:t>Read / insight</s:t>
        </s:is>
      </s:c>
    </s:row>
    <s:row r="6">
      <s:c r="B6" s="28" t="inlineStr">
        <s:is>
          <s:t>1  |  CATEGORY SIZE   (secondary research)</s:t>
        </s:is>
      </s:c>
      <s:c r="C6" s="29" t="n"/>
      <s:c r="D6" s="29" t="n"/>
      <s:c r="E6" s="29" t="n"/>
      <s:c r="F6" s="29" t="n"/>
      <s:c r="G6" s="29" t="n"/>
      <s:c r="H6" s="30" t="n"/>
    </s:row>
    <s:row r="7">
      <s:c r="C7" s="31" t="inlineStr">
        <s:is>
          <s:t>Secondary</s:t>
        </s:is>
      </s:c>
      <s:c r="D7" s="32" t="inlineStr">
        <s:is>
          <s:t>POP — India TAM (Rs Cr)</s:t>
        </s:is>
      </s:c>
      <s:c r="E7" s="62">
        <s:f>Assumptions!C16</s:f>
        <s:v>20220.552</s:v>
      </s:c>
      <s:c r="F7" s="62">
        <s:f>Assumptions!D16</s:f>
        <s:v>22020.181128</s:v>
      </s:c>
      <s:c r="G7" s="62">
        <s:f>Assumptions!E16</s:f>
        <s:v>23979.977248392</s:v>
      </s:c>
      <s:c r="H7" s="62">
        <s:f>Assumptions!F16</s:f>
        <s:v>26114.195223498886</s:v>
      </s:c>
      <s:c r="I7" s="34" t="inlineStr">
        <s:is>
          <s:t>India wired-charging accessories market (adapters + cables)</s:t>
        </s:is>
      </s:c>
    </s:row>
    <s:row r="8">
      <s:c r="C8" s="31" t="inlineStr">
        <s:is>
          <s:t>Secondary</s:t>
        </s:is>
      </s:c>
      <s:c r="D8" s="35" t="inlineStr">
        <s:is>
          <s:t>POP — premium online SAM (Rs Cr)</s:t>
        </s:is>
      </s:c>
      <s:c r="E8" s="36">
        <s:f>Assumptions!C21</s:f>
        <s:v>1637.864712</s:v>
      </s:c>
      <s:c r="F8" s="36">
        <s:f>Assumptions!D21</s:f>
        <s:v>1981.81630152</s:v>
      </s:c>
      <s:c r="G8" s="36">
        <s:f>Assumptions!E21</s:f>
        <s:v>2374.017747590808</s:v>
      </s:c>
      <s:c r="H8" s="36">
        <s:f>Assumptions!F21</s:f>
        <s:v>2937.846962643625</s:v>
      </s:c>
      <s:c r="I8" s="34" t="inlineStr">
        <s:is>
          <s:t>Online, premium/branded slice POP actually serves</s:t>
        </s:is>
      </s:c>
    </s:row>
    <s:row r="9">
      <s:c r="C9" s="31" t="inlineStr">
        <s:is>
          <s:t>Secondary</s:t>
        </s:is>
      </s:c>
      <s:c r="D9" s="32" t="inlineStr">
        <s:is>
          <s:t>Loft — India TAM (Rs Cr)</s:t>
        </s:is>
      </s:c>
      <s:c r="E9" s="62">
        <s:f>Assumptions!C32</s:f>
        <s:v>6049.765568</s:v>
      </s:c>
      <s:c r="F9" s="62">
        <s:f>Assumptions!D32</s:f>
        <s:v>6741.858748979201</s:v>
      </s:c>
      <s:c r="G9" s="62">
        <s:f>Assumptions!E32</s:f>
        <s:v>7513.127389862421</s:v>
      </s:c>
      <s:c r="H9" s="62">
        <s:f>Assumptions!F32</s:f>
        <s:v>8372.629163262684</s:v>
      </s:c>
      <s:c r="I9" s="34" t="inlineStr">
        <s:is>
          <s:t>India wireless-charging market (IMARC)</s:t>
        </s:is>
      </s:c>
    </s:row>
    <s:row r="10">
      <s:c r="C10" s="31" t="inlineStr">
        <s:is>
          <s:t>Secondary</s:t>
        </s:is>
      </s:c>
      <s:c r="D10" s="35" t="inlineStr">
        <s:is>
          <s:t>Loft — premium online SAM (Rs Cr)</s:t>
        </s:is>
      </s:c>
      <s:c r="E10" s="36">
        <s:f>Assumptions!C37</s:f>
        <s:v>732.021633728</s:v>
      </s:c>
      <s:c r="F10" s="36">
        <s:f>Assumptions!D37</s:f>
        <s:v>889.9253548652545</s:v>
      </s:c>
      <s:c r="G10" s="36">
        <s:f>Assumptions!E37</s:f>
        <s:v>1074.3772167503264</s:v>
      </s:c>
      <s:c r="H10" s="36">
        <s:f>Assumptions!F37</s:f>
        <s:v>1289.3848911424536</s:v>
      </s:c>
      <s:c r="I10" s="34" t="inlineStr">
        <s:is>
          <s:t>Online Qi2/MagSafe station slice Loft serves</s:t>
        </s:is>
      </s:c>
    </s:row>
    <s:row r="12">
      <s:c r="B12" s="28" t="inlineStr">
        <s:is>
          <s:t>2  |  PRICE DISTRIBUTION   (secondary research)</s:t>
        </s:is>
      </s:c>
      <s:c r="C12" s="29" t="n"/>
      <s:c r="D12" s="29" t="n"/>
      <s:c r="E12" s="29" t="n"/>
      <s:c r="F12" s="29" t="n"/>
      <s:c r="G12" s="29" t="n"/>
      <s:c r="H12" s="30" t="n"/>
    </s:row>
    <s:row r="13">
      <s:c r="B13" s="37" t="inlineStr">
        <s:is>
          <s:t>Tier</s:t>
        </s:is>
      </s:c>
      <s:c r="C13" s="37" t="inlineStr">
        <s:is>
          <s:t>Typical product</s:t>
        </s:is>
      </s:c>
      <s:c r="D13" s="37" t="inlineStr">
        <s:is>
          <s:t>Approx. share (vol / value)</s:t>
        </s:is>
      </s:c>
      <s:c r="E13" s="29" t="n"/>
      <s:c r="F13" s="29" t="n"/>
      <s:c r="G13" s="29" t="n"/>
      <s:c r="H13" s="30" t="n"/>
      <s:c r="I13" s="37" t="inlineStr">
        <s:is>
          <s:t>DO SKUs</s:t>
        </s:is>
      </s:c>
    </s:row>
    <s:row r="14">
      <s:c r="B14" s="35" t="inlineStr">
        <s:is>
          <s:t>Mass wired (&lt;Rs500)</s:t>
        </s:is>
      </s:c>
      <s:c r="C14" s="34" t="inlineStr">
        <s:is>
          <s:t>Bundled/generic bricks &amp; cables (local, no-name)</s:t>
        </s:is>
      </s:c>
      <s:c r="D14" s="38" t="inlineStr">
        <s:is>
          <s:t>~55% vol / ~25% value</s:t>
        </s:is>
      </s:c>
      <s:c r="E14" s="29" t="n"/>
      <s:c r="F14" s="29" t="n"/>
      <s:c r="G14" s="29" t="n"/>
      <s:c r="H14" s="30" t="n"/>
      <s:c r="I14" s="34" t="inlineStr">
        <s:is>
          <s:t>—</s:t>
        </s:is>
      </s:c>
    </s:row>
    <s:row r="15">
      <s:c r="B15" s="35" t="inlineStr">
        <s:is>
          <s:t>Branded wired (Rs500-1,200)</s:t>
        </s:is>
      </s:c>
      <s:c r="C15" s="34" t="inlineStr">
        <s:is>
          <s:t>boAt/Portronics/Ambrane fast chargers &amp; cables</s:t>
        </s:is>
      </s:c>
      <s:c r="D15" s="38" t="inlineStr">
        <s:is>
          <s:t>~28% vol / ~30% value</s:t>
        </s:is>
      </s:c>
      <s:c r="E15" s="29" t="n"/>
      <s:c r="F15" s="29" t="n"/>
      <s:c r="G15" s="29" t="n"/>
      <s:c r="H15" s="30" t="n"/>
      <s:c r="I15" s="34" t="inlineStr">
        <s:is>
          <s:t>POP entry cables</s:t>
        </s:is>
      </s:c>
    </s:row>
    <s:row r="16">
      <s:c r="B16" s="35" t="inlineStr">
        <s:is>
          <s:t>Premium GaN/PD + premium cable (Rs1,200-3,500)</s:t>
        </s:is>
      </s:c>
      <s:c r="C16" s="34" t="inlineStr">
        <s:is>
          <s:t>GaN 33-100W, 140W USB-C, braided premium cables</s:t>
        </s:is>
      </s:c>
      <s:c r="D16" s="38" t="inlineStr">
        <s:is>
          <s:t>~13% vol / ~30% value</s:t>
        </s:is>
      </s:c>
      <s:c r="E16" s="29" t="n"/>
      <s:c r="F16" s="29" t="n"/>
      <s:c r="G16" s="29" t="n"/>
      <s:c r="H16" s="30" t="n"/>
      <s:c r="I16" s="34" t="inlineStr">
        <s:is>
          <s:t>POP adapters &amp; 140W cable</s:t>
        </s:is>
      </s:c>
    </s:row>
    <s:row r="17">
      <s:c r="B17" s="35" t="inlineStr">
        <s:is>
          <s:t>Premium wireless station (&gt;Rs3,000)</s:t>
        </s:is>
      </s:c>
      <s:c r="C17" s="34" t="inlineStr">
        <s:is>
          <s:t>Qi2/MagSafe 3-in-1 &amp; foldable charging stations</s:t>
        </s:is>
      </s:c>
      <s:c r="D17" s="38" t="inlineStr">
        <s:is>
          <s:t>~4% vol / ~15% value</s:t>
        </s:is>
      </s:c>
      <s:c r="E17" s="29" t="n"/>
      <s:c r="F17" s="29" t="n"/>
      <s:c r="G17" s="29" t="n"/>
      <s:c r="H17" s="30" t="n"/>
      <s:c r="I17" s="34" t="inlineStr">
        <s:is>
          <s:t>Loft stations &amp; docks</s:t>
        </s:is>
      </s:c>
    </s:row>
    <s:row r="18" ht="44" customHeight="1">
      <s:c r="B18" s="39" t="inlineStr">
        <s:is>
          <s:t>Read: POP owns the premium wired tier (GaN/PD adapters + premium/140W cables) — above the commoditised &lt;Rs500 mass bricks. Loft sits at the top: premium Qi2/MagSafe stations, a small but fast-growing, still-NASCENT slice (most buyers still use a bundled brick + a pad). DO avoids the mass wired price war.</s:t>
        </s:is>
      </s:c>
      <s:c r="C18" s="29" t="n"/>
      <s:c r="D18" s="29" t="n"/>
      <s:c r="E18" s="29" t="n"/>
      <s:c r="F18" s="29" t="n"/>
      <s:c r="G18" s="29" t="n"/>
      <s:c r="H18" s="30" t="n"/>
    </s:row>
    <s:row r="20">
      <s:c r="B20" s="28" t="inlineStr">
        <s:is>
          <s:t>3  |  MARKET SHARE ASPIRATION   (primary — your targets)</s:t>
        </s:is>
      </s:c>
      <s:c r="C20" s="29" t="n"/>
      <s:c r="D20" s="29" t="n"/>
      <s:c r="E20" s="29" t="n"/>
      <s:c r="F20" s="29" t="n"/>
      <s:c r="G20" s="29" t="n"/>
      <s:c r="H20" s="30" t="n"/>
    </s:row>
    <s:row r="21">
      <s:c r="C21" s="31" t="inlineStr">
        <s:is>
          <s:t>Primary</s:t>
        </s:is>
      </s:c>
      <s:c r="D21" s="32" t="inlineStr">
        <s:is>
          <s:t>POP — DO revenue / SOM (Rs Cr)</s:t>
        </s:is>
      </s:c>
      <s:c r="E21" s="62">
        <s:f>Assumptions!C22</s:f>
        <s:v>30.0</s:v>
      </s:c>
      <s:c r="F21" s="62">
        <s:f>Assumptions!D22</s:f>
        <s:v>45.0</s:v>
      </s:c>
      <s:c r="G21" s="62">
        <s:f>Assumptions!E22</s:f>
        <s:v>58.0</s:v>
      </s:c>
      <s:c r="H21" s="62">
        <s:f>Assumptions!F22</s:f>
        <s:v>72.0</s:v>
      </s:c>
      <s:c r="I21" s="34" t="inlineStr">
        <s:is>
          <s:t>POP adapters &amp; cables (your target)</s:t>
        </s:is>
      </s:c>
    </s:row>
    <s:row r="22">
      <s:c r="C22" s="31" t="inlineStr">
        <s:is>
          <s:t>Primary</s:t>
        </s:is>
      </s:c>
      <s:c r="D22" s="32" t="inlineStr">
        <s:is>
          <s:t>POP — share of premium online SAM</s:t>
        </s:is>
      </s:c>
      <s:c r="E22" s="40">
        <s:f>Assumptions!C24</s:f>
        <s:v>0.01831653113972212</s:v>
      </s:c>
      <s:c r="F22" s="40">
        <s:f>Assumptions!D24</s:f>
        <s:v>0.02270644356163899</s:v>
      </s:c>
      <s:c r="G22" s="40">
        <s:f>Assumptions!E24</s:f>
        <s:v>0.024431156868502498</s:v>
      </s:c>
      <s:c r="H22" s="40">
        <s:f>Assumptions!F24</s:f>
        <s:v>0.024507743567149843</s:v>
      </s:c>
      <s:c r="I22" s="34" t="inlineStr">
        <s:is>
          <s:t>POP share of its ONLINE serviceable market</s:t>
        </s:is>
      </s:c>
    </s:row>
    <s:row r="23">
      <s:c r="C23" s="31" t="inlineStr">
        <s:is>
          <s:t>Primary</s:t>
        </s:is>
      </s:c>
      <s:c r="D23" s="32" t="inlineStr">
        <s:is>
          <s:t>Loft — DO revenue / SOM (Rs Cr)</s:t>
        </s:is>
      </s:c>
      <s:c r="E23" s="62">
        <s:f>Assumptions!C38</s:f>
        <s:v>10.0</s:v>
      </s:c>
      <s:c r="F23" s="62">
        <s:f>Assumptions!D38</s:f>
        <s:v>22.0</s:v>
      </s:c>
      <s:c r="G23" s="62">
        <s:f>Assumptions!E38</s:f>
        <s:v>38.0</s:v>
      </s:c>
      <s:c r="H23" s="62">
        <s:f>Assumptions!F38</s:f>
        <s:v>55.0</s:v>
      </s:c>
      <s:c r="I23" s="34" t="inlineStr">
        <s:is>
          <s:t>Loft stations (your target — new IP line)</s:t>
        </s:is>
      </s:c>
    </s:row>
    <s:row r="24">
      <s:c r="C24" s="31" t="inlineStr">
        <s:is>
          <s:t>Primary</s:t>
        </s:is>
      </s:c>
      <s:c r="D24" s="32" t="inlineStr">
        <s:is>
          <s:t>Loft — share of premium online SAM</s:t>
        </s:is>
      </s:c>
      <s:c r="E24" s="40">
        <s:f>Assumptions!C40</s:f>
        <s:v>0.013660798450822477</s:v>
      </s:c>
      <s:c r="F24" s="40">
        <s:f>Assumptions!D40</s:f>
        <s:v>0.024721174511688194</s:v>
      </s:c>
      <s:c r="G24" s="40">
        <s:f>Assumptions!E40</s:f>
        <s:v>0.03536932783714343</s:v>
      </s:c>
      <s:c r="H24" s="40">
        <s:f>Assumptions!F40</s:f>
        <s:v>0.04265599851357611</s:v>
      </s:c>
      <s:c r="I24" s="34" t="inlineStr">
        <s:is>
          <s:t>Loft share of its ONLINE serviceable market</s:t>
        </s:is>
      </s:c>
    </s:row>
    <s:row r="25">
      <s:c r="C25" s="31" t="inlineStr">
        <s:is>
          <s:t>Primary</s:t>
        </s:is>
      </s:c>
      <s:c r="D25" s="35" t="inlineStr">
        <s:is>
          <s:t>Adaptors combined revenue (Rs Cr)</s:t>
        </s:is>
      </s:c>
      <s:c r="E25" s="52">
        <s:f>E21+E23</s:f>
        <s:v>40.0</s:v>
      </s:c>
      <s:c r="F25" s="52">
        <s:f>F21+F23</s:f>
        <s:v>67.0</s:v>
      </s:c>
      <s:c r="G25" s="52">
        <s:f>G21+G23</s:f>
        <s:v>96.0</s:v>
      </s:c>
      <s:c r="H25" s="52">
        <s:f>H21+H23</s:f>
        <s:v>127.0</s:v>
      </s:c>
      <s:c r="I25" s="34" t="inlineStr">
        <s:is>
          <s:t>POP + Loft together</s:t>
        </s:is>
      </s:c>
    </s:row>
    <s:row r="27">
      <s:c r="B27" s="28" t="inlineStr">
        <s:is>
          <s:t>4  |  AOV   (primary — MEASURED from your Meta campaigns)</s:t>
        </s:is>
      </s:c>
      <s:c r="C27" s="29" t="n"/>
      <s:c r="D27" s="29" t="n"/>
      <s:c r="E27" s="29" t="n"/>
      <s:c r="F27" s="29" t="n"/>
      <s:c r="G27" s="29" t="n"/>
      <s:c r="H27" s="30" t="n"/>
    </s:row>
    <s:row r="28">
      <s:c r="C28" s="31" t="inlineStr">
        <s:is>
          <s:t>Primary</s:t>
        </s:is>
      </s:c>
      <s:c r="D28" s="32" t="inlineStr">
        <s:is>
          <s:t>POP basket AOV (Rs)</s:t>
        </s:is>
      </s:c>
      <s:c r="E28" s="48" t="inlineStr"/>
      <s:c r="F28" s="62">
        <s:f>Assumptions!D25</s:f>
        <s:v>2399.0</s:v>
      </s:c>
      <s:c r="G28" s="62">
        <s:f>Assumptions!E25</s:f>
        <s:v>2450.0</s:v>
      </s:c>
      <s:c r="H28" s="62">
        <s:f>Assumptions!F25</s:f>
        <s:v>2500.0</s:v>
      </s:c>
      <s:c r="I28" s="34" t="inlineStr">
        <s:is>
          <s:t>Measured: Meta 'pop' campaigns, last 12m (Rs 2,399)</s:t>
        </s:is>
      </s:c>
    </s:row>
    <s:row r="29">
      <s:c r="C29" s="31" t="inlineStr">
        <s:is>
          <s:t>Primary</s:t>
        </s:is>
      </s:c>
      <s:c r="D29" s="32" t="inlineStr">
        <s:is>
          <s:t>Loft basket AOV (Rs)</s:t>
        </s:is>
      </s:c>
      <s:c r="E29" s="48" t="inlineStr"/>
      <s:c r="F29" s="62">
        <s:f>Assumptions!D41</s:f>
        <s:v>3353.0</s:v>
      </s:c>
      <s:c r="G29" s="62">
        <s:f>Assumptions!E41</s:f>
        <s:v>3450.0</s:v>
      </s:c>
      <s:c r="H29" s="62">
        <s:f>Assumptions!F41</s:f>
        <s:v>3550.0</s:v>
      </s:c>
      <s:c r="I29" s="34" t="inlineStr">
        <s:is>
          <s:t>Measured: Meta 'loft' campaigns, last 12m (Rs 3,353)</s:t>
        </s:is>
      </s:c>
    </s:row>
    <s:row r="30">
      <s:c r="C30" s="31" t="inlineStr">
        <s:is>
          <s:t>Primary</s:t>
        </s:is>
      </s:c>
      <s:c r="D30" s="32" t="inlineStr">
        <s:is>
          <s:t>Loft AOV vs POP AOV</s:t>
        </s:is>
      </s:c>
      <s:c r="E30" s="48" t="inlineStr"/>
      <s:c r="F30" s="43">
        <s:f>F29/F28</s:f>
        <s:v>1.397665694039183</s:v>
      </s:c>
      <s:c r="G30" s="43">
        <s:f>G29/G28</s:f>
        <s:v>1.4081632653061225</s:v>
      </s:c>
      <s:c r="H30" s="43">
        <s:f>H29/H28</s:f>
        <s:v>1.42</s:v>
      </s:c>
      <s:c r="I30" s="34" t="inlineStr">
        <s:is>
          <s:t>Loft basket is ~1.4x POP — premium mix, margin &amp; LTV accretive</s:t>
        </s:is>
      </s:c>
    </s:row>
    <s:row r="31">
      <s:c r="C31" s="31" t="inlineStr">
        <s:is>
          <s:t>Primary</s:t>
        </s:is>
      </s:c>
      <s:c r="D31" s="32" t="inlineStr">
        <s:is>
          <s:t>POP implied orders (#)</s:t>
        </s:is>
      </s:c>
      <s:c r="E31" s="48" t="inlineStr"/>
      <s:c r="F31" s="62">
        <s:f>Assumptions!D26</s:f>
        <s:v>187578.15756565233</s:v>
      </s:c>
      <s:c r="G31" s="62">
        <s:f>Assumptions!E26</s:f>
        <s:v>236734.693877551</s:v>
      </s:c>
      <s:c r="H31" s="62">
        <s:f>Assumptions!F26</s:f>
        <s:v>288000.0</s:v>
      </s:c>
      <s:c r="I31" s="34" t="inlineStr">
        <s:is>
          <s:t>POP revenue / AOV</s:t>
        </s:is>
      </s:c>
    </s:row>
    <s:row r="32">
      <s:c r="C32" s="31" t="inlineStr">
        <s:is>
          <s:t>Primary</s:t>
        </s:is>
      </s:c>
      <s:c r="D32" s="32" t="inlineStr">
        <s:is>
          <s:t>Loft implied orders (#)</s:t>
        </s:is>
      </s:c>
      <s:c r="E32" s="48" t="inlineStr"/>
      <s:c r="F32" s="62">
        <s:f>Assumptions!D42</s:f>
        <s:v>65612.88398449149</s:v>
      </s:c>
      <s:c r="G32" s="62">
        <s:f>Assumptions!E42</s:f>
        <s:v>110144.92753623189</s:v>
      </s:c>
      <s:c r="H32" s="62">
        <s:f>Assumptions!F42</s:f>
        <s:v>154929.57746478874</s:v>
      </s:c>
      <s:c r="I32" s="34" t="inlineStr">
        <s:is>
          <s:t>Loft revenue / AOV</s:t>
        </s:is>
      </s:c>
    </s:row>
    <s:row r="34">
      <s:c r="B34" s="28" t="inlineStr">
        <s:is>
          <s:t>5  |  TG   +   6  |  MARKETING</s:t>
        </s:is>
      </s:c>
      <s:c r="C34" s="29" t="n"/>
      <s:c r="D34" s="29" t="n"/>
      <s:c r="E34" s="29" t="n"/>
      <s:c r="F34" s="29" t="n"/>
      <s:c r="G34" s="29" t="n"/>
      <s:c r="H34" s="30" t="n"/>
    </s:row>
    <s:row r="35" ht="30" customHeight="1">
      <s:c r="B35" s="39" t="inlineStr">
        <s:is>
          <s:t>TG profile &amp; TG SIZING (built from your live Meta 'pop' and 'loft' campaigns) are on the 'TG &amp; Audience' tab. The holistic marketing plan is on 'Marketing Strategy'. Competitive context is on 'Competition'.</s:t>
        </s:is>
      </s:c>
      <s:c r="C35" s="29" t="n"/>
      <s:c r="D35" s="29" t="n"/>
      <s:c r="E35" s="29" t="n"/>
      <s:c r="F35" s="29" t="n"/>
      <s:c r="G35" s="29" t="n"/>
      <s:c r="H35" s="30" t="n"/>
    </s:row>
  </s:sheetData>
  <s:mergeCells count="12">
    <s:mergeCell ref="D15:H15"/>
    <s:mergeCell ref="D16:H16"/>
    <s:mergeCell ref="B27:H27"/>
    <s:mergeCell ref="B18:H18"/>
    <s:mergeCell ref="B35:H35"/>
    <s:mergeCell ref="B12:H12"/>
    <s:mergeCell ref="D13:H13"/>
    <s:mergeCell ref="B34:H34"/>
    <s:mergeCell ref="B6:H6"/>
    <s:mergeCell ref="D14:H14"/>
    <s:mergeCell ref="B20:H20"/>
    <s:mergeCell ref="D17:H17"/>
  </s:mergeCells>
  <s:pageMargins left="0.75" right="0.75" top="1" bottom="1" header="0.5" footer="0.5"/>
</s:worksheet>
</file>

<file path=xl/worksheets/sheet4.xml><?xml version="1.0" encoding="utf-8"?>
<s:worksheet xmlns:s="http://schemas.openxmlformats.org/spreadsheetml/2006/main">
  <s:sheetPr>
    <s:outlinePr summaryBelow="1" summaryRight="1"/>
    <s:pageSetUpPr/>
  </s:sheetPr>
  <s:dimension ref="B2:F65"/>
  <s:sheetViews>
    <s:sheetView showGridLines="0" workbookViewId="0">
      <s:selection activeCell="A1" sqref="A1"/>
    </s:sheetView>
  </s:sheetViews>
  <s:sheetFormatPr baseColWidth="8" defaultRowHeight="15"/>
  <s:cols>
    <s:col width="3" customWidth="1" min="1" max="1"/>
    <s:col width="40" customWidth="1" min="2" max="2"/>
    <s:col width="20" customWidth="1" min="3" max="3"/>
    <s:col width="20" customWidth="1" min="4" max="4"/>
    <s:col width="18" customWidth="1" min="5" max="5"/>
    <s:col width="52" customWidth="1" min="6" max="6"/>
  </s:cols>
  <s:sheetData>
    <s:row r="2">
      <s:c r="B2" s="44" t="inlineStr">
        <s:is>
          <s:t>Target Group — Adaptors (POP &amp; Loft)</s:t>
        </s:is>
      </s:c>
    </s:row>
    <s:row r="3">
      <s:c r="B3" s="45" t="inlineStr">
        <s:is>
          <s:t>Built from your LIVE Meta 'pop' &amp; 'loft' campaigns (last 12 months, via Windsor.ai), then sized against the India market. Blue = measured/editable.</s:t>
        </s:is>
      </s:c>
    </s:row>
    <s:row r="5">
      <s:c r="B5" s="46" t="inlineStr">
        <s:is>
          <s:t>A.  PERFORMANCE TODAY — your live Meta campaigns (last 12 months)</s:t>
        </s:is>
      </s:c>
    </s:row>
    <s:row r="6">
      <s:c r="B6" s="13" t="inlineStr">
        <s:is>
          <s:t>Metric</s:t>
        </s:is>
      </s:c>
      <s:c r="C6" s="18" t="inlineStr">
        <s:is>
          <s:t>POP · Adapters &amp; Cables</s:t>
        </s:is>
      </s:c>
      <s:c r="D6" s="18" t="inlineStr">
        <s:is>
          <s:t>Loft · Charging Stations</s:t>
        </s:is>
      </s:c>
      <s:c r="E6" s="47" t="inlineStr"/>
      <s:c r="F6" s="13" t="inlineStr">
        <s:is>
          <s:t>Read</s:t>
        </s:is>
      </s:c>
    </s:row>
    <s:row r="7">
      <s:c r="B7" s="48" t="inlineStr">
        <s:is>
          <s:t>Campaigns analysed (#)</s:t>
        </s:is>
      </s:c>
      <s:c r="C7" s="49" t="n">
        <s:v>13</s:v>
      </s:c>
      <s:c r="D7" s="49" t="n">
        <s:v>5</s:v>
      </s:c>
      <s:c r="E7" s="48" t="inlineStr"/>
      <s:c r="F7" s="34" t="inlineStr">
        <s:is>
          <s:t>All 'pop' / 'loft' campaigns, last 12m</s:t>
        </s:is>
      </s:c>
    </s:row>
    <s:row r="8">
      <s:c r="B8" s="48" t="inlineStr">
        <s:is>
          <s:t>Ad spend (Rs)</s:t>
        </s:is>
      </s:c>
      <s:c r="C8" s="49" t="n">
        <s:v>3663580</s:v>
      </s:c>
      <s:c r="D8" s="49" t="n">
        <s:v>5337202</s:v>
      </s:c>
      <s:c r="E8" s="48" t="inlineStr"/>
      <s:c r="F8" s="34" t="inlineStr">
        <s:is>
          <s:t>Loft outspending POP as DO scales the new line</s:t>
        </s:is>
      </s:c>
    </s:row>
    <s:row r="9">
      <s:c r="B9" s="48" t="inlineStr">
        <s:is>
          <s:t>Orders / purchases (#)</s:t>
        </s:is>
      </s:c>
      <s:c r="C9" s="49" t="n">
        <s:v>9880</s:v>
      </s:c>
      <s:c r="D9" s="49" t="n">
        <s:v>5180</s:v>
      </s:c>
      <s:c r="E9" s="48" t="inlineStr"/>
      <s:c r="F9" s="34" t="inlineStr">
        <s:is>
          <s:t>Meta-attributed omni purchases</s:t>
        </s:is>
      </s:c>
    </s:row>
    <s:row r="10">
      <s:c r="B10" s="48" t="inlineStr">
        <s:is>
          <s:t>Revenue (Rs)</s:t>
        </s:is>
      </s:c>
      <s:c r="C10" s="49" t="n">
        <s:v>23697652</s:v>
      </s:c>
      <s:c r="D10" s="49" t="n">
        <s:v>17366425</s:v>
      </s:c>
      <s:c r="E10" s="48" t="inlineStr"/>
      <s:c r="F10" s="34" t="inlineStr">
        <s:is>
          <s:t>Meta-attributed purchase value</s:t>
        </s:is>
      </s:c>
    </s:row>
    <s:row r="11">
      <s:c r="B11" s="50" t="inlineStr">
        <s:is>
          <s:t>ROAS</s:t>
        </s:is>
      </s:c>
      <s:c r="C11" s="51">
        <s:f>C10/C8</s:f>
        <s:v>6.468441251453497</s:v>
      </s:c>
      <s:c r="D11" s="51">
        <s:f>D10/D8</s:f>
        <s:v>3.253844430096519</s:v>
      </s:c>
      <s:c r="E11" s="48" t="inlineStr"/>
      <s:c r="F11" s="34" t="inlineStr">
        <s:is>
          <s:t>POP highly efficient; Loft still ramping</s:t>
        </s:is>
      </s:c>
    </s:row>
    <s:row r="12">
      <s:c r="B12" s="50" t="inlineStr">
        <s:is>
          <s:t>AOV (Rs)</s:t>
        </s:is>
      </s:c>
      <s:c r="C12" s="52">
        <s:f>C10/C9</s:f>
        <s:v>2398.5477732793524</s:v>
      </s:c>
      <s:c r="D12" s="52">
        <s:f>D10/D9</s:f>
        <s:v>3352.591698841699</s:v>
      </s:c>
      <s:c r="E12" s="48" t="inlineStr"/>
      <s:c r="F12" s="34" t="inlineStr">
        <s:is>
          <s:t>Loft basket ~40% richer — premium mix</s:t>
        </s:is>
      </s:c>
    </s:row>
    <s:row r="13">
      <s:c r="B13" s="50" t="inlineStr">
        <s:is>
          <s:t>Cost / purchase (Rs)</s:t>
        </s:is>
      </s:c>
      <s:c r="C13" s="52">
        <s:f>C8/C9</s:f>
        <s:v>370.8076923076923</s:v>
      </s:c>
      <s:c r="D13" s="52">
        <s:f>D8/D9</s:f>
        <s:v>1030.3478764478764</s:v>
      </s:c>
      <s:c r="E13" s="48" t="inlineStr"/>
      <s:c r="F13" s="34" t="inlineStr">
        <s:is>
          <s:t>Loft ~2.8x costlier to convert (nascent, premium)</s:t>
        </s:is>
      </s:c>
    </s:row>
    <s:row r="14">
      <s:c r="B14" s="48" t="inlineStr">
        <s:is>
          <s:t>Impressions (#)</s:t>
        </s:is>
      </s:c>
      <s:c r="C14" s="49" t="n">
        <s:v>59159896</s:v>
      </s:c>
      <s:c r="D14" s="49" t="n">
        <s:v>40575884</s:v>
      </s:c>
      <s:c r="E14" s="48" t="inlineStr"/>
      <s:c r="F14" s="34" t="inlineStr"/>
    </s:row>
    <s:row r="15">
      <s:c r="B15" s="48" t="inlineStr">
        <s:is>
          <s:t>Reach (#)</s:t>
        </s:is>
      </s:c>
      <s:c r="C15" s="49" t="n">
        <s:v>13159770</s:v>
      </s:c>
      <s:c r="D15" s="49" t="n">
        <s:v>8391604</s:v>
      </s:c>
      <s:c r="E15" s="48" t="inlineStr"/>
      <s:c r="F15" s="34" t="inlineStr"/>
    </s:row>
    <s:row r="16">
      <s:c r="B16" s="48" t="inlineStr">
        <s:is>
          <s:t>Clicks (#)</s:t>
        </s:is>
      </s:c>
      <s:c r="C16" s="49" t="n">
        <s:v>397160</s:v>
      </s:c>
      <s:c r="D16" s="49" t="n">
        <s:v>372990</s:v>
      </s:c>
      <s:c r="E16" s="48" t="inlineStr"/>
      <s:c r="F16" s="34" t="inlineStr"/>
    </s:row>
    <s:row r="17">
      <s:c r="B17" s="48" t="inlineStr">
        <s:is>
          <s:t>CTR</s:t>
        </s:is>
      </s:c>
      <s:c r="C17" s="53">
        <s:f>C16/C14</s:f>
        <s:v>0.006713331612347662</s:v>
      </s:c>
      <s:c r="D17" s="53">
        <s:f>D16/D14</s:f>
        <s:v>0.009192406011413084</s:v>
      </s:c>
      <s:c r="E17" s="48" t="inlineStr"/>
      <s:c r="F17" s="34" t="inlineStr">
        <s:is>
          <s:t>Loft creative pulls stronger clicks</s:t>
        </s:is>
      </s:c>
    </s:row>
    <s:row r="18">
      <s:c r="B18" s="48" t="inlineStr">
        <s:is>
          <s:t>CPM (Rs)</s:t>
        </s:is>
      </s:c>
      <s:c r="C18" s="54">
        <s:f>C8/C14*1000</s:f>
        <s:v>61.92674848515623</s:v>
      </s:c>
      <s:c r="D18" s="54">
        <s:f>D8/D14*1000</s:f>
        <s:v>131.53630861129236</s:v>
      </s:c>
      <s:c r="E18" s="48" t="inlineStr"/>
      <s:c r="F18" s="34" t="inlineStr">
        <s:is>
          <s:t>Loft CPM ~2x — premium/broader prospecting</s:t>
        </s:is>
      </s:c>
    </s:row>
    <s:row r="19">
      <s:c r="B19" s="48" t="inlineStr">
        <s:is>
          <s:t>Add-to-carts (#)</s:t>
        </s:is>
      </s:c>
      <s:c r="C19" s="49" t="n">
        <s:v>59137</s:v>
      </s:c>
      <s:c r="D19" s="49" t="n">
        <s:v>32335</s:v>
      </s:c>
      <s:c r="E19" s="48" t="inlineStr"/>
      <s:c r="F19" s="34" t="inlineStr"/>
    </s:row>
    <s:row r="20">
      <s:c r="B20" s="48" t="inlineStr">
        <s:is>
          <s:t>ATC → purchase rate</s:t>
        </s:is>
      </s:c>
      <s:c r="C20" s="55">
        <s:f>C9/C19</s:f>
        <s:v>0.16706968564519675</s:v>
      </s:c>
      <s:c r="D20" s="55">
        <s:f>D9/D19</s:f>
        <s:v>0.16019792794185866</s:v>
      </s:c>
      <s:c r="E20" s="48" t="inlineStr"/>
      <s:c r="F20" s="34" t="inlineStr">
        <s:is>
          <s:t>POP converts carts better (cheaper, habitual buy)</s:t>
        </s:is>
      </s:c>
    </s:row>
    <s:row r="21" ht="46" customHeight="1">
      <s:c r="B21" s="39" t="inlineStr">
        <s:is>
          <s:t>Snapshot: POP is the high-efficiency workhorse — ~6.5x ROAS, young (≈80% under 35) and male (77%), a habitual, value-led buy. Loft is the premium newcomer — ~3.3x ROAS, higher AOV &amp; CPM, skewing older (35-44 is 21% of Loft orders vs 14% for POP) and a little more female. Loft is prospecting-heavy today; efficiency should rise as the category matures.</s:t>
        </s:is>
      </s:c>
      <s:c r="C21" s="29" t="n"/>
      <s:c r="D21" s="29" t="n"/>
      <s:c r="E21" s="29" t="n"/>
      <s:c r="F21" s="30" t="n"/>
    </s:row>
    <s:row r="23">
      <s:c r="B23" s="46" t="inlineStr">
        <s:is>
          <s:t>B.  WHO BUYS — age &amp; gender (share of orders, Meta last 12m)</s:t>
        </s:is>
      </s:c>
    </s:row>
    <s:row r="24">
      <s:c r="B24" s="13" t="inlineStr">
        <s:is>
          <s:t>Age band</s:t>
        </s:is>
      </s:c>
      <s:c r="C24" s="18" t="inlineStr">
        <s:is>
          <s:t>POP buyers</s:t>
        </s:is>
      </s:c>
      <s:c r="D24" s="18" t="inlineStr">
        <s:is>
          <s:t>Loft buyers</s:t>
        </s:is>
      </s:c>
      <s:c r="E24" s="18" t="inlineStr">
        <s:is>
          <s:t>Market TG mix (est.)</s:t>
        </s:is>
      </s:c>
      <s:c r="F24" s="13" t="inlineStr">
        <s:is>
          <s:t>Read</s:t>
        </s:is>
      </s:c>
    </s:row>
    <s:row r="25">
      <s:c r="B25" s="48" t="inlineStr">
        <s:is>
          <s:t>18-24</s:t>
        </s:is>
      </s:c>
      <s:c r="C25" s="56" t="n">
        <s:v>0.3099</s:v>
      </s:c>
      <s:c r="D25" s="56" t="n">
        <s:v>0.2024</s:v>
      </s:c>
      <s:c r="E25" s="56" t="n">
        <s:v>0.24</s:v>
      </s:c>
      <s:c r="F25" s="34" t="inlineStr">
        <s:is>
          <s:t>POP over-indexes hard on Gen-Z; Loft still young but less so</s:t>
        </s:is>
      </s:c>
    </s:row>
    <s:row r="26">
      <s:c r="B26" s="48" t="inlineStr">
        <s:is>
          <s:t>25-34</s:t>
        </s:is>
      </s:c>
      <s:c r="C26" s="56" t="n">
        <s:v>0.4863</s:v>
      </s:c>
      <s:c r="D26" s="56" t="n">
        <s:v>0.4849</s:v>
      </s:c>
      <s:c r="E26" s="56" t="n">
        <s:v>0.4</s:v>
      </s:c>
      <s:c r="F26" s="34" t="inlineStr">
        <s:is>
          <s:t>Core for both — early-career, high device turnover</s:t>
        </s:is>
      </s:c>
    </s:row>
    <s:row r="27">
      <s:c r="B27" s="48" t="inlineStr">
        <s:is>
          <s:t>35-44</s:t>
        </s:is>
      </s:c>
      <s:c r="C27" s="56" t="n">
        <s:v>0.1393</s:v>
      </s:c>
      <s:c r="D27" s="56" t="n">
        <s:v>0.2146</s:v>
      </s:c>
      <s:c r="E27" s="56" t="n">
        <s:v>0.22</s:v>
      </s:c>
      <s:c r="F27" s="34" t="inlineStr">
        <s:is>
          <s:t>Loft's premium edge: pro buyers, desk/home stations</s:t>
        </s:is>
      </s:c>
    </s:row>
    <s:row r="28">
      <s:c r="B28" s="48" t="inlineStr">
        <s:is>
          <s:t>45-54</s:t>
        </s:is>
      </s:c>
      <s:c r="C28" s="56" t="n">
        <s:v>0.0442</s:v>
      </s:c>
      <s:c r="D28" s="56" t="n">
        <s:v>0.0722</s:v>
      </s:c>
      <s:c r="E28" s="56" t="n">
        <s:v>0.09</s:v>
      </s:c>
      <s:c r="F28" s="34" t="inlineStr">
        <s:is>
          <s:t>Loft reaches deeper into older, higher-income tail</s:t>
        </s:is>
      </s:c>
    </s:row>
    <s:row r="29">
      <s:c r="B29" s="48" t="inlineStr">
        <s:is>
          <s:t>55-64</s:t>
        </s:is>
      </s:c>
      <s:c r="C29" s="56" t="n">
        <s:v>0.0136</s:v>
      </s:c>
      <s:c r="D29" s="56" t="n">
        <s:v>0.0201</s:v>
      </s:c>
      <s:c r="E29" s="56" t="n">
        <s:v>0.03</s:v>
      </s:c>
      <s:c r="F29" s="34" t="inlineStr">
        <s:is>
          <s:t>Minimal</s:t>
        </s:is>
      </s:c>
    </s:row>
    <s:row r="30">
      <s:c r="B30" s="48" t="inlineStr">
        <s:is>
          <s:t>65+</s:t>
        </s:is>
      </s:c>
      <s:c r="C30" s="56" t="n">
        <s:v>0.0068</s:v>
      </s:c>
      <s:c r="D30" s="56" t="n">
        <s:v>0.0058</s:v>
      </s:c>
      <s:c r="E30" s="56" t="n">
        <s:v>0.02</s:v>
      </s:c>
      <s:c r="F30" s="34" t="inlineStr">
        <s:is>
          <s:t>Negligible</s:t>
        </s:is>
      </s:c>
    </s:row>
    <s:row r="31">
      <s:c r="B31" s="50" t="inlineStr">
        <s:is>
          <s:t>Total / check</s:t>
        </s:is>
      </s:c>
      <s:c r="C31" s="57">
        <s:f>SUM(C25:C30)</s:f>
        <s:v>1.0001</s:v>
      </s:c>
      <s:c r="D31" s="57">
        <s:f>SUM(D25:D30)</s:f>
        <s:v>1.0</s:v>
      </s:c>
      <s:c r="E31" s="57">
        <s:f>SUM(E25:E30)</s:f>
        <s:v>1.0</s:v>
      </s:c>
      <s:c r="F31" s="58" t="inlineStr">
        <s:is>
          <s:t>Order shares (measured); market mix is an editable estimate</s:t>
        </s:is>
      </s:c>
    </s:row>
    <s:row r="32">
      <s:c r="B32" s="59" t="inlineStr">
        <s:is>
          <s:t>memo: under-35 share</s:t>
        </s:is>
      </s:c>
      <s:c r="C32" s="55">
        <s:f>C25+C26</s:f>
        <s:v>0.7962</s:v>
      </s:c>
      <s:c r="D32" s="55">
        <s:f>D25+D26</s:f>
        <s:v>0.6873</s:v>
      </s:c>
      <s:c r="E32" s="55">
        <s:f>E25+E26</s:f>
        <s:v>0.64</s:v>
      </s:c>
      <s:c r="F32" s="58" t="inlineStr">
        <s:is>
          <s:t>POP skews younger than Loft; both younger than the market</s:t>
        </s:is>
      </s:c>
    </s:row>
    <s:row r="34">
      <s:c r="B34" s="60" t="inlineStr">
        <s:is>
          <s:t>Gender (share of orders)</s:t>
        </s:is>
      </s:c>
    </s:row>
    <s:row r="35">
      <s:c r="B35" s="13" t="inlineStr">
        <s:is>
          <s:t>Gender</s:t>
        </s:is>
      </s:c>
      <s:c r="C35" s="61" t="inlineStr">
        <s:is>
          <s:t>POP</s:t>
        </s:is>
      </s:c>
      <s:c r="D35" s="61" t="inlineStr">
        <s:is>
          <s:t>Loft</s:t>
        </s:is>
      </s:c>
      <s:c r="E35" s="47" t="inlineStr"/>
      <s:c r="F35" s="13" t="inlineStr">
        <s:is>
          <s:t>Read</s:t>
        </s:is>
      </s:c>
    </s:row>
    <s:row r="36">
      <s:c r="B36" s="48" t="inlineStr">
        <s:is>
          <s:t>Male</s:t>
        </s:is>
      </s:c>
      <s:c r="C36" s="56" t="n">
        <s:v>0.7714</s:v>
      </s:c>
      <s:c r="D36" s="56" t="n">
        <s:v>0.7596000000000001</s:v>
      </s:c>
      <s:c r="E36" s="48" t="inlineStr"/>
      <s:c r="F36" s="34" t="inlineStr">
        <s:is>
          <s:t>Both male-dominated; Loft marginally more balanced</s:t>
        </s:is>
      </s:c>
    </s:row>
    <s:row r="37">
      <s:c r="B37" s="48" t="inlineStr">
        <s:is>
          <s:t>Female</s:t>
        </s:is>
      </s:c>
      <s:c r="C37" s="55">
        <s:f>1-C36</s:f>
        <s:v>0.22860000000000003</s:v>
      </s:c>
      <s:c r="D37" s="55">
        <s:f>1-D36</s:f>
        <s:v>0.24039999999999995</s:v>
      </s:c>
      <s:c r="E37" s="48" t="inlineStr"/>
      <s:c r="F37" s="34" t="inlineStr">
        <s:is>
          <s:t>Women ~23-24% — the funded growth headroom for both</s:t>
        </s:is>
      </s:c>
    </s:row>
    <s:row r="39">
      <s:c r="B39" s="46" t="inlineStr">
        <s:is>
          <s:t>C.  WHERE THEY ARE — top states (share of ad spend, last 12m)</s:t>
        </s:is>
      </s:c>
    </s:row>
    <s:row r="40">
      <s:c r="B40" s="13" t="inlineStr">
        <s:is>
          <s:t>State</s:t>
        </s:is>
      </s:c>
      <s:c r="C40" s="18" t="inlineStr">
        <s:is>
          <s:t>POP spend share</s:t>
        </s:is>
      </s:c>
      <s:c r="D40" s="18" t="inlineStr">
        <s:is>
          <s:t>Loft spend share</s:t>
        </s:is>
      </s:c>
      <s:c r="E40" s="47" t="inlineStr"/>
      <s:c r="F40" s="13" t="inlineStr">
        <s:is>
          <s:t>Read</s:t>
        </s:is>
      </s:c>
    </s:row>
    <s:row r="41">
      <s:c r="B41" s="48" t="inlineStr">
        <s:is>
          <s:t>Maharashtra</s:t>
        </s:is>
      </s:c>
      <s:c r="C41" s="56" t="n">
        <s:v>0.2066</s:v>
      </s:c>
      <s:c r="D41" s="56" t="n">
        <s:v>0.1984</s:v>
      </s:c>
      <s:c r="E41" s="48" t="inlineStr"/>
      <s:c r="F41" s="34" t="inlineStr">
        <s:is>
          <s:t>Metro-led; MH+KA+DL ≈ 43-44% of spend for both</s:t>
        </s:is>
      </s:c>
    </s:row>
    <s:row r="42">
      <s:c r="B42" s="48" t="inlineStr">
        <s:is>
          <s:t>Karnataka</s:t>
        </s:is>
      </s:c>
      <s:c r="C42" s="56" t="n">
        <s:v>0.1434</s:v>
      </s:c>
      <s:c r="D42" s="56" t="n">
        <s:v>0.1299</s:v>
      </s:c>
      <s:c r="E42" s="48" t="inlineStr"/>
      <s:c r="F42" s="34" t="inlineStr"/>
    </s:row>
    <s:row r="43">
      <s:c r="B43" s="48" t="inlineStr">
        <s:is>
          <s:t>Delhi</s:t>
        </s:is>
      </s:c>
      <s:c r="C43" s="56" t="n">
        <s:v>0.089</s:v>
      </s:c>
      <s:c r="D43" s="56" t="n">
        <s:v>0.0893</s:v>
      </s:c>
      <s:c r="E43" s="48" t="inlineStr"/>
      <s:c r="F43" s="34" t="inlineStr"/>
    </s:row>
    <s:row r="44">
      <s:c r="B44" s="48" t="inlineStr">
        <s:is>
          <s:t>Gujarat</s:t>
        </s:is>
      </s:c>
      <s:c r="C44" s="56" t="n">
        <s:v>0.07099999999999999</s:v>
      </s:c>
      <s:c r="D44" s="56" t="n">
        <s:v>0.0672</s:v>
      </s:c>
      <s:c r="E44" s="48" t="inlineStr"/>
      <s:c r="F44" s="34" t="inlineStr"/>
    </s:row>
    <s:row r="45">
      <s:c r="B45" s="48" t="inlineStr">
        <s:is>
          <s:t>Tamil Nadu</s:t>
        </s:is>
      </s:c>
      <s:c r="C45" s="56" t="n">
        <s:v>0.0645</s:v>
      </s:c>
      <s:c r="D45" s="56" t="n">
        <s:v>0.065</s:v>
      </s:c>
      <s:c r="E45" s="48" t="inlineStr"/>
      <s:c r="F45" s="34" t="inlineStr"/>
    </s:row>
    <s:row r="46">
      <s:c r="B46" s="48" t="inlineStr">
        <s:is>
          <s:t>Uttar Pradesh</s:t>
        </s:is>
      </s:c>
      <s:c r="C46" s="56" t="n">
        <s:v>0.0618</s:v>
      </s:c>
      <s:c r="D46" s="56" t="n">
        <s:v>0.0646</s:v>
      </s:c>
      <s:c r="E46" s="48" t="inlineStr"/>
      <s:c r="F46" s="34" t="inlineStr"/>
    </s:row>
    <s:row r="47">
      <s:c r="B47" s="48" t="inlineStr">
        <s:is>
          <s:t>Telangana</s:t>
        </s:is>
      </s:c>
      <s:c r="C47" s="56" t="n">
        <s:v>0.0547</s:v>
      </s:c>
      <s:c r="D47" s="56" t="n">
        <s:v>0.0604</s:v>
      </s:c>
      <s:c r="E47" s="48" t="inlineStr"/>
      <s:c r="F47" s="34" t="inlineStr"/>
    </s:row>
    <s:row r="48">
      <s:c r="B48" s="48" t="inlineStr">
        <s:is>
          <s:t>Haryana</s:t>
        </s:is>
      </s:c>
      <s:c r="C48" s="56" t="n">
        <s:v>0.0502</s:v>
      </s:c>
      <s:c r="D48" s="56" t="n">
        <s:v>0.0615</s:v>
      </s:c>
      <s:c r="E48" s="48" t="inlineStr"/>
      <s:c r="F48" s="34" t="inlineStr"/>
    </s:row>
    <s:row r="49">
      <s:c r="B49" s="50" t="inlineStr">
        <s:is>
          <s:t>Top 8 total</s:t>
        </s:is>
      </s:c>
      <s:c r="C49" s="57">
        <s:f>SUM(C41:C48)</s:f>
        <s:v>0.7412</s:v>
      </s:c>
      <s:c r="D49" s="57">
        <s:f>SUM(D41:D48)</s:f>
        <s:v>0.7363</s:v>
      </s:c>
      <s:c r="E49" s="48" t="inlineStr"/>
      <s:c r="F49" s="58" t="inlineStr">
        <s:is>
          <s:t>Top 8 states ≈ 74% of spend for both lines — a metro/tier-1 game</s:t>
        </s:is>
      </s:c>
    </s:row>
    <s:row r="51">
      <s:c r="B51" s="46" t="inlineStr">
        <s:is>
          <s:t>D.  IS THERE ENOUGH MARKET? — sizing the TG vs our goals</s:t>
        </s:is>
      </s:c>
    </s:row>
    <s:row r="52">
      <s:c r="B52" s="13" t="inlineStr">
        <s:is>
          <s:t>Funnel step</s:t>
        </s:is>
      </s:c>
      <s:c r="C52" s="61" t="inlineStr">
        <s:is>
          <s:t>POP</s:t>
        </s:is>
      </s:c>
      <s:c r="D52" s="61" t="inlineStr">
        <s:is>
          <s:t>Loft</s:t>
        </s:is>
      </s:c>
      <s:c r="E52" s="47" t="inlineStr"/>
      <s:c r="F52" s="13" t="inlineStr">
        <s:is>
          <s:t>How it's derived / source</s:t>
        </s:is>
      </s:c>
    </s:row>
    <s:row r="53">
      <s:c r="B53" s="48" t="inlineStr">
        <s:is>
          <s:t>India smartphone buyers / yr</s:t>
        </s:is>
      </s:c>
      <s:c r="C53" s="49" t="n">
        <s:v>152000000</s:v>
      </s:c>
      <s:c r="D53" s="49" t="n">
        <s:v>152000000</s:v>
      </s:c>
      <s:c r="E53" s="48" t="inlineStr"/>
      <s:c r="F53" s="58" t="inlineStr">
        <s:is>
          <s:t>IDC / Counterpoint: ~152M units shipped in 2025</s:t>
        </s:is>
      </s:c>
    </s:row>
    <s:row r="54">
      <s:c r="B54" s="48" t="inlineStr">
        <s:is>
          <s:t>Relevant-device share</s:t>
        </s:is>
      </s:c>
      <s:c r="C54" s="56" t="n">
        <s:v>0.35</s:v>
      </s:c>
      <s:c r="D54" s="56" t="n">
        <s:v>0.23</s:v>
      </s:c>
      <s:c r="E54" s="48" t="inlineStr"/>
      <s:c r="F54" s="58" t="inlineStr">
        <s:is>
          <s:t>POP: phone that benefits from a premium GaN/PD charger or cable. Loft: premium (&gt;Rs30k)/MagSafe-Qi2 phone (~23%, Counterpoint 2025)</s:t>
        </s:is>
      </s:c>
    </s:row>
    <s:row r="55">
      <s:c r="B55" s="48" t="inlineStr">
        <s:is>
          <s:t>» Relevant device pool / yr</s:t>
        </s:is>
      </s:c>
      <s:c r="C55" s="54">
        <s:f>C53*C54</s:f>
        <s:v>53200000.0</s:v>
      </s:c>
      <s:c r="D55" s="54">
        <s:f>D53*D54</s:f>
        <s:v>34960000.0</s:v>
      </s:c>
      <s:c r="E55" s="48" t="inlineStr"/>
      <s:c r="F55" s="58" t="inlineStr">
        <s:is>
          <s:t>Candidate pool for each line</s:t>
        </s:is>
      </s:c>
    </s:row>
    <s:row r="56">
      <s:c r="B56" s="48" t="inlineStr">
        <s:is>
          <s:t>Buy a PREMIUM item in this range / yr</s:t>
        </s:is>
      </s:c>
      <s:c r="C56" s="56" t="n">
        <s:v>0.12</s:v>
      </s:c>
      <s:c r="D56" s="56" t="n">
        <s:v>0.06</s:v>
      </s:c>
      <s:c r="E56" s="48" t="inlineStr"/>
      <s:c r="F56" s="58" t="inlineStr">
        <s:is>
          <s:t>Share choosing a premium branded item over a bundled/cheap one. POP higher (replaced often); Loft lower (stations still nascent). Editable</s:t>
        </s:is>
      </s:c>
    </s:row>
    <s:row r="57">
      <s:c r="B57" s="48" t="inlineStr">
        <s:is>
          <s:t>» Serviceable audience (buyers / yr)</s:t>
        </s:is>
      </s:c>
      <s:c r="C57" s="54">
        <s:f>C55*C56</s:f>
        <s:v>6384000.0</s:v>
      </s:c>
      <s:c r="D57" s="54">
        <s:f>D55*D56</s:f>
        <s:v>2097600.0</s:v>
      </s:c>
      <s:c r="E57" s="48" t="inlineStr"/>
      <s:c r="F57" s="58" t="inlineStr">
        <s:is>
          <s:t>Realistic on+offline premium audience</s:t>
        </s:is>
      </s:c>
    </s:row>
    <s:row r="58">
      <s:c r="B58" s="48" t="inlineStr">
        <s:is>
          <s:t>Online-reachable share of TG (%)</s:t>
        </s:is>
      </s:c>
      <s:c r="C58" s="56" t="n">
        <s:v>0.5</s:v>
      </s:c>
      <s:c r="D58" s="56" t="n">
        <s:v>0.6</s:v>
      </s:c>
      <s:c r="E58" s="48" t="inlineStr"/>
      <s:c r="F58" s="58" t="inlineStr">
        <s:is>
          <s:t>DO is online-only; premium/design TG over-indexes online (Loft more so). Editable</s:t>
        </s:is>
      </s:c>
    </s:row>
    <s:row r="59">
      <s:c r="B59" s="50" t="inlineStr">
        <s:is>
          <s:t>» ADDRESSABLE ONLINE TG (buyers / yr)</s:t>
        </s:is>
      </s:c>
      <s:c r="C59" s="52">
        <s:f>C57*C58</s:f>
        <s:v>3192000.0</s:v>
      </s:c>
      <s:c r="D59" s="52">
        <s:f>D57*D58</s:f>
        <s:v>1258560.0</s:v>
      </s:c>
      <s:c r="E59" s="48" t="inlineStr"/>
      <s:c r="F59" s="58" t="inlineStr">
        <s:is>
          <s:t>The base DO actually converts against</s:t>
        </s:is>
      </s:c>
    </s:row>
    <s:row r="60">
      <s:c r="B60" s="48" t="inlineStr">
        <s:is>
          <s:t>DO orders needed — FY27</s:t>
        </s:is>
      </s:c>
      <s:c r="C60" s="62">
        <s:f>Assumptions!D26</s:f>
        <s:v>187578.15756565233</s:v>
      </s:c>
      <s:c r="D60" s="62">
        <s:f>Assumptions!D42</s:f>
        <s:v>65612.88398449149</s:v>
      </s:c>
      <s:c r="E60" s="48" t="inlineStr"/>
      <s:c r="F60" s="58" t="inlineStr">
        <s:is>
          <s:t>From Assumptions: FY27 revenue / AOV</s:t>
        </s:is>
      </s:c>
    </s:row>
    <s:row r="61">
      <s:c r="B61" s="50" t="inlineStr">
        <s:is>
          <s:t>PENETRATION OF ONLINE TG — FY27</s:t>
        </s:is>
      </s:c>
      <s:c r="C61" s="63">
        <s:f>C60/C59</s:f>
        <s:v>0.058765086956658</s:v>
      </s:c>
      <s:c r="D61" s="63">
        <s:f>D60/D59</s:f>
        <s:v>0.05213329836042103</s:v>
      </s:c>
      <s:c r="E61" s="48" t="inlineStr"/>
      <s:c r="F61" s="58" t="inlineStr">
        <s:is>
          <s:t>DO FY27 orders / addressable online TG — the real read</s:t>
        </s:is>
      </s:c>
    </s:row>
    <s:row r="62">
      <s:c r="B62" s="48" t="inlineStr">
        <s:is>
          <s:t>Audience growth / yr</s:t>
        </s:is>
      </s:c>
      <s:c r="C62" s="56" t="n">
        <s:v>0.12</s:v>
      </s:c>
      <s:c r="D62" s="56" t="n">
        <s:v>0.15</s:v>
      </s:c>
      <s:c r="E62" s="48" t="inlineStr"/>
      <s:c r="F62" s="58" t="inlineStr">
        <s:is>
          <s:t>Loft's category growing faster (Qi2 adoption)</s:t>
        </s:is>
      </s:c>
    </s:row>
    <s:row r="64">
      <s:c r="B64" s="64" t="inlineStr">
        <s:is>
          <s:t>Verdict — plenty of room; the job differs by line</s:t>
        </s:is>
      </s:c>
    </s:row>
    <s:row r="65" ht="64" customHeight="1">
      <s:c r="B65" s="65" t="inlineStr">
        <s:is>
          <s:t>POP needs only a low single-digit % of a large online charger/cable TG — its job is to WIN SHARE from boAt/Portronics/Anker on design, build and the DO ecosystem, and to lift attach on every device order. Loft addresses a smaller but faster-growing premium-wireless TG — its job is CATEGORY CREATION: convincing premium-phone owners that a Rs 3,000+ Qi2/MagSafe station beats a bundled brick + a cheap pad. Both are metro/tier-1, male-skewed and young; women and 35-44 professionals (especially for Loft) are the funded headroom.</s:t>
        </s:is>
      </s:c>
      <s:c r="C65" s="29" t="n"/>
      <s:c r="D65" s="29" t="n"/>
      <s:c r="E65" s="29" t="n"/>
      <s:c r="F65" s="30" t="n"/>
    </s:row>
  </s:sheetData>
  <s:mergeCells count="7">
    <s:mergeCell ref="B21:F21"/>
    <s:mergeCell ref="B65:F65"/>
    <s:mergeCell ref="B39:F39"/>
    <s:mergeCell ref="B64:F64"/>
    <s:mergeCell ref="B51:F51"/>
    <s:mergeCell ref="B5:F5"/>
    <s:mergeCell ref="B23:F23"/>
  </s:mergeCells>
  <s:pageMargins left="0.75" right="0.75" top="1" bottom="1" header="0.5" footer="0.5"/>
</s:worksheet>
</file>

<file path=xl/worksheets/sheet5.xml><?xml version="1.0" encoding="utf-8"?>
<s:worksheet xmlns:s="http://schemas.openxmlformats.org/spreadsheetml/2006/main">
  <s:sheetPr>
    <s:outlinePr summaryBelow="1" summaryRight="1"/>
    <s:pageSetUpPr/>
  </s:sheetPr>
  <s:dimension ref="B2:G21"/>
  <s:sheetViews>
    <s:sheetView showGridLines="0" workbookViewId="0">
      <s:selection activeCell="A1" sqref="A1"/>
    </s:sheetView>
  </s:sheetViews>
  <s:sheetFormatPr baseColWidth="8" defaultRowHeight="15"/>
  <s:cols>
    <s:col width="3" customWidth="1" min="1" max="1"/>
    <s:col width="20" customWidth="1" min="2" max="2"/>
    <s:col width="18" customWidth="1" min="3" max="3"/>
    <s:col width="22" customWidth="1" min="4" max="4"/>
    <s:col width="17" customWidth="1" min="5" max="5"/>
    <s:col width="42" customWidth="1" min="6" max="6"/>
    <s:col width="42" customWidth="1" min="7" max="7"/>
  </s:cols>
  <s:sheetData>
    <s:row r="2">
      <s:c r="B2" s="66" t="inlineStr">
        <s:is>
          <s:t>Competitive Landscape — India Chargers, Cables &amp; Wireless Stations</s:t>
        </s:is>
      </s:c>
    </s:row>
    <s:row r="3">
      <s:c r="B3" s="67" t="inlineStr">
        <s:is>
          <s:t>Who POP (wired GaN/PD + cables) and Loft (Qi2/MagSafe stations) compete with, their scale, and their strategy.</s:t>
        </s:is>
      </s:c>
    </s:row>
    <s:row r="5">
      <s:c r="B5" s="13" t="inlineStr">
        <s:is>
          <s:t>Competitor</s:t>
        </s:is>
      </s:c>
      <s:c r="C5" s="13" t="inlineStr">
        <s:is>
          <s:t>Type / origin</s:t>
        </s:is>
      </s:c>
      <s:c r="D5" s="13" t="inlineStr">
        <s:is>
          <s:t>Scale (India)</s:t>
        </s:is>
      </s:c>
      <s:c r="E5" s="13" t="inlineStr">
        <s:is>
          <s:t>Price band</s:t>
        </s:is>
      </s:c>
      <s:c r="F5" s="13" t="inlineStr">
        <s:is>
          <s:t>Positioning &amp; strategy</s:t>
        </s:is>
      </s:c>
      <s:c r="G5" s="13" t="inlineStr">
        <s:is>
          <s:t>DO's angle vs them</s:t>
        </s:is>
      </s:c>
    </s:row>
    <s:row r="6" ht="52" customHeight="1">
      <s:c r="B6" s="68" t="inlineStr">
        <s:is>
          <s:t>Anker (incl. MagGo)</s:t>
        </s:is>
      </s:c>
      <s:c r="C6" s="34" t="inlineStr">
        <s:is>
          <s:t>Global (HQ China); Amazon-led</s:t>
        </s:is>
      </s:c>
      <s:c r="D6" s="34" t="inlineStr">
        <s:is>
          <s:t>Global #1 charging brand; premium leader in India online</s:t>
        </s:is>
      </s:c>
      <s:c r="E6" s="34" t="inlineStr">
        <s:is>
          <s:t>Rs1,800-6,000</s:t>
        </s:is>
      </s:c>
      <s:c r="F6" s="34" t="inlineStr">
        <s:is>
          <s:t>The GaN + Qi2 MagSafe benchmark: PowerIQ, GaNPrime, MagGo stands, brand trust, deep reviews, Amazon distribution.</s:t>
        </s:is>
      </s:c>
      <s:c r="G6" s="34" t="inlineStr">
        <s:is>
          <s:t>The one to beat in premium. DO wins on design language, aluminium build, DTC &amp; the Stack/MagSafe ecosystem; Anker owns Amazon search &amp; trust.</s:t>
        </s:is>
      </s:c>
    </s:row>
    <s:row r="7" ht="52" customHeight="1">
      <s:c r="B7" s="68" t="inlineStr">
        <s:is>
          <s:t>UGREEN (Nexode)</s:t>
        </s:is>
      </s:c>
      <s:c r="C7" s="34" t="inlineStr">
        <s:is>
          <s:t>Global (China); value-premium</s:t>
        </s:is>
      </s:c>
      <s:c r="D7" s="34" t="inlineStr">
        <s:is>
          <s:t>Fast-growing online</s:t>
        </s:is>
      </s:c>
      <s:c r="E7" s="34" t="inlineStr">
        <s:is>
          <s:t>Rs1,500-4,500</s:t>
        </s:is>
      </s:c>
      <s:c r="F7" s="34" t="inlineStr">
        <s:is>
          <s:t>Spec-heavy GaN (Nexode) + wireless at aggressive prices; Amazon-led.</s:t>
        </s:is>
      </s:c>
      <s:c r="G7" s="34" t="inlineStr">
        <s:is>
          <s:t>Undercuts DO on price; DO wins on premium design, finish &amp; ecosystem — must not price-fight.</s:t>
        </s:is>
      </s:c>
    </s:row>
    <s:row r="8" ht="52" customHeight="1">
      <s:c r="B8" s="68" t="inlineStr">
        <s:is>
          <s:t>Belkin</s:t>
        </s:is>
      </s:c>
      <s:c r="C8" s="34" t="inlineStr">
        <s:is>
          <s:t>Global (US / Foxconn)</s:t>
        </s:is>
      </s:c>
      <s:c r="D8" s="34" t="inlineStr">
        <s:is>
          <s:t>Premium, Apple-channel</s:t>
        </s:is>
      </s:c>
      <s:c r="E8" s="34" t="inlineStr">
        <s:is>
          <s:t>Rs2,500-8,000</s:t>
        </s:is>
      </s:c>
      <s:c r="F8" s="34" t="inlineStr">
        <s:is>
          <s:t>Premium Qi2 MagSafe + chargers; Apple-store credibility, iPhone-ready, long warranty.</s:t>
        </s:is>
      </s:c>
      <s:c r="G8" s="34" t="inlineStr">
        <s:is>
          <s:t>Premium but less design/ecosystem-led; DO matches on Qi2, wins on design-value &amp; DTC.</s:t>
        </s:is>
      </s:c>
    </s:row>
    <s:row r="9" ht="52" customHeight="1">
      <s:c r="B9" s="68" t="inlineStr">
        <s:is>
          <s:t>Spigen</s:t>
        </s:is>
      </s:c>
      <s:c r="C9" s="34" t="inlineStr">
        <s:is>
          <s:t>Global (Korea)</s:t>
        </s:is>
      </s:c>
      <s:c r="D9" s="34" t="inlineStr">
        <s:is>
          <s:t>Mid-premium online</s:t>
        </s:is>
      </s:c>
      <s:c r="E9" s="34" t="inlineStr">
        <s:is>
          <s:t>Rs1,800-5,000</s:t>
        </s:is>
      </s:c>
      <s:c r="F9" s="34" t="inlineStr">
        <s:is>
          <s:t>ArcStation GaN + MagFit wireless; strong case-buyer cross-sell on Amazon.</s:t>
        </s:is>
      </s:c>
      <s:c r="G9" s="34" t="inlineStr">
        <s:is>
          <s:t>Direct ecosystem rival (cases→charging); DO defends with its own case↔charging Stack cross-sell.</s:t>
        </s:is>
      </s:c>
    </s:row>
    <s:row r="10" ht="52" customHeight="1">
      <s:c r="B10" s="68" t="inlineStr">
        <s:is>
          <s:t>Stuffcool</s:t>
        </s:is>
      </s:c>
      <s:c r="C10" s="34" t="inlineStr">
        <s:is>
          <s:t>India premium D2C</s:t>
        </s:is>
      </s:c>
      <s:c r="D10" s="34" t="inlineStr">
        <s:is>
          <s:t>Mid</s:t>
        </s:is>
      </s:c>
      <s:c r="E10" s="34" t="inlineStr">
        <s:is>
          <s:t>Rs1,500-5,000</s:t>
        </s:is>
      </s:c>
      <s:c r="F10" s="34" t="inlineStr">
        <s:is>
          <s:t>Feature-rich premium Indian GaN + Qi2 wireless: built-in cable, stands, displays.</s:t>
        </s:is>
      </s:c>
      <s:c r="G10" s="34" t="inlineStr">
        <s:is>
          <s:t>Closest premium Indian rival; DO differentiates on design language, brand &amp; ecosystem depth.</s:t>
        </s:is>
      </s:c>
    </s:row>
    <s:row r="11" ht="52" customHeight="1">
      <s:c r="B11" s="68" t="inlineStr">
        <s:is>
          <s:t>boAt</s:t>
        </s:is>
      </s:c>
      <s:c r="C11" s="34" t="inlineStr">
        <s:is>
          <s:t>India mass-mid (lifestyle)</s:t>
        </s:is>
      </s:c>
      <s:c r="D11" s="34" t="inlineStr">
        <s:is>
          <s:t>Very large brand</s:t>
        </s:is>
      </s:c>
      <s:c r="E11" s="34" t="inlineStr">
        <s:is>
          <s:t>Rs499-1,800</s:t>
        </s:is>
      </s:c>
      <s:c r="F11" s="34" t="inlineStr">
        <s:is>
          <s:t>Mass fast chargers &amp; cables + entry wireless; huge distribution, celebrity brand.</s:t>
        </s:is>
      </s:c>
      <s:c r="G11" s="34" t="inlineStr">
        <s:is>
          <s:t>Commoditises the low/mid tier; DO must NOT price-fight — win on premium design &amp; build.</s:t>
        </s:is>
      </s:c>
    </s:row>
    <s:row r="12" ht="52" customHeight="1">
      <s:c r="B12" s="68" t="inlineStr">
        <s:is>
          <s:t>Portronics / Ambrane / URBN</s:t>
        </s:is>
      </s:c>
      <s:c r="C12" s="34" t="inlineStr">
        <s:is>
          <s:t>India value-mass</s:t>
        </s:is>
      </s:c>
      <s:c r="D12" s="34" t="inlineStr">
        <s:is>
          <s:t>High volume</s:t>
        </s:is>
      </s:c>
      <s:c r="E12" s="34" t="inlineStr">
        <s:is>
          <s:t>Rs399-2,000</s:t>
        </s:is>
      </s:c>
      <s:c r="F12" s="34" t="inlineStr">
        <s:is>
          <s:t>Volume chargers, cables &amp; low-price MagSafe wireless; wide availability.</s:t>
        </s:is>
      </s:c>
      <s:c r="G12" s="34" t="inlineStr">
        <s:is>
          <s:t>They own the value shelf; DO plays a tier above on premium GaN + premium stations.</s:t>
        </s:is>
      </s:c>
    </s:row>
    <s:row r="13" ht="52" customHeight="1">
      <s:c r="B13" s="68" t="inlineStr">
        <s:is>
          <s:t>Apple / Samsung (first-party)</s:t>
        </s:is>
      </s:c>
      <s:c r="C13" s="34" t="inlineStr">
        <s:is>
          <s:t>OEM</s:t>
        </s:is>
      </s:c>
      <s:c r="D13" s="34" t="inlineStr">
        <s:is>
          <s:t>Premium bundled/branded</s:t>
        </s:is>
      </s:c>
      <s:c r="E13" s="34" t="inlineStr">
        <s:is>
          <s:t>Rs1,900-8,000</s:t>
        </s:is>
      </s:c>
      <s:c r="F13" s="34" t="inlineStr">
        <s:is>
          <s:t>OEM chargers/cables &amp; MagSafe/wireless as the 'safe default' for their phone owners.</s:t>
        </s:is>
      </s:c>
      <s:c r="G13" s="34" t="inlineStr">
        <s:is>
          <s:t>DO offers better design-value &amp; multi-device stations vs single-brand OEM kit.</s:t>
        </s:is>
      </s:c>
    </s:row>
    <s:row r="15">
      <s:c r="B15" s="69" t="inlineStr">
        <s:is>
          <s:t>Market-size context</s:t>
        </s:is>
      </s:c>
    </s:row>
    <s:row r="16" ht="42" customHeight="1">
      <s:c r="B16" s="70" t="inlineStr">
        <s:is>
          <s:t>•</s:t>
        </s:is>
      </s:c>
      <s:c r="C16" s="71" t="inlineStr">
        <s:is>
          <s:t>India mobile phone accessories market ~USD 3.09B, 2024 (IMARC); mobile/USB charger market ~USD 2.1B, 2024 (Expert Market Research), CAGR ~8-9%. Mass wired dominates volume; the premium/branded tier is where POP plays.</s:t>
        </s:is>
      </s:c>
    </s:row>
    <s:row r="17" ht="42" customHeight="1">
      <s:c r="B17" s="70" t="inlineStr">
        <s:is>
          <s:t>•</s:t>
        </s:is>
      </s:c>
      <s:c r="C17" s="71" t="inlineStr">
        <s:is>
          <s:t>India GaN charger market ~USD 79M (2023) growing ~18-20%/yr (Ken Research) — the fast-growing premium slice POP targets; the 'One Nation, One Charger' USB-C standardisation is a tailwind.</s:t>
        </s:is>
      </s:c>
    </s:row>
    <s:row r="18" ht="42" customHeight="1">
      <s:c r="B18" s="70" t="inlineStr">
        <s:is>
          <s:t>•</s:t>
        </s:is>
      </s:c>
      <s:c r="C18" s="71" t="inlineStr">
        <s:is>
          <s:t>India wireless charging market ~USD 616.9M, 2024 (IMARC), CAGR 11.4% (2025-33) — Loft's category. Multi-device Qi2/MagSafe STATIONS are the premium, still-NASCENT top slice: a land-grab, not a share-steal.</s:t>
        </s:is>
      </s:c>
    </s:row>
    <s:row r="20">
      <s:c r="B20" s="72" t="inlineStr">
        <s:is>
          <s:t>Strategic takeaway — where DO can win</s:t>
        </s:is>
      </s:c>
    </s:row>
    <s:row r="21" ht="76" customHeight="1">
      <s:c r="B21" s="73" t="inlineStr">
        <s:is>
          <s:t>Two different fights. POP is a SHARE fight in a big, established market: beat boAt/Portronics/UGREEN/Anker on premium design, aluminium build, Qi2/GaN credibility and — crucially — attach POP to every phone/case/watchband order via the DO ecosystem. Loft is a CATEGORY-CREATION fight in a nascent premium slice: educate premium-phone owners that a Rs 3,000+ MagSafe/Qi2 station beats a bundled brick + cheap pad, and defend the design/ecosystem high-ground vs Anker MagGo &amp; Belkin. Ecosystem lock-in (case↔charger↔station) is DO's moat vs single-product global brands.</s:t>
        </s:is>
      </s:c>
      <s:c r="C21" s="29" t="n"/>
      <s:c r="D21" s="29" t="n"/>
      <s:c r="E21" s="29" t="n"/>
      <s:c r="F21" s="29" t="n"/>
      <s:c r="G21" s="30" t="n"/>
    </s:row>
  </s:sheetData>
  <s:mergeCells count="6">
    <s:mergeCell ref="B20:G20"/>
    <s:mergeCell ref="C16:G16"/>
    <s:mergeCell ref="B21:G21"/>
    <s:mergeCell ref="C18:G18"/>
    <s:mergeCell ref="B15:G15"/>
    <s:mergeCell ref="C17:G17"/>
  </s:mergeCells>
  <s:pageMargins left="0.75" right="0.75" top="1" bottom="1" header="0.5" footer="0.5"/>
</s:worksheet>
</file>

<file path=xl/worksheets/sheet6.xml><?xml version="1.0" encoding="utf-8"?>
<s:worksheet xmlns:s="http://schemas.openxmlformats.org/spreadsheetml/2006/main">
  <s:sheetPr>
    <s:outlinePr summaryBelow="1" summaryRight="1"/>
    <s:pageSetUpPr/>
  </s:sheetPr>
  <s:dimension ref="B2:F63"/>
  <s:sheetViews>
    <s:sheetView showGridLines="0" workbookViewId="0">
      <s:selection activeCell="A1" sqref="A1"/>
    </s:sheetView>
  </s:sheetViews>
  <s:sheetFormatPr baseColWidth="8" defaultRowHeight="15"/>
  <s:cols>
    <s:col width="3" customWidth="1" min="1" max="1"/>
    <s:col width="16" customWidth="1" min="2" max="2"/>
    <s:col width="26" customWidth="1" min="3" max="3"/>
    <s:col width="40" customWidth="1" min="4" max="4"/>
    <s:col width="34" customWidth="1" min="5" max="5"/>
    <s:col width="28" customWidth="1" min="6" max="6"/>
  </s:cols>
  <s:sheetData>
    <s:row r="2">
      <s:c r="B2" s="74" t="inlineStr">
        <s:is>
          <s:t>Marketing Strategy — Adaptors (POP &amp; Loft)</s:t>
        </s:is>
      </s:c>
    </s:row>
    <s:row r="3">
      <s:c r="B3" s="2" t="inlineStr">
        <s:is>
          <s:t>From the TG outward: who they are → how they behave → what we say → where we reach them → the category plays that compound. Channel choices reflect measured POP (~6.5x) &amp; Loft (~3.3x) ROAS.</s:t>
        </s:is>
      </s:c>
    </s:row>
    <s:row r="5">
      <s:c r="B5" s="69" t="inlineStr">
        <s:is>
          <s:t>1  |  START WITH THE TG — who they are &amp; how they behave</s:t>
        </s:is>
      </s:c>
    </s:row>
    <s:row r="6">
      <s:c r="B6" s="13" t="inlineStr">
        <s:is>
          <s:t>Dimension</s:t>
        </s:is>
      </s:c>
      <s:c r="C6" s="13" t="inlineStr">
        <s:is>
          <s:t>Insight (from your Meta data)</s:t>
        </s:is>
      </s:c>
      <s:c r="D6" s="13" t="inlineStr">
        <s:is>
          <s:t>What it means for marketing</s:t>
        </s:is>
      </s:c>
      <s:c r="E6" s="29" t="n"/>
      <s:c r="F6" s="30" t="n"/>
    </s:row>
    <s:row r="7" ht="44" customHeight="1">
      <s:c r="B7" s="75" t="inlineStr">
        <s:is>
          <s:t>Who</s:t>
        </s:is>
      </s:c>
      <s:c r="C7" s="76" t="inlineStr">
        <s:is>
          <s:t>Both ~77% male, metro (top 8 states ≈74% of spend). POP ≈80% under 35; Loft a bit older (35-44 = 21% of orders).</s:t>
        </s:is>
      </s:c>
      <s:c r="D7" s="76" t="inlineStr">
        <s:is>
          <s:t>Lead young+male+metro; fund women (~23-24%) and, for Loft, 35-44 professionals as growth bets.</s:t>
        </s:is>
      </s:c>
      <s:c r="E7" s="29" t="n"/>
      <s:c r="F7" s="30" t="n"/>
    </s:row>
    <s:row r="8" ht="44" customHeight="1">
      <s:c r="B8" s="75" t="inlineStr">
        <s:is>
          <s:t>How they discover</s:t>
        </s:is>
      </s:c>
      <s:c r="C8" s="76" t="inlineStr">
        <s:is>
          <s:t>Creator/social-led. Your influencer 'pop'/'loft' campaigns drove the bulk of orders; video &amp; carousel work.</s:t>
        </s:is>
      </s:c>
      <s:c r="D8" s="76" t="inlineStr">
        <s:is>
          <s:t>Make tech/lifestyle creators the discovery spine; demo GaN speed &amp; the MagSafe snap-on.</s:t>
        </s:is>
      </s:c>
      <s:c r="E8" s="29" t="n"/>
      <s:c r="F8" s="30" t="n"/>
    </s:row>
    <s:row r="9" ht="44" customHeight="1">
      <s:c r="B9" s="75" t="inlineStr">
        <s:is>
          <s:t>Purchase triggers</s:t>
        </s:is>
      </s:c>
      <s:c r="C9" s="76" t="inlineStr">
        <s:is>
          <s:t>New phone, travel, upgrade to fast/wireless charging, desk-setup upgrade (Loft), gifting.</s:t>
        </s:is>
      </s:c>
      <s:c r="D9" s="76" t="inlineStr">
        <s:is>
          <s:t>Plan around the iPhone launch &amp; travel/festive seasons; attach to device purchases.</s:t>
        </s:is>
      </s:c>
      <s:c r="E9" s="29" t="n"/>
      <s:c r="F9" s="30" t="n"/>
    </s:row>
    <s:row r="10" ht="44" customHeight="1">
      <s:c r="B10" s="75" t="inlineStr">
        <s:is>
          <s:t>Decision drivers</s:t>
        </s:is>
      </s:c>
      <s:c r="C10" s="76" t="inlineStr">
        <s:is>
          <s:t>POP: fast-charge speed, build, cable durability, price-value. Loft: MagSafe/Qi2 convenience, multi-device, design, TRUST/SAFETY.</s:t>
        </s:is>
      </s:c>
      <s:c r="D10" s="76" t="inlineStr">
        <s:is>
          <s:t>Sell speed+build for POP; sell convenience+design+trust for Loft (certification, warranty).</s:t>
        </s:is>
      </s:c>
      <s:c r="E10" s="29" t="n"/>
      <s:c r="F10" s="30" t="n"/>
    </s:row>
    <s:row r="11" ht="44" customHeight="1">
      <s:c r="B11" s="75" t="inlineStr">
        <s:is>
          <s:t>Category state</s:t>
        </s:is>
      </s:c>
      <s:c r="C11" s="76" t="inlineStr">
        <s:is>
          <s:t>POP: established, competitive. Loft: premium wireless stations still NASCENT.</s:t>
        </s:is>
      </s:c>
      <s:c r="D11" s="76" t="inlineStr">
        <s:is>
          <s:t>POP = win share &amp; attach. Loft = create the category and educate on value.</s:t>
        </s:is>
      </s:c>
      <s:c r="E11" s="29" t="n"/>
      <s:c r="F11" s="30" t="n"/>
    </s:row>
    <s:row r="13">
      <s:c r="B13" s="69" t="inlineStr">
        <s:is>
          <s:t>2  |  POSITIONING &amp; MESSAGING — by line &amp; TG segment</s:t>
        </s:is>
      </s:c>
    </s:row>
    <s:row r="14">
      <s:c r="B14" s="13" t="inlineStr">
        <s:is>
          <s:t>Segment</s:t>
        </s:is>
      </s:c>
      <s:c r="C14" s="13" t="inlineStr">
        <s:is>
          <s:t>Line / priority</s:t>
        </s:is>
      </s:c>
      <s:c r="D14" s="13" t="inlineStr">
        <s:is>
          <s:t>Positioning / message</s:t>
        </s:is>
      </s:c>
      <s:c r="E14" s="13" t="inlineStr">
        <s:is>
          <s:t>Hero SKU</s:t>
        </s:is>
      </s:c>
      <s:c r="F14" s="13" t="inlineStr">
        <s:is>
          <s:t>Proof / hook</s:t>
        </s:is>
      </s:c>
    </s:row>
    <s:row r="15" ht="40" customHeight="1">
      <s:c r="B15" s="75" t="inlineStr">
        <s:is>
          <s:t>Core young male (25-34)</s:t>
        </s:is>
      </s:c>
      <s:c r="C15" s="76" t="inlineStr">
        <s:is>
          <s:t>POP · defend &amp; grow</s:t>
        </s:is>
      </s:c>
      <s:c r="D15" s="76" t="inlineStr">
        <s:is>
          <s:t>'Fast, tough, everyday charging' — GaN speed + premium braided build.</s:t>
        </s:is>
      </s:c>
      <s:c r="E15" s="76" t="inlineStr">
        <s:is>
          <s:t>POP GaN + 140W cable</s:t>
        </s:is>
      </s:c>
      <s:c r="F15" s="76" t="inlineStr">
        <s:is>
          <s:t>Speed demo; durability</s:t>
        </s:is>
      </s:c>
    </s:row>
    <s:row r="16" ht="40" customHeight="1">
      <s:c r="B16" s="75" t="inlineStr">
        <s:is>
          <s:t>18-24 students/gaming</s:t>
        </s:is>
      </s:c>
      <s:c r="C16" s="76" t="inlineStr">
        <s:is>
          <s:t>POP · volume &amp; entry</s:t>
        </s:is>
      </s:c>
      <s:c r="D16" s="76" t="inlineStr">
        <s:is>
          <s:t>'Charge fast, never fray' — value premium over a bundled brick.</s:t>
        </s:is>
      </s:c>
      <s:c r="E16" s="76" t="inlineStr">
        <s:is>
          <s:t>POP entry adapter/cable</s:t>
        </s:is>
      </s:c>
      <s:c r="F16" s="76" t="inlineStr">
        <s:is>
          <s:t>Price-value; creator UGC</s:t>
        </s:is>
      </s:c>
    </s:row>
    <s:row r="17" ht="40" customHeight="1">
      <s:c r="B17" s="75" t="inlineStr">
        <s:is>
          <s:t>Premium / iPhone owners</s:t>
        </s:is>
      </s:c>
      <s:c r="C17" s="76" t="inlineStr">
        <s:is>
          <s:t>Loft · premiumise</s:t>
        </s:is>
      </s:c>
      <s:c r="D17" s="76" t="inlineStr">
        <s:is>
          <s:t>'One dock, phone+watch+buds, cable-free' — Qi2/MagSafe design.</s:t>
        </s:is>
      </s:c>
      <s:c r="E17" s="76" t="inlineStr">
        <s:is>
          <s:t>Loft 3-in-1 station</s:t>
        </s:is>
      </s:c>
      <s:c r="F17" s="76" t="inlineStr">
        <s:is>
          <s:t>MagSafe snap; desk aesthetic</s:t>
        </s:is>
      </s:c>
    </s:row>
    <s:row r="18" ht="40" customHeight="1">
      <s:c r="B18" s="75" t="inlineStr">
        <s:is>
          <s:t>35-44 professionals</s:t>
        </s:is>
      </s:c>
      <s:c r="C18" s="76" t="inlineStr">
        <s:is>
          <s:t>Loft · grow</s:t>
        </s:is>
      </s:c>
      <s:c r="D18" s="76" t="inlineStr">
        <s:is>
          <s:t>'The dependable desk &amp; bedside station' — multi-device, safe, elegant.</s:t>
        </s:is>
      </s:c>
      <s:c r="E18" s="76" t="inlineStr">
        <s:is>
          <s:t>Loft foldable/3-in-1</s:t>
        </s:is>
      </s:c>
      <s:c r="F18" s="76" t="inlineStr">
        <s:is>
          <s:t>Capacity, safety, warranty</s:t>
        </s:is>
      </s:c>
    </s:row>
    <s:row r="19" ht="40" customHeight="1">
      <s:c r="B19" s="75" t="inlineStr">
        <s:is>
          <s:t>Women (≈23-24% → grow)</s:t>
        </s:is>
      </s:c>
      <s:c r="C19" s="76" t="inlineStr">
        <s:is>
          <s:t>POP+Loft · funded growth</s:t>
        </s:is>
      </s:c>
      <s:c r="D19" s="76" t="inlineStr">
        <s:is>
          <s:t>Slim cables &amp; compact chargers; bag-friendly; aesthetic colourways.</s:t>
        </s:is>
      </s:c>
      <s:c r="E19" s="76" t="inlineStr">
        <s:is>
          <s:t>POP compact / Loft foldable</s:t>
        </s:is>
      </s:c>
      <s:c r="F19" s="76" t="inlineStr">
        <s:is>
          <s:t>Female creators; EDC framing</s:t>
        </s:is>
      </s:c>
    </s:row>
    <s:row r="20" ht="40" customHeight="1">
      <s:c r="B20" s="75" t="inlineStr">
        <s:is>
          <s:t>Gifting</s:t>
        </s:is>
      </s:c>
      <s:c r="C20" s="76" t="inlineStr">
        <s:is>
          <s:t>Loft · seasonal</s:t>
        </s:is>
      </s:c>
      <s:c r="D20" s="76" t="inlineStr">
        <s:is>
          <s:t>A premium, useful, giftable charging upgrade.</s:t>
        </s:is>
      </s:c>
      <s:c r="E20" s="76" t="inlineStr">
        <s:is>
          <s:t>Loft station / bundle</s:t>
        </s:is>
      </s:c>
      <s:c r="F20" s="76" t="inlineStr">
        <s:is>
          <s:t>Festive + new-phone gifting</s:t>
        </s:is>
      </s:c>
    </s:row>
    <s:row r="22">
      <s:c r="B22" s="69" t="inlineStr">
        <s:is>
          <s:t>3  |  CHANNELS — mapped to behaviour &amp; measured ROAS</s:t>
        </s:is>
      </s:c>
    </s:row>
    <s:row r="23">
      <s:c r="B23" s="13" t="inlineStr">
        <s:is>
          <s:t>Channel</s:t>
        </s:is>
      </s:c>
      <s:c r="C23" s="13" t="inlineStr">
        <s:is>
          <s:t>Role</s:t>
        </s:is>
      </s:c>
      <s:c r="D23" s="13" t="inlineStr">
        <s:is>
          <s:t>Why (behaviour / data)</s:t>
        </s:is>
      </s:c>
      <s:c r="E23" s="13" t="inlineStr">
        <s:is>
          <s:t>Proven signal</s:t>
        </s:is>
      </s:c>
      <s:c r="F23" s="13" t="inlineStr">
        <s:is>
          <s:t>How to use it</s:t>
        </s:is>
      </s:c>
    </s:row>
    <s:row r="24" ht="40" customHeight="1">
      <s:c r="B24" s="75" t="inlineStr">
        <s:is>
          <s:t>Creators / influencers</s:t>
        </s:is>
      </s:c>
      <s:c r="C24" s="76" t="inlineStr">
        <s:is>
          <s:t>PRIMARY engine</s:t>
        </s:is>
      </s:c>
      <s:c r="D24" s="76" t="inlineStr">
        <s:is>
          <s:t>Your 'pop'/'loft' influencer campaigns drove most orders.</s:t>
        </s:is>
      </s:c>
      <s:c r="E24" s="76" t="inlineStr">
        <s:is>
          <s:t>POP ~6.5x, Loft ~3.3x ROAS</s:t>
        </s:is>
      </s:c>
      <s:c r="F24" s="76" t="inlineStr">
        <s:is>
          <s:t>Tech/lifestyle roster; GaN-speed &amp; MagSafe-snap demos; add female creators.</s:t>
        </s:is>
      </s:c>
    </s:row>
    <s:row r="25" ht="40" customHeight="1">
      <s:c r="B25" s="75" t="inlineStr">
        <s:is>
          <s:t>Meta Reels / video</s:t>
        </s:is>
      </s:c>
      <s:c r="C25" s="76" t="inlineStr">
        <s:is>
          <s:t>TOF/MOF scale</s:t>
        </s:is>
      </s:c>
      <s:c r="D25" s="76" t="inlineStr">
        <s:is>
          <s:t>Video &amp; carousel out-performed; Loft CTR strongest.</s:t>
        </s:is>
      </s:c>
      <s:c r="E25" s="76" t="inlineStr">
        <s:is>
          <s:t>Video best</s:t>
        </s:is>
      </s:c>
      <s:c r="F25" s="76" t="inlineStr">
        <s:is>
          <s:t>Run winning creator video as paid; travel &amp; new-phone hooks.</s:t>
        </s:is>
      </s:c>
    </s:row>
    <s:row r="26" ht="40" customHeight="1">
      <s:c r="B26" s="75" t="inlineStr">
        <s:is>
          <s:t>Amazon</s:t>
        </s:is>
      </s:c>
      <s:c r="C26" s="76" t="inlineStr">
        <s:is>
          <s:t>CRITICAL intent + trust</s:t>
        </s:is>
      </s:c>
      <s:c r="D26" s="76" t="inlineStr">
        <s:is>
          <s:t>Charger buyers research &amp; buy on Amazon; Anker's stronghold.</s:t>
        </s:is>
      </s:c>
      <s:c r="E26" s="76" t="inlineStr">
        <s:is>
          <s:t>Anker leads here</s:t>
        </s:is>
      </s:c>
      <s:c r="F26" s="76" t="inlineStr">
        <s:is>
          <s:t>Win 'GaN charger'/'MagSafe stand' queries; build reviews; defend vs Anker/UGREEN.</s:t>
        </s:is>
      </s:c>
    </s:row>
    <s:row r="27" ht="40" customHeight="1">
      <s:c r="B27" s="75" t="inlineStr">
        <s:is>
          <s:t>Google Shopping / PMax + search</s:t>
        </s:is>
      </s:c>
      <s:c r="C27" s="76" t="inlineStr">
        <s:is>
          <s:t>MOF/BOF intent</s:t>
        </s:is>
      </s:c>
      <s:c r="D27" s="76" t="inlineStr">
        <s:is>
          <s:t>Captures 'GaN charger','140W cable','MagSafe stand' search.</s:t>
        </s:is>
      </s:c>
      <s:c r="E27" s="76" t="inlineStr">
        <s:is>
          <s:t>High-intent</s:t>
        </s:is>
      </s:c>
      <s:c r="F27" s="76" t="inlineStr">
        <s:is>
          <s:t>Feed + PLPs; buying-guide content; branded search.</s:t>
        </s:is>
      </s:c>
    </s:row>
    <s:row r="28" ht="40" customHeight="1">
      <s:c r="B28" s="75" t="inlineStr">
        <s:is>
          <s:t>DPA retargeting</s:t>
        </s:is>
      </s:c>
      <s:c r="C28" s="76" t="inlineStr">
        <s:is>
          <s:t>BOF closer</s:t>
        </s:is>
      </s:c>
      <s:c r="D28" s="76" t="inlineStr">
        <s:is>
          <s:t>Warm audiences; proven across DO.</s:t>
        </s:is>
      </s:c>
      <s:c r="E28" s="76" t="inlineStr">
        <s:is>
          <s:t>~4x DO-wide</s:t>
        </s:is>
      </s:c>
      <s:c r="F28" s="76" t="inlineStr">
        <s:is>
          <s:t>Always-on; 'complete your setup' with case + POP/Loft.</s:t>
        </s:is>
      </s:c>
    </s:row>
    <s:row r="29" ht="40" customHeight="1">
      <s:c r="B29" s="75" t="inlineStr">
        <s:is>
          <s:t>Attach / cross-sell (owned)</s:t>
        </s:is>
      </s:c>
      <s:c r="C29" s="76" t="inlineStr">
        <s:is>
          <s:t>GROWTH lever</s:t>
        </s:is>
      </s:c>
      <s:c r="D29" s="76" t="inlineStr">
        <s:is>
          <s:t>52% repeat base; every phone/case/watch order can attach a charger.</s:t>
        </s:is>
      </s:c>
      <s:c r="E29" s="76" t="inlineStr">
        <s:is>
          <s:t>Repeat base</s:t>
        </s:is>
      </s:c>
      <s:c r="F29" s="76" t="inlineStr">
        <s:is>
          <s:t>Case→POP cable, phone→Loft station bundles at checkout &amp; in email/SMS.</s:t>
        </s:is>
      </s:c>
    </s:row>
    <s:row r="30" ht="40" customHeight="1">
      <s:c r="B30" s="75" t="inlineStr">
        <s:is>
          <s:t>Q-commerce (Blinkit)</s:t>
        </s:is>
      </s:c>
      <s:c r="C30" s="76" t="inlineStr">
        <s:is>
          <s:t>Immediacy</s:t>
        </s:is>
      </s:c>
      <s:c r="D30" s="76" t="inlineStr">
        <s:is>
          <s:t>Travel-day / dead-phone emergencies are urgent (POP).</s:t>
        </s:is>
      </s:c>
      <s:c r="E30" s="76" t="inlineStr">
        <s:is>
          <s:t>Impulse/urgency</s:t>
        </s:is>
      </s:c>
      <s:c r="F30" s="76" t="inlineStr">
        <s:is>
          <s:t>Stock POP adapters &amp; cables for instant buys.</s:t>
        </s:is>
      </s:c>
    </s:row>
    <s:row r="31" ht="40" customHeight="1">
      <s:c r="B31" s="75" t="inlineStr">
        <s:is>
          <s:t>Offline (DO + Tier-1/2)</s:t>
        </s:is>
      </s:c>
      <s:c r="C31" s="76" t="inlineStr">
        <s:is>
          <s:t>Trust &amp; try</s:t>
        </s:is>
      </s:c>
      <s:c r="D31" s="76" t="inlineStr">
        <s:is>
          <s:t>Holding a station builds confidence (Loft).</s:t>
        </s:is>
      </s:c>
      <s:c r="E31" s="76" t="inlineStr">
        <s:is>
          <s:t>Omnichannel</s:t>
        </s:is>
      </s:c>
      <s:c r="F31" s="76" t="inlineStr">
        <s:is>
          <s:t>Demo wireless charging; new-phone tie-ins.</s:t>
        </s:is>
      </s:c>
    </s:row>
    <s:row r="33">
      <s:c r="B33" s="69" t="inlineStr">
        <s:is>
          <s:t>4  |  FULL-FUNNEL DESIGN</s:t>
        </s:is>
      </s:c>
    </s:row>
    <s:row r="34">
      <s:c r="B34" s="13" t="inlineStr">
        <s:is>
          <s:t>Stage</s:t>
        </s:is>
      </s:c>
      <s:c r="C34" s="13" t="inlineStr">
        <s:is>
          <s:t>Objective</s:t>
        </s:is>
      </s:c>
      <s:c r="D34" s="13" t="inlineStr">
        <s:is>
          <s:t>Channels &amp; concepts</s:t>
        </s:is>
      </s:c>
      <s:c r="E34" s="13" t="inlineStr">
        <s:is>
          <s:t>Audience</s:t>
        </s:is>
      </s:c>
      <s:c r="F34" s="13" t="inlineStr">
        <s:is>
          <s:t>Primary KPI</s:t>
        </s:is>
      </s:c>
    </s:row>
    <s:row r="35" ht="48" customHeight="1">
      <s:c r="B35" s="75" t="inlineStr">
        <s:is>
          <s:t>TOF</s:t>
        </s:is>
      </s:c>
      <s:c r="C35" s="76" t="inlineStr">
        <s:is>
          <s:t>Reach &amp; (for Loft) create the category</s:t>
        </s:is>
      </s:c>
      <s:c r="D35" s="76" t="inlineStr">
        <s:is>
          <s:t>Creator GaN-speed &amp; MagSafe-snap films, 'ditch the bundled brick', desk-setup content.</s:t>
        </s:is>
      </s:c>
      <s:c r="E35" s="76" t="inlineStr">
        <s:is>
          <s:t>Lookalikes of POP/Loft buyers; iPhone owners; 18-34; expand women &amp; 35-44</s:t>
        </s:is>
      </s:c>
      <s:c r="F35" s="76" t="inlineStr">
        <s:is>
          <s:t>Reach, VVR, CPM, new visitors</s:t>
        </s:is>
      </s:c>
    </s:row>
    <s:row r="36" ht="48" customHeight="1">
      <s:c r="B36" s="75" t="inlineStr">
        <s:is>
          <s:t>MOF</s:t>
        </s:is>
      </s:c>
      <s:c r="C36" s="76" t="inlineStr">
        <s:is>
          <s:t>Educate &amp; compare</s:t>
        </s:is>
      </s:c>
      <s:c r="D36" s="76" t="inlineStr">
        <s:is>
          <s:t>'Which GaN wattage','140W explained','why a Qi2 station', vs Anker/UGREEN compares, UGC.</s:t>
        </s:is>
      </s:c>
      <s:c r="E36" s="76" t="inlineStr">
        <s:is>
          <s:t>TOF engagers, PDP visitors, charger/station search</s:t>
        </s:is>
      </s:c>
      <s:c r="F36" s="76" t="inlineStr">
        <s:is>
          <s:t>CTR, ATC, PDP depth, cost/LPV</s:t>
        </s:is>
      </s:c>
    </s:row>
    <s:row r="37" ht="48" customHeight="1">
      <s:c r="B37" s="75" t="inlineStr">
        <s:is>
          <s:t>BOF</s:t>
        </s:is>
      </s:c>
      <s:c r="C37" s="76" t="inlineStr">
        <s:is>
          <s:t>Convert, attach &amp; cross-sell</s:t>
        </s:is>
      </s:c>
      <s:c r="D37" s="76" t="inlineStr">
        <s:is>
          <s:t>DPA, branded search, Amazon, Q-comm, bundle POP+cable &amp; Loft+case, festive offers.</s:t>
        </s:is>
      </s:c>
      <s:c r="E37" s="76" t="inlineStr">
        <s:is>
          <s:t>Abandoners, 30-day visitors, 52% repeat base</s:t>
        </s:is>
      </s:c>
      <s:c r="F37" s="76" t="inlineStr">
        <s:is>
          <s:t>ROAS, CAC, CVR, AOV, attach rate</s:t>
        </s:is>
      </s:c>
    </s:row>
    <s:row r="39">
      <s:c r="B39" s="69" t="inlineStr">
        <s:is>
          <s:t>5  |  CATEGORY-LED INTERVENTIONS — the plays that compound</s:t>
        </s:is>
      </s:c>
    </s:row>
    <s:row r="40">
      <s:c r="B40" s="13" t="inlineStr">
        <s:is>
          <s:t>Play</s:t>
        </s:is>
      </s:c>
      <s:c r="C40" s="13" t="inlineStr">
        <s:is>
          <s:t>What it is</s:t>
        </s:is>
      </s:c>
      <s:c r="D40" s="13" t="inlineStr">
        <s:is>
          <s:t>Why it wins</s:t>
        </s:is>
      </s:c>
      <s:c r="E40" s="29" t="n"/>
      <s:c r="F40" s="30" t="n"/>
    </s:row>
    <s:row r="41" ht="40" customHeight="1">
      <s:c r="B41" s="75" t="inlineStr">
        <s:is>
          <s:t>Ecosystem attach</s:t>
        </s:is>
      </s:c>
      <s:c r="C41" s="76" t="inlineStr">
        <s:is>
          <s:t>Attach POP cable/adapter &amp; Loft station to every phone/case/watchband order.</s:t>
        </s:is>
      </s:c>
      <s:c r="D41" s="76" t="inlineStr">
        <s:is>
          <s:t>DO's biggest unlock &amp; moat vs global single-product brands — lifts AOV &amp; LTV with near-zero CAC.</s:t>
        </s:is>
      </s:c>
      <s:c r="E41" s="29" t="n"/>
      <s:c r="F41" s="30" t="n"/>
    </s:row>
    <s:row r="42" ht="40" customHeight="1">
      <s:c r="B42" s="75" t="inlineStr">
        <s:is>
          <s:t>Loft category creation</s:t>
        </s:is>
      </s:c>
      <s:c r="C42" s="76" t="inlineStr">
        <s:is>
          <s:t>Educate 'why a Qi2/MagSafe station beats a bundled brick + cheap pad'.</s:t>
        </s:is>
      </s:c>
      <s:c r="D42" s="76" t="inlineStr">
        <s:is>
          <s:t>Loft's segment is nascent; growing it lifts Loft with it — the core job for the premium line.</s:t>
        </s:is>
      </s:c>
      <s:c r="E42" s="29" t="n"/>
      <s:c r="F42" s="30" t="n"/>
    </s:row>
    <s:row r="43" ht="40" customHeight="1">
      <s:c r="B43" s="75" t="inlineStr">
        <s:is>
          <s:t>iPhone-launch pairing</s:t>
        </s:is>
      </s:c>
      <s:c r="C43" s="76" t="inlineStr">
        <s:is>
          <s:t>Position POP (fast charge) &amp; Loft (MagSafe) as the new-iPhone companions; Sept bundles.</s:t>
        </s:is>
      </s:c>
      <s:c r="D43" s="76" t="inlineStr">
        <s:is>
          <s:t>New-phone buyers are primed for charging upgrades — high-intent window.</s:t>
        </s:is>
      </s:c>
      <s:c r="E43" s="29" t="n"/>
      <s:c r="F43" s="30" t="n"/>
    </s:row>
    <s:row r="44" ht="40" customHeight="1">
      <s:c r="B44" s="75" t="inlineStr">
        <s:is>
          <s:t>Defend vs Anker/UGREEN on Amazon</s:t>
        </s:is>
      </s:c>
      <s:c r="C44" s="76" t="inlineStr">
        <s:is>
          <s:t>Reviews, ratings, A+ content, GaN/Qi2-certified &amp; design messaging.</s:t>
        </s:is>
      </s:c>
      <s:c r="D44" s="76" t="inlineStr">
        <s:is>
          <s:t>Amazon is where charger buyers convert &amp; Anker dominates; can't cede it.</s:t>
        </s:is>
      </s:c>
      <s:c r="E44" s="29" t="n"/>
      <s:c r="F44" s="30" t="n"/>
    </s:row>
    <s:row r="45" ht="40" customHeight="1">
      <s:c r="B45" s="75" t="inlineStr">
        <s:is>
          <s:t>Wattage / capacity ladder</s:t>
        </s:is>
      </s:c>
      <s:c r="C45" s="76" t="inlineStr">
        <s:is>
          <s:t>Clear guidance: 33W→65W→100W GaN; single→3-in-1 station.</s:t>
        </s:is>
      </s:c>
      <s:c r="D45" s="76" t="inlineStr">
        <s:is>
          <s:t>Helps buyers self-select; lifts mix toward higher-AOV SKUs.</s:t>
        </s:is>
      </s:c>
      <s:c r="E45" s="29" t="n"/>
      <s:c r="F45" s="30" t="n"/>
    </s:row>
    <s:row r="46" ht="40" customHeight="1">
      <s:c r="B46" s="75" t="inlineStr">
        <s:is>
          <s:t>Trust / safety content</s:t>
        </s:is>
      </s:c>
      <s:c r="C46" s="76" t="inlineStr">
        <s:is>
          <s:t>Surface GaN/Qi2 certification, BIS, warranty, safety testing.</s:t>
        </s:is>
      </s:c>
      <s:c r="D46" s="76" t="inlineStr">
        <s:is>
          <s:t>A charger is safety-sensitive; trust converts — especially for Loft.</s:t>
        </s:is>
      </s:c>
      <s:c r="E46" s="29" t="n"/>
      <s:c r="F46" s="30" t="n"/>
    </s:row>
    <s:row r="47" ht="40" customHeight="1">
      <s:c r="B47" s="75" t="inlineStr">
        <s:is>
          <s:t>Women / everyday-carry</s:t>
        </s:is>
      </s:c>
      <s:c r="C47" s="76" t="inlineStr">
        <s:is>
          <s:t>Slim cables, compact chargers, colours, female creators.</s:t>
        </s:is>
      </s:c>
      <s:c r="D47" s="76" t="inlineStr">
        <s:is>
          <s:t>Women ~23-24% — large untapped headroom on the same SKUs.</s:t>
        </s:is>
      </s:c>
      <s:c r="E47" s="29" t="n"/>
      <s:c r="F47" s="30" t="n"/>
    </s:row>
    <s:row r="49">
      <s:c r="B49" s="69" t="inlineStr">
        <s:is>
          <s:t>6  |  SEASONALITY &amp; CALENDAR</s:t>
        </s:is>
      </s:c>
    </s:row>
    <s:row r="50">
      <s:c r="B50" s="13" t="inlineStr">
        <s:is>
          <s:t>Window</s:t>
        </s:is>
      </s:c>
      <s:c r="C50" s="13" t="inlineStr">
        <s:is>
          <s:t>Moment</s:t>
        </s:is>
      </s:c>
      <s:c r="D50" s="13" t="inlineStr">
        <s:is>
          <s:t>Focus</s:t>
        </s:is>
      </s:c>
      <s:c r="E50" s="13" t="inlineStr">
        <s:is>
          <s:t>Channels emphasis</s:t>
        </s:is>
      </s:c>
      <s:c r="F50" s="30" t="n"/>
    </s:row>
    <s:row r="51" ht="32" customHeight="1">
      <s:c r="B51" s="75" t="inlineStr">
        <s:is>
          <s:t>Apr-Jun</s:t>
        </s:is>
      </s:c>
      <s:c r="C51" s="76" t="inlineStr">
        <s:is>
          <s:t>Summer travel</s:t>
        </s:is>
      </s:c>
      <s:c r="D51" s="76" t="inlineStr">
        <s:is>
          <s:t>POP travel/charging push; capacity &amp; 140W cable</s:t>
        </s:is>
      </s:c>
      <s:c r="E51" s="76" t="inlineStr">
        <s:is>
          <s:t>Creators + Q-comm + Amazon</s:t>
        </s:is>
      </s:c>
      <s:c r="F51" s="30" t="n"/>
    </s:row>
    <s:row r="52" ht="32" customHeight="1">
      <s:c r="B52" s="75" t="inlineStr">
        <s:is>
          <s:t>Aug-Sep</s:t>
        </s:is>
      </s:c>
      <s:c r="C52" s="76" t="inlineStr">
        <s:is>
          <s:t>iPhone launch</s:t>
        </s:is>
      </s:c>
      <s:c r="D52" s="76" t="inlineStr">
        <s:is>
          <s:t>POP fast-charge + Loft MagSafe companion bundles</s:t>
        </s:is>
      </s:c>
      <s:c r="E52" s="76" t="inlineStr">
        <s:is>
          <s:t>Creators, search, owned, Q-comm</s:t>
        </s:is>
      </s:c>
      <s:c r="F52" s="30" t="n"/>
    </s:row>
    <s:row r="53" ht="32" customHeight="1">
      <s:c r="B53" s="75" t="inlineStr">
        <s:is>
          <s:t>Oct-Nov</s:t>
        </s:is>
      </s:c>
      <s:c r="C53" s="76" t="inlineStr">
        <s:is>
          <s:t>Festive</s:t>
        </s:is>
      </s:c>
      <s:c r="D53" s="76" t="inlineStr">
        <s:is>
          <s:t>Gifting + full range + offers (peak volume)</s:t>
        </s:is>
      </s:c>
      <s:c r="E53" s="76" t="inlineStr">
        <s:is>
          <s:t>Full-funnel + Amazon + offline</s:t>
        </s:is>
      </s:c>
      <s:c r="F53" s="30" t="n"/>
    </s:row>
    <s:row r="54" ht="32" customHeight="1">
      <s:c r="B54" s="75" t="inlineStr">
        <s:is>
          <s:t>Dec-Mar</s:t>
        </s:is>
      </s:c>
      <s:c r="C54" s="76" t="inlineStr">
        <s:is>
          <s:t>Sustain &amp; educate</s:t>
        </s:is>
      </s:c>
      <s:c r="D54" s="76" t="inlineStr">
        <s:is>
          <s:t>Loft category education, Android Qi2 push, attach</s:t>
        </s:is>
      </s:c>
      <s:c r="E54" s="76" t="inlineStr">
        <s:is>
          <s:t>Creators + DPA + email/SMS</s:t>
        </s:is>
      </s:c>
      <s:c r="F54" s="30" t="n"/>
    </s:row>
    <s:row r="56">
      <s:c r="B56" s="69" t="inlineStr">
        <s:is>
          <s:t>7  |  NORTH-STAR KPIs &amp; TARGETS</s:t>
        </s:is>
      </s:c>
    </s:row>
    <s:row r="57">
      <s:c r="B57" s="13" t="inlineStr">
        <s:is>
          <s:t>KPI</s:t>
        </s:is>
      </s:c>
      <s:c r="C57" s="13" t="inlineStr">
        <s:is>
          <s:t>Why it matters</s:t>
        </s:is>
      </s:c>
      <s:c r="D57" s="13" t="inlineStr">
        <s:is>
          <s:t>Direction (FY27 → FY29)</s:t>
        </s:is>
      </s:c>
      <s:c r="E57" s="29" t="n"/>
      <s:c r="F57" s="30" t="n"/>
    </s:row>
    <s:row r="58" ht="32" customHeight="1">
      <s:c r="B58" s="75" t="inlineStr">
        <s:is>
          <s:t>Blended ROAS</s:t>
        </s:is>
      </s:c>
      <s:c r="C58" s="76" t="inlineStr">
        <s:is>
          <s:t>Efficiency; POP already strong, Loft scaling</s:t>
        </s:is>
      </s:c>
      <s:c r="D58" s="76" t="inlineStr">
        <s:is>
          <s:t>POP hold ≥5x; Loft rise 3.3x → ≥4.5x</s:t>
        </s:is>
      </s:c>
      <s:c r="E58" s="29" t="n"/>
      <s:c r="F58" s="30" t="n"/>
    </s:row>
    <s:row r="59" ht="32" customHeight="1">
      <s:c r="B59" s="75" t="inlineStr">
        <s:is>
          <s:t>Loft segment growth</s:t>
        </s:is>
      </s:c>
      <s:c r="C59" s="76" t="inlineStr">
        <s:is>
          <s:t>Category creation is the core Loft job</s:t>
        </s:is>
      </s:c>
      <s:c r="D59" s="76" t="inlineStr">
        <s:is>
          <s:t>Grow the premium-wireless-station segment, not just share</s:t>
        </s:is>
      </s:c>
      <s:c r="E59" s="29" t="n"/>
      <s:c r="F59" s="30" t="n"/>
    </s:row>
    <s:row r="60" ht="32" customHeight="1">
      <s:c r="B60" s="75" t="inlineStr">
        <s:is>
          <s:t>Attach rate (charger per device order)</s:t>
        </s:is>
      </s:c>
      <s:c r="C60" s="76" t="inlineStr">
        <s:is>
          <s:t>DO's ecosystem moat &amp; AOV lever</s:t>
        </s:is>
      </s:c>
      <s:c r="D60" s="76" t="inlineStr">
        <s:is>
          <s:t>Rising — attach POP/Loft to phone/case/watch orders</s:t>
        </s:is>
      </s:c>
      <s:c r="E60" s="29" t="n"/>
      <s:c r="F60" s="30" t="n"/>
    </s:row>
    <s:row r="61" ht="32" customHeight="1">
      <s:c r="B61" s="75" t="inlineStr">
        <s:is>
          <s:t>Basket AOV</s:t>
        </s:is>
      </s:c>
      <s:c r="C61" s="76" t="inlineStr">
        <s:is>
          <s:t>Monetisation per order</s:t>
        </s:is>
      </s:c>
      <s:c r="D61" s="76" t="inlineStr">
        <s:is>
          <s:t>POP ~Rs2,400 hold; Loft ~Rs3,350 → Rs3,550</s:t>
        </s:is>
      </s:c>
      <s:c r="E61" s="29" t="n"/>
      <s:c r="F61" s="30" t="n"/>
    </s:row>
    <s:row r="62" ht="32" customHeight="1">
      <s:c r="B62" s="75" t="inlineStr">
        <s:is>
          <s:t>Women % of buyers</s:t>
        </s:is>
      </s:c>
      <s:c r="C62" s="76" t="inlineStr">
        <s:is>
          <s:t>Biggest shared TG headroom</s:t>
        </s:is>
      </s:c>
      <s:c r="D62" s="76" t="inlineStr">
        <s:is>
          <s:t>≈23-24% → 30%+</s:t>
        </s:is>
      </s:c>
      <s:c r="E62" s="29" t="n"/>
      <s:c r="F62" s="30" t="n"/>
    </s:row>
    <s:row r="63" ht="32" customHeight="1">
      <s:c r="B63" s="75" t="inlineStr">
        <s:is>
          <s:t>Amazon rating / share of search</s:t>
        </s:is>
      </s:c>
      <s:c r="C63" s="76" t="inlineStr">
        <s:is>
          <s:t>Where charger buyers convert</s:t>
        </s:is>
      </s:c>
      <s:c r="D63" s="76" t="inlineStr">
        <s:is>
          <s:t>Defend &amp; grow vs Anker / UGREEN</s:t>
        </s:is>
      </s:c>
      <s:c r="E63" s="29" t="n"/>
      <s:c r="F63" s="30" t="n"/>
    </s:row>
  </s:sheetData>
  <s:mergeCells count="34">
    <s:mergeCell ref="E50:F50"/>
    <s:mergeCell ref="D11:F11"/>
    <s:mergeCell ref="D41:F41"/>
    <s:mergeCell ref="D61:F61"/>
    <s:mergeCell ref="B3:F3"/>
    <s:mergeCell ref="E52:F52"/>
    <s:mergeCell ref="B22:F22"/>
    <s:mergeCell ref="D7:F7"/>
    <s:mergeCell ref="D47:F47"/>
    <s:mergeCell ref="B56:F56"/>
    <s:mergeCell ref="D43:F43"/>
    <s:mergeCell ref="E51:F51"/>
    <s:mergeCell ref="B39:F39"/>
    <s:mergeCell ref="D62:F62"/>
    <s:mergeCell ref="D58:F58"/>
    <s:mergeCell ref="D9:F9"/>
    <s:mergeCell ref="D8:F8"/>
    <s:mergeCell ref="B13:F13"/>
    <s:mergeCell ref="D42:F42"/>
    <s:mergeCell ref="D44:F44"/>
    <s:mergeCell ref="D59:F59"/>
    <s:mergeCell ref="D60:F60"/>
    <s:mergeCell ref="D63:F63"/>
    <s:mergeCell ref="D10:F10"/>
    <s:mergeCell ref="B49:F49"/>
    <s:mergeCell ref="E54:F54"/>
    <s:mergeCell ref="B33:F33"/>
    <s:mergeCell ref="D46:F46"/>
    <s:mergeCell ref="B5:F5"/>
    <s:mergeCell ref="D40:F40"/>
    <s:mergeCell ref="E53:F53"/>
    <s:mergeCell ref="D45:F45"/>
    <s:mergeCell ref="D6:F6"/>
    <s:mergeCell ref="D57:F57"/>
  </s:mergeCells>
  <s:pageMargins left="0.75" right="0.75" top="1" bottom="1" header="0.5" footer="0.5"/>
</s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2026-08-06T05:24:09Z</dcterms:created>
  <dcterms:modified xsi:type="dcterms:W3CDTF">2026-08-06T05:24:10Z</dcterms:modified>
</cp:coreProperties>
</file>