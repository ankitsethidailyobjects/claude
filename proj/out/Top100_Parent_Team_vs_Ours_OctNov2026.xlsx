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0 Parent Compa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FFFFFF"/>
      <sz val="9"/>
    </font>
    <font>
      <b val="1"/>
      <color rgb="00FFFFFF"/>
      <sz val="9"/>
    </font>
    <font>
      <sz val="9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top"/>
    </xf>
    <xf numFmtId="0" fontId="4" fillId="4" borderId="1" applyAlignment="1" pivotButton="0" quotePrefix="0" xfId="0">
      <alignment vertical="top"/>
    </xf>
    <xf numFmtId="3" fontId="4" fillId="4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/>
    </xf>
    <xf numFmtId="3" fontId="4" fillId="0" borderId="1" applyAlignment="1" pivotButton="0" quotePrefix="0" xfId="0">
      <alignment horizontal="center" vertical="top"/>
    </xf>
    <xf numFmtId="0" fontId="5" fillId="0" borderId="0" pivotButton="0" quotePrefix="0" xfId="0"/>
    <xf numFmtId="3" fontId="5" fillId="5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4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19" customWidth="1" min="3" max="3"/>
    <col width="9" customWidth="1" min="4" max="4"/>
    <col width="9" customWidth="1" min="5" max="5"/>
    <col width="9" customWidth="1" min="6" max="6"/>
    <col width="8" customWidth="1" min="7" max="7"/>
    <col width="9" customWidth="1" min="8" max="8"/>
    <col width="9" customWidth="1" min="9" max="9"/>
    <col width="8" customWidth="1" min="10" max="10"/>
    <col width="12" customWidth="1" min="11" max="11"/>
    <col width="12" customWidth="1" min="12" max="12"/>
    <col width="72" customWidth="1" min="13" max="13"/>
  </cols>
  <sheetData>
    <row r="1" ht="24" customHeight="1">
      <c r="A1" s="1" t="inlineStr">
        <is>
          <t>Top 100 Parent SKUs — Team Estimate vs Inventory Demand (Oct/Nov 2026), with methodology</t>
        </is>
      </c>
    </row>
    <row r="2" ht="28" customHeight="1">
      <c r="A2" s="2" t="inlineStr">
        <is>
          <t>Units = inventory demand. Our numbers: Jul+Aug'26 run-rate → 2025 seasonal category shift → reconciled to ₹12cr/₹11.5cr. Δ = Ours − Team (green: we plan more; red: we plan less). Team omissions shown where Team = 0.</t>
        </is>
      </c>
    </row>
    <row r="3">
      <c r="A3" s="3" t="inlineStr">
        <is>
          <t>Rank</t>
        </is>
      </c>
      <c r="B3" s="3" t="inlineStr">
        <is>
          <t>Parent</t>
        </is>
      </c>
      <c r="C3" s="3" t="inlineStr">
        <is>
          <t>Category</t>
        </is>
      </c>
      <c r="D3" s="3" t="inlineStr">
        <is>
          <t>Child SKUs (ours)</t>
        </is>
      </c>
      <c r="E3" s="3" t="inlineStr">
        <is>
          <t>Team Oct u</t>
        </is>
      </c>
      <c r="F3" s="3" t="inlineStr">
        <is>
          <t>Our Oct u</t>
        </is>
      </c>
      <c r="G3" s="3" t="inlineStr">
        <is>
          <t>Δ Oct u</t>
        </is>
      </c>
      <c r="H3" s="3" t="inlineStr">
        <is>
          <t>Team Nov u</t>
        </is>
      </c>
      <c r="I3" s="3" t="inlineStr">
        <is>
          <t>Our Nov u</t>
        </is>
      </c>
      <c r="J3" s="3" t="inlineStr">
        <is>
          <t>Δ Nov u</t>
        </is>
      </c>
      <c r="K3" s="3" t="inlineStr">
        <is>
          <t>Team Oct ₹</t>
        </is>
      </c>
      <c r="L3" s="3" t="inlineStr">
        <is>
          <t>Our Oct ₹</t>
        </is>
      </c>
      <c r="M3" s="3" t="inlineStr">
        <is>
          <t>Reasoning / methodology</t>
        </is>
      </c>
    </row>
    <row r="4" ht="30" customHeight="1">
      <c r="A4" s="4" t="n">
        <v>1</v>
      </c>
      <c r="B4" s="5" t="inlineStr">
        <is>
          <t>Loop 10MaH Magsafe</t>
        </is>
      </c>
      <c r="C4" s="5" t="inlineStr">
        <is>
          <t>Accessories</t>
        </is>
      </c>
      <c r="D4" s="6" t="n">
        <v>3</v>
      </c>
      <c r="E4" s="6" t="n">
        <v>2571</v>
      </c>
      <c r="F4" s="6" t="n">
        <v>1129</v>
      </c>
      <c r="G4" s="6" t="n">
        <v>-1442</v>
      </c>
      <c r="H4" s="6" t="n">
        <v>2442</v>
      </c>
      <c r="I4" s="6" t="n">
        <v>1099</v>
      </c>
      <c r="J4" s="6" t="n">
        <v>-1343</v>
      </c>
      <c r="K4" s="6" t="n">
        <v>13355672</v>
      </c>
      <c r="L4" s="6" t="n">
        <v>6584515</v>
      </c>
      <c r="M4" s="7" t="inlineStr">
        <is>
          <t>Base 1475 u/mo (Jul+Aug'26 run-rate); Accessories festive x0.83 Oct / x0.84 Nov. Team OVER-planned: their Oct 2571 u = 1.7x run-rate; we anchor to run-rate (1129 u). Event-led (Sep-HPS 5x base) — held at base, no HPS in Oct/Nov.</t>
        </is>
      </c>
    </row>
    <row r="5" ht="30" customHeight="1">
      <c r="A5" s="8" t="n">
        <v>2</v>
      </c>
      <c r="B5" s="9" t="inlineStr">
        <is>
          <t>Stack Plain</t>
        </is>
      </c>
      <c r="C5" s="9" t="inlineStr">
        <is>
          <t>Cases And Sleeves</t>
        </is>
      </c>
      <c r="D5" s="10" t="n">
        <v>54</v>
      </c>
      <c r="E5" s="10" t="n">
        <v>3093</v>
      </c>
      <c r="F5" s="10" t="n">
        <v>4224</v>
      </c>
      <c r="G5" s="10" t="n">
        <v>1131</v>
      </c>
      <c r="H5" s="10" t="n">
        <v>2938</v>
      </c>
      <c r="I5" s="10" t="n">
        <v>3519</v>
      </c>
      <c r="J5" s="10" t="n">
        <v>581</v>
      </c>
      <c r="K5" s="10" t="n">
        <v>4978082</v>
      </c>
      <c r="L5" s="10" t="n">
        <v>6524636</v>
      </c>
      <c r="M5" s="7" t="inlineStr">
        <is>
          <t>Base 3260 u/mo (Jul+Aug'26 run-rate); Cases And Sleeves festive x1.40 Oct / x1.21 Nov. In line with team (their Oct 3093 vs our 4224 u). Cases ease Oct-&gt;Nov (gifting front-loads to Oct); team used flat -5%.</t>
        </is>
      </c>
    </row>
    <row r="6" ht="30" customHeight="1">
      <c r="A6" s="4" t="n">
        <v>3</v>
      </c>
      <c r="B6" s="5" t="inlineStr">
        <is>
          <t>Daily Duffle</t>
        </is>
      </c>
      <c r="C6" s="5" t="inlineStr">
        <is>
          <t>Bags and Backpacks</t>
        </is>
      </c>
      <c r="D6" s="6" t="n">
        <v>1</v>
      </c>
      <c r="E6" s="6" t="n">
        <v>0</v>
      </c>
      <c r="F6" s="6" t="n">
        <v>2039</v>
      </c>
      <c r="G6" s="6" t="n">
        <v>2039</v>
      </c>
      <c r="H6" s="6" t="n">
        <v>0</v>
      </c>
      <c r="I6" s="6" t="n">
        <v>2223</v>
      </c>
      <c r="J6" s="6" t="n">
        <v>2223</v>
      </c>
      <c r="K6" s="6" t="n">
        <v>0</v>
      </c>
      <c r="L6" s="6" t="n">
        <v>6113313</v>
      </c>
      <c r="M6" s="7" t="inlineStr">
        <is>
          <t>Base 2026 u/mo (Jul+Aug'26 run-rate); Bags and Backpacks festive x1.09 Oct / x1.24 Nov. TEAM OMITTED (planned 0) — we carry 2039 u from live run-rate. Nov&gt;Oct (bags peak in Nov'25); team used flat -5%.</t>
        </is>
      </c>
    </row>
    <row r="7" ht="30" customHeight="1">
      <c r="A7" s="8" t="n">
        <v>4</v>
      </c>
      <c r="B7" s="9" t="inlineStr">
        <is>
          <t>Loop 20MaH</t>
        </is>
      </c>
      <c r="C7" s="9" t="inlineStr">
        <is>
          <t>Accessories</t>
        </is>
      </c>
      <c r="D7" s="10" t="n">
        <v>3</v>
      </c>
      <c r="E7" s="10" t="n">
        <v>831</v>
      </c>
      <c r="F7" s="10" t="n">
        <v>404</v>
      </c>
      <c r="G7" s="10" t="n">
        <v>-427</v>
      </c>
      <c r="H7" s="10" t="n">
        <v>790</v>
      </c>
      <c r="I7" s="10" t="n">
        <v>393</v>
      </c>
      <c r="J7" s="10" t="n">
        <v>-397</v>
      </c>
      <c r="K7" s="10" t="n">
        <v>5868147</v>
      </c>
      <c r="L7" s="10" t="n">
        <v>2824883</v>
      </c>
      <c r="M7" s="7" t="inlineStr">
        <is>
          <t>Base 526 u/mo (Jul+Aug'26 run-rate); Accessories festive x0.83 Oct / x0.84 Nov. Team OVER-planned: their Oct 831 u = 1.6x run-rate; we anchor to run-rate (404 u).</t>
        </is>
      </c>
    </row>
    <row r="8" ht="30" customHeight="1">
      <c r="A8" s="4" t="n">
        <v>5</v>
      </c>
      <c r="B8" s="5" t="inlineStr">
        <is>
          <t>Stride 2.0</t>
        </is>
      </c>
      <c r="C8" s="5" t="inlineStr">
        <is>
          <t>Cases And Sleeves</t>
        </is>
      </c>
      <c r="D8" s="6" t="n">
        <v>1280</v>
      </c>
      <c r="E8" s="6" t="n">
        <v>1747</v>
      </c>
      <c r="F8" s="6" t="n">
        <v>6488</v>
      </c>
      <c r="G8" s="6" t="n">
        <v>4741</v>
      </c>
      <c r="H8" s="6" t="n">
        <v>1660</v>
      </c>
      <c r="I8" s="6" t="n">
        <v>5684</v>
      </c>
      <c r="J8" s="6" t="n">
        <v>4024</v>
      </c>
      <c r="K8" s="6" t="n">
        <v>1569685</v>
      </c>
      <c r="L8" s="6" t="n">
        <v>5034638</v>
      </c>
      <c r="M8" s="7" t="inlineStr">
        <is>
          <t>Base 4600 u/mo (Jul+Aug'26 run-rate); Cases And Sleeves festive x1.40 Oct / x1.21 Nov. Team UNDER-planned: their Oct 1747 u vs our run-rate-based 6488 u. Cases ease Oct-&gt;Nov (gifting front-loads to Oct); team used flat -5%.</t>
        </is>
      </c>
    </row>
    <row r="9" ht="30" customHeight="1">
      <c r="A9" s="8" t="n">
        <v>6</v>
      </c>
      <c r="B9" s="9" t="inlineStr">
        <is>
          <t>Stride 3.0</t>
        </is>
      </c>
      <c r="C9" s="9" t="inlineStr">
        <is>
          <t>Cases And Sleeves</t>
        </is>
      </c>
      <c r="D9" s="10" t="n">
        <v>1886</v>
      </c>
      <c r="E9" s="10" t="n">
        <v>1171</v>
      </c>
      <c r="F9" s="10" t="n">
        <v>6144</v>
      </c>
      <c r="G9" s="10" t="n">
        <v>4973</v>
      </c>
      <c r="H9" s="10" t="n">
        <v>1113</v>
      </c>
      <c r="I9" s="10" t="n">
        <v>5538</v>
      </c>
      <c r="J9" s="10" t="n">
        <v>4425</v>
      </c>
      <c r="K9" s="10" t="n">
        <v>1067165</v>
      </c>
      <c r="L9" s="10" t="n">
        <v>4853886</v>
      </c>
      <c r="M9" s="7" t="inlineStr">
        <is>
          <t>Base 4150 u/mo (Jul+Aug'26 run-rate); Cases And Sleeves festive x1.40 Oct / x1.21 Nov. Team UNDER-planned: their Oct 1171 u vs our run-rate-based 6144 u. Cases ease Oct-&gt;Nov (gifting front-loads to Oct); team used flat -5%.</t>
        </is>
      </c>
    </row>
    <row r="10" ht="30" customHeight="1">
      <c r="A10" s="4" t="n">
        <v>7</v>
      </c>
      <c r="B10" s="5" t="inlineStr">
        <is>
          <t>Foldaway 3-in-1</t>
        </is>
      </c>
      <c r="C10" s="5" t="inlineStr">
        <is>
          <t>Accessories</t>
        </is>
      </c>
      <c r="D10" s="6" t="n">
        <v>2</v>
      </c>
      <c r="E10" s="6" t="n">
        <v>664</v>
      </c>
      <c r="F10" s="6" t="n">
        <v>117</v>
      </c>
      <c r="G10" s="6" t="n">
        <v>-547</v>
      </c>
      <c r="H10" s="6" t="n">
        <v>630</v>
      </c>
      <c r="I10" s="6" t="n">
        <v>114</v>
      </c>
      <c r="J10" s="6" t="n">
        <v>-516</v>
      </c>
      <c r="K10" s="6" t="n">
        <v>4560343</v>
      </c>
      <c r="L10" s="6" t="n">
        <v>830668</v>
      </c>
      <c r="M10" s="7" t="inlineStr">
        <is>
          <t>Base 152 u/mo (Jul+Aug'26 run-rate); Accessories festive x0.83 Oct / x0.84 Nov. Team OVER-planned: their Oct 664 u = 4.4x run-rate; we anchor to run-rate (117 u).</t>
        </is>
      </c>
    </row>
    <row r="11" ht="30" customHeight="1">
      <c r="A11" s="8" t="n">
        <v>8</v>
      </c>
      <c r="B11" s="9" t="inlineStr">
        <is>
          <t>Stack Signature</t>
        </is>
      </c>
      <c r="C11" s="9" t="inlineStr">
        <is>
          <t>Cases And Sleeves</t>
        </is>
      </c>
      <c r="D11" s="10" t="n">
        <v>54</v>
      </c>
      <c r="E11" s="10" t="n">
        <v>2147</v>
      </c>
      <c r="F11" s="10" t="n">
        <v>2763</v>
      </c>
      <c r="G11" s="10" t="n">
        <v>616</v>
      </c>
      <c r="H11" s="10" t="n">
        <v>2040</v>
      </c>
      <c r="I11" s="10" t="n">
        <v>2300</v>
      </c>
      <c r="J11" s="10" t="n">
        <v>260</v>
      </c>
      <c r="K11" s="10" t="n">
        <v>3848902</v>
      </c>
      <c r="L11" s="10" t="n">
        <v>4536610</v>
      </c>
      <c r="M11" s="7" t="inlineStr">
        <is>
          <t>Base 2121 u/mo (Jul+Aug'26 run-rate); Cases And Sleeves festive x1.40 Oct / x1.21 Nov. In line with team (their Oct 2147 vs our 2763 u). Cases ease Oct-&gt;Nov (gifting front-loads to Oct); team used flat -5%.</t>
        </is>
      </c>
    </row>
    <row r="12" ht="30" customHeight="1">
      <c r="A12" s="4" t="n">
        <v>9</v>
      </c>
      <c r="B12" s="5" t="inlineStr">
        <is>
          <t>LOFT Charging Station</t>
        </is>
      </c>
      <c r="C12" s="5" t="inlineStr">
        <is>
          <t>Accessories</t>
        </is>
      </c>
      <c r="D12" s="6" t="n">
        <v>4</v>
      </c>
      <c r="E12" s="6" t="n">
        <v>903</v>
      </c>
      <c r="F12" s="6" t="n">
        <v>236</v>
      </c>
      <c r="G12" s="6" t="n">
        <v>-667</v>
      </c>
      <c r="H12" s="6" t="n">
        <v>857</v>
      </c>
      <c r="I12" s="6" t="n">
        <v>229</v>
      </c>
      <c r="J12" s="6" t="n">
        <v>-628</v>
      </c>
      <c r="K12" s="6" t="n">
        <v>4387770</v>
      </c>
      <c r="L12" s="6" t="n">
        <v>1171473</v>
      </c>
      <c r="M12" s="7" t="inlineStr">
        <is>
          <t>Base 306 u/mo (Jul+Aug'26 run-rate); Accessories festive x0.83 Oct / x0.84 Nov. Team OVER-planned: their Oct 903 u = 2.9x run-rate; we anchor to run-rate (236 u).</t>
        </is>
      </c>
    </row>
    <row r="13" ht="30" customHeight="1">
      <c r="A13" s="8" t="n">
        <v>10</v>
      </c>
      <c r="B13" s="9" t="inlineStr">
        <is>
          <t>Node Charger</t>
        </is>
      </c>
      <c r="C13" s="9" t="inlineStr">
        <is>
          <t>Accessories</t>
        </is>
      </c>
      <c r="D13" s="10" t="n">
        <v>9</v>
      </c>
      <c r="E13" s="10" t="n">
        <v>0</v>
      </c>
      <c r="F13" s="10" t="n">
        <v>280</v>
      </c>
      <c r="G13" s="10" t="n">
        <v>280</v>
      </c>
      <c r="H13" s="10" t="n">
        <v>0</v>
      </c>
      <c r="I13" s="10" t="n">
        <v>273</v>
      </c>
      <c r="J13" s="10" t="n">
        <v>273</v>
      </c>
      <c r="K13" s="10" t="n">
        <v>0</v>
      </c>
      <c r="L13" s="10" t="n">
        <v>4205682</v>
      </c>
      <c r="M13" s="7" t="inlineStr">
        <is>
          <t>Base 360 u/mo (Jul+Aug'26 run-rate); Accessories festive x0.83 Oct / x0.84 Nov. TEAM OMITTED (planned 0) — we carry 280 u from live run-rate.</t>
        </is>
      </c>
    </row>
    <row r="14" ht="30" customHeight="1">
      <c r="A14" s="4" t="n">
        <v>11</v>
      </c>
      <c r="B14" s="5" t="inlineStr">
        <is>
          <t>Park Tech Kit</t>
        </is>
      </c>
      <c r="C14" s="5" t="inlineStr">
        <is>
          <t>Home Office</t>
        </is>
      </c>
      <c r="D14" s="6" t="n">
        <v>4</v>
      </c>
      <c r="E14" s="6" t="n">
        <v>1100</v>
      </c>
      <c r="F14" s="6" t="n">
        <v>516</v>
      </c>
      <c r="G14" s="6" t="n">
        <v>-584</v>
      </c>
      <c r="H14" s="6" t="n">
        <v>1045</v>
      </c>
      <c r="I14" s="6" t="n">
        <v>557</v>
      </c>
      <c r="J14" s="6" t="n">
        <v>-488</v>
      </c>
      <c r="K14" s="6" t="n">
        <v>3775603</v>
      </c>
      <c r="L14" s="6" t="n">
        <v>1542802</v>
      </c>
      <c r="M14" s="7" t="inlineStr">
        <is>
          <t>Base 588 u/mo (Jul+Aug'26 run-rate); Home Office festive x0.95 Oct / x1.07 Nov. Team OVER-planned: their Oct 1100 u = 1.9x run-rate; we anchor to run-rate (516 u).</t>
        </is>
      </c>
    </row>
    <row r="15" ht="30" customHeight="1">
      <c r="A15" s="8" t="n">
        <v>12</v>
      </c>
      <c r="B15" s="9" t="inlineStr">
        <is>
          <t>Leatherite</t>
        </is>
      </c>
      <c r="C15" s="9" t="inlineStr">
        <is>
          <t>Cases And Sleeves</t>
        </is>
      </c>
      <c r="D15" s="10" t="n">
        <v>42</v>
      </c>
      <c r="E15" s="10" t="n">
        <v>0</v>
      </c>
      <c r="F15" s="10" t="n">
        <v>2279</v>
      </c>
      <c r="G15" s="10" t="n">
        <v>2279</v>
      </c>
      <c r="H15" s="10" t="n">
        <v>0</v>
      </c>
      <c r="I15" s="10" t="n">
        <v>1898</v>
      </c>
      <c r="J15" s="10" t="n">
        <v>1898</v>
      </c>
      <c r="K15" s="10" t="n">
        <v>0</v>
      </c>
      <c r="L15" s="10" t="n">
        <v>3766091</v>
      </c>
      <c r="M15" s="7" t="inlineStr">
        <is>
          <t>Base 1750 u/mo (Jul+Aug'26 run-rate); Cases And Sleeves festive x1.40 Oct / x1.21 Nov. TEAM OMITTED (planned 0) — we carry 2279 u from live run-rate. Cases ease Oct-&gt;Nov (gifting front-loads to Oct); team used flat -5%.</t>
        </is>
      </c>
    </row>
    <row r="16" ht="30" customHeight="1">
      <c r="A16" s="4" t="n">
        <v>13</v>
      </c>
      <c r="B16" s="5" t="inlineStr">
        <is>
          <t>Pedal Daypack</t>
        </is>
      </c>
      <c r="C16" s="5" t="inlineStr">
        <is>
          <t>Bags and Backpacks</t>
        </is>
      </c>
      <c r="D16" s="6" t="n">
        <v>9</v>
      </c>
      <c r="E16" s="6" t="n">
        <v>2127</v>
      </c>
      <c r="F16" s="6" t="n">
        <v>2488</v>
      </c>
      <c r="G16" s="6" t="n">
        <v>361</v>
      </c>
      <c r="H16" s="6" t="n">
        <v>2021</v>
      </c>
      <c r="I16" s="6" t="n">
        <v>2714</v>
      </c>
      <c r="J16" s="6" t="n">
        <v>693</v>
      </c>
      <c r="K16" s="6" t="n">
        <v>2748121</v>
      </c>
      <c r="L16" s="6" t="n">
        <v>3551221</v>
      </c>
      <c r="M16" s="7" t="inlineStr">
        <is>
          <t>Base 2468 u/mo (Jul+Aug'26 run-rate); Bags and Backpacks festive x1.09 Oct / x1.24 Nov. In line with team (their Oct 2127 vs our 2488 u). Nov&gt;Oct (bags peak in Nov'25); team used flat -5%.</t>
        </is>
      </c>
    </row>
    <row r="17" ht="30" customHeight="1">
      <c r="A17" s="8" t="n">
        <v>14</v>
      </c>
      <c r="B17" s="9" t="inlineStr">
        <is>
          <t>Loop 10MaH Universal</t>
        </is>
      </c>
      <c r="C17" s="9" t="inlineStr">
        <is>
          <t>Accessories</t>
        </is>
      </c>
      <c r="D17" s="10" t="n">
        <v>3</v>
      </c>
      <c r="E17" s="10" t="n">
        <v>969</v>
      </c>
      <c r="F17" s="10" t="n">
        <v>414</v>
      </c>
      <c r="G17" s="10" t="n">
        <v>-555</v>
      </c>
      <c r="H17" s="10" t="n">
        <v>921</v>
      </c>
      <c r="I17" s="10" t="n">
        <v>402</v>
      </c>
      <c r="J17" s="10" t="n">
        <v>-519</v>
      </c>
      <c r="K17" s="10" t="n">
        <v>3380823</v>
      </c>
      <c r="L17" s="10" t="n">
        <v>1235901</v>
      </c>
      <c r="M17" s="7" t="inlineStr">
        <is>
          <t>Base 539 u/mo (Jul+Aug'26 run-rate); Accessories festive x0.83 Oct / x0.84 Nov. Team OVER-planned: their Oct 969 u = 1.8x run-rate; we anchor to run-rate (414 u).</t>
        </is>
      </c>
    </row>
    <row r="18" ht="30" customHeight="1">
      <c r="A18" s="4" t="n">
        <v>15</v>
      </c>
      <c r="B18" s="5" t="inlineStr">
        <is>
          <t>Vault Tech kit</t>
        </is>
      </c>
      <c r="C18" s="5" t="inlineStr">
        <is>
          <t>Home Office</t>
        </is>
      </c>
      <c r="D18" s="6" t="n">
        <v>8</v>
      </c>
      <c r="E18" s="6" t="n">
        <v>1810</v>
      </c>
      <c r="F18" s="6" t="n">
        <v>1136</v>
      </c>
      <c r="G18" s="6" t="n">
        <v>-674</v>
      </c>
      <c r="H18" s="6" t="n">
        <v>1719</v>
      </c>
      <c r="I18" s="6" t="n">
        <v>1224</v>
      </c>
      <c r="J18" s="6" t="n">
        <v>-495</v>
      </c>
      <c r="K18" s="6" t="n">
        <v>3116683</v>
      </c>
      <c r="L18" s="6" t="n">
        <v>2100623</v>
      </c>
      <c r="M18" s="7" t="inlineStr">
        <is>
          <t>Base 1294 u/mo (Jul+Aug'26 run-rate); Home Office festive x0.95 Oct / x1.07 Nov. In line with team (their Oct 1810 vs our 1136 u). Event-led (Sep-HPS 3x base) — held at base, no HPS in Oct/Nov.</t>
        </is>
      </c>
    </row>
    <row r="19" ht="30" customHeight="1">
      <c r="A19" s="8" t="n">
        <v>16</v>
      </c>
      <c r="B19" s="9" t="inlineStr">
        <is>
          <t>Loop 5MaH</t>
        </is>
      </c>
      <c r="C19" s="9" t="inlineStr">
        <is>
          <t>Accessories</t>
        </is>
      </c>
      <c r="D19" s="10" t="n">
        <v>3</v>
      </c>
      <c r="E19" s="10" t="n">
        <v>728</v>
      </c>
      <c r="F19" s="10" t="n">
        <v>556</v>
      </c>
      <c r="G19" s="10" t="n">
        <v>-172</v>
      </c>
      <c r="H19" s="10" t="n">
        <v>691</v>
      </c>
      <c r="I19" s="10" t="n">
        <v>540</v>
      </c>
      <c r="J19" s="10" t="n">
        <v>-151</v>
      </c>
      <c r="K19" s="10" t="n">
        <v>2713443</v>
      </c>
      <c r="L19" s="10" t="n">
        <v>2166626</v>
      </c>
      <c r="M19" s="7" t="inlineStr">
        <is>
          <t>Base 724 u/mo (Jul+Aug'26 run-rate); Accessories festive x0.83 Oct / x0.84 Nov. In line with team (their Oct 728 vs our 556 u).</t>
        </is>
      </c>
    </row>
    <row r="20" ht="30" customHeight="1">
      <c r="A20" s="4" t="n">
        <v>17</v>
      </c>
      <c r="B20" s="5" t="inlineStr">
        <is>
          <t>Stria Laptop Sleeve</t>
        </is>
      </c>
      <c r="C20" s="5" t="inlineStr">
        <is>
          <t>Cases And Sleeves</t>
        </is>
      </c>
      <c r="D20" s="6" t="n">
        <v>14</v>
      </c>
      <c r="E20" s="6" t="n">
        <v>1323</v>
      </c>
      <c r="F20" s="6" t="n">
        <v>1681</v>
      </c>
      <c r="G20" s="6" t="n">
        <v>358</v>
      </c>
      <c r="H20" s="6" t="n">
        <v>1256</v>
      </c>
      <c r="I20" s="6" t="n">
        <v>1400</v>
      </c>
      <c r="J20" s="6" t="n">
        <v>144</v>
      </c>
      <c r="K20" s="6" t="n">
        <v>1943748</v>
      </c>
      <c r="L20" s="6" t="n">
        <v>2536193</v>
      </c>
      <c r="M20" s="7" t="inlineStr">
        <is>
          <t>Base 1300 u/mo (Jul+Aug'26 run-rate); Cases And Sleeves festive x1.40 Oct / x1.21 Nov. In line with team (their Oct 1323 vs our 1681 u). Cases ease Oct-&gt;Nov (gifting front-loads to Oct); team used flat -5%.</t>
        </is>
      </c>
    </row>
    <row r="21" ht="30" customHeight="1">
      <c r="A21" s="8" t="n">
        <v>18</v>
      </c>
      <c r="B21" s="9" t="inlineStr">
        <is>
          <t>Commute Messenger</t>
        </is>
      </c>
      <c r="C21" s="9" t="inlineStr">
        <is>
          <t>Bags and Backpacks</t>
        </is>
      </c>
      <c r="D21" s="10" t="n">
        <v>16</v>
      </c>
      <c r="E21" s="10" t="n">
        <v>699</v>
      </c>
      <c r="F21" s="10" t="n">
        <v>546</v>
      </c>
      <c r="G21" s="10" t="n">
        <v>-153</v>
      </c>
      <c r="H21" s="10" t="n">
        <v>664</v>
      </c>
      <c r="I21" s="10" t="n">
        <v>595</v>
      </c>
      <c r="J21" s="10" t="n">
        <v>-69</v>
      </c>
      <c r="K21" s="10" t="n">
        <v>2248183</v>
      </c>
      <c r="L21" s="10" t="n">
        <v>1815429</v>
      </c>
      <c r="M21" s="7" t="inlineStr">
        <is>
          <t>Base 534 u/mo (Jul+Aug'26 run-rate); Bags and Backpacks festive x1.09 Oct / x1.24 Nov. In line with team (their Oct 699 vs our 546 u). Nov&gt;Oct (bags peak in Nov'25); team used flat -5%.</t>
        </is>
      </c>
    </row>
    <row r="22" ht="30" customHeight="1">
      <c r="A22" s="4" t="n">
        <v>19</v>
      </c>
      <c r="B22" s="5" t="inlineStr">
        <is>
          <t>Leatherite Airpods</t>
        </is>
      </c>
      <c r="C22" s="5" t="inlineStr">
        <is>
          <t>Cases And Sleeves</t>
        </is>
      </c>
      <c r="D22" s="6" t="n">
        <v>18</v>
      </c>
      <c r="E22" s="6" t="n">
        <v>1539</v>
      </c>
      <c r="F22" s="6" t="n">
        <v>673</v>
      </c>
      <c r="G22" s="6" t="n">
        <v>-866</v>
      </c>
      <c r="H22" s="6" t="n">
        <v>1462</v>
      </c>
      <c r="I22" s="6" t="n">
        <v>562</v>
      </c>
      <c r="J22" s="6" t="n">
        <v>-900</v>
      </c>
      <c r="K22" s="6" t="n">
        <v>2234026</v>
      </c>
      <c r="L22" s="6" t="n">
        <v>950313</v>
      </c>
      <c r="M22" s="7" t="inlineStr">
        <is>
          <t>Base 514 u/mo (Jul+Aug'26 run-rate); Cases And Sleeves festive x1.40 Oct / x1.21 Nov. Team OVER-planned: their Oct 1539 u = 3.0x run-rate; we anchor to run-rate (673 u). Cases ease Oct-&gt;Nov (gifting front-loads to Oct); team used flat -5%.</t>
        </is>
      </c>
    </row>
    <row r="23" ht="30" customHeight="1">
      <c r="A23" s="8" t="n">
        <v>20</v>
      </c>
      <c r="B23" s="9" t="inlineStr">
        <is>
          <t>Y-Fold</t>
        </is>
      </c>
      <c r="C23" s="9" t="inlineStr">
        <is>
          <t>Cases And Sleeves</t>
        </is>
      </c>
      <c r="D23" s="10" t="n">
        <v>54</v>
      </c>
      <c r="E23" s="10" t="n">
        <v>588</v>
      </c>
      <c r="F23" s="10" t="n">
        <v>1056</v>
      </c>
      <c r="G23" s="10" t="n">
        <v>468</v>
      </c>
      <c r="H23" s="10" t="n">
        <v>558</v>
      </c>
      <c r="I23" s="10" t="n">
        <v>883</v>
      </c>
      <c r="J23" s="10" t="n">
        <v>325</v>
      </c>
      <c r="K23" s="10" t="n">
        <v>1278080</v>
      </c>
      <c r="L23" s="10" t="n">
        <v>2187155</v>
      </c>
      <c r="M23" s="7" t="inlineStr">
        <is>
          <t>Base 799 u/mo (Jul+Aug'26 run-rate); Cases And Sleeves festive x1.40 Oct / x1.21 Nov. Team UNDER-planned: their Oct 588 u vs our run-rate-based 1056 u. Cases ease Oct-&gt;Nov (gifting front-loads to Oct); team used flat -5%.</t>
        </is>
      </c>
    </row>
    <row r="24" ht="30" customHeight="1">
      <c r="A24" s="4" t="n">
        <v>21</v>
      </c>
      <c r="B24" s="5" t="inlineStr">
        <is>
          <t>Pivot Ambit</t>
        </is>
      </c>
      <c r="C24" s="5" t="inlineStr">
        <is>
          <t>Bags and Backpacks</t>
        </is>
      </c>
      <c r="D24" s="6" t="n">
        <v>5</v>
      </c>
      <c r="E24" s="6" t="n">
        <v>455</v>
      </c>
      <c r="F24" s="6" t="n">
        <v>122</v>
      </c>
      <c r="G24" s="6" t="n">
        <v>-333</v>
      </c>
      <c r="H24" s="6" t="n">
        <v>432</v>
      </c>
      <c r="I24" s="6" t="n">
        <v>132</v>
      </c>
      <c r="J24" s="6" t="n">
        <v>-300</v>
      </c>
      <c r="K24" s="6" t="n">
        <v>1932760</v>
      </c>
      <c r="L24" s="6" t="n">
        <v>609681</v>
      </c>
      <c r="M24" s="7" t="inlineStr">
        <is>
          <t>Base 118 u/mo (Jul+Aug'26 run-rate); Bags and Backpacks festive x1.09 Oct / x1.24 Nov. Team OVER-planned: their Oct 455 u = 3.9x run-rate; we anchor to run-rate (122 u). Nov&gt;Oct (bags peak in Nov'25); team used flat -5%.</t>
        </is>
      </c>
    </row>
    <row r="25" ht="30" customHeight="1">
      <c r="A25" s="8" t="n">
        <v>22</v>
      </c>
      <c r="B25" s="9" t="inlineStr">
        <is>
          <t>Marshal Kit</t>
        </is>
      </c>
      <c r="C25" s="9" t="inlineStr">
        <is>
          <t>Home Office</t>
        </is>
      </c>
      <c r="D25" s="10" t="n">
        <v>16</v>
      </c>
      <c r="E25" s="10" t="n">
        <v>1390</v>
      </c>
      <c r="F25" s="10" t="n">
        <v>754</v>
      </c>
      <c r="G25" s="10" t="n">
        <v>-636</v>
      </c>
      <c r="H25" s="10" t="n">
        <v>1321</v>
      </c>
      <c r="I25" s="10" t="n">
        <v>812</v>
      </c>
      <c r="J25" s="10" t="n">
        <v>-509</v>
      </c>
      <c r="K25" s="10" t="n">
        <v>1889736</v>
      </c>
      <c r="L25" s="10" t="n">
        <v>1140871</v>
      </c>
      <c r="M25" s="7" t="inlineStr">
        <is>
          <t>Base 852 u/mo (Jul+Aug'26 run-rate); Home Office festive x0.95 Oct / x1.07 Nov. Team OVER-planned: their Oct 1390 u = 1.6x run-rate; we anchor to run-rate (754 u).</t>
        </is>
      </c>
    </row>
    <row r="26" ht="30" customHeight="1">
      <c r="A26" s="4" t="n">
        <v>23</v>
      </c>
      <c r="B26" s="5" t="inlineStr">
        <is>
          <t>Kevlar Core</t>
        </is>
      </c>
      <c r="C26" s="5" t="inlineStr">
        <is>
          <t>Accessories</t>
        </is>
      </c>
      <c r="D26" s="6" t="n">
        <v>4</v>
      </c>
      <c r="E26" s="6" t="n">
        <v>1668</v>
      </c>
      <c r="F26" s="6" t="n">
        <v>954</v>
      </c>
      <c r="G26" s="6" t="n">
        <v>-714</v>
      </c>
      <c r="H26" s="6" t="n">
        <v>1585</v>
      </c>
      <c r="I26" s="6" t="n">
        <v>929</v>
      </c>
      <c r="J26" s="6" t="n">
        <v>-656</v>
      </c>
      <c r="K26" s="6" t="n">
        <v>1811100</v>
      </c>
      <c r="L26" s="6" t="n">
        <v>982172</v>
      </c>
      <c r="M26" s="7" t="inlineStr">
        <is>
          <t>Base 1246 u/mo (Jul+Aug'26 run-rate); Accessories festive x0.83 Oct / x0.84 Nov. Team OVER-planned: their Oct 1668 u = 1.3x run-rate; we anchor to run-rate (954 u).</t>
        </is>
      </c>
    </row>
    <row r="27" ht="30" customHeight="1">
      <c r="A27" s="8" t="n">
        <v>24</v>
      </c>
      <c r="B27" s="9" t="inlineStr">
        <is>
          <t>March Crossbody</t>
        </is>
      </c>
      <c r="C27" s="9" t="inlineStr">
        <is>
          <t>Bags and Backpacks</t>
        </is>
      </c>
      <c r="D27" s="10" t="n">
        <v>19</v>
      </c>
      <c r="E27" s="10" t="n">
        <v>1195</v>
      </c>
      <c r="F27" s="10" t="n">
        <v>829</v>
      </c>
      <c r="G27" s="10" t="n">
        <v>-366</v>
      </c>
      <c r="H27" s="10" t="n">
        <v>1135</v>
      </c>
      <c r="I27" s="10" t="n">
        <v>901</v>
      </c>
      <c r="J27" s="10" t="n">
        <v>-234</v>
      </c>
      <c r="K27" s="10" t="n">
        <v>1779381</v>
      </c>
      <c r="L27" s="10" t="n">
        <v>1397297</v>
      </c>
      <c r="M27" s="7" t="inlineStr">
        <is>
          <t>Base 812 u/mo (Jul+Aug'26 run-rate); Bags and Backpacks festive x1.09 Oct / x1.24 Nov. In line with team (their Oct 1195 vs our 829 u). Nov&gt;Oct (bags peak in Nov'25); team used flat -5%.</t>
        </is>
      </c>
    </row>
    <row r="28" ht="30" customHeight="1">
      <c r="A28" s="4" t="n">
        <v>25</v>
      </c>
      <c r="B28" s="5" t="inlineStr">
        <is>
          <t>Beam 2.0</t>
        </is>
      </c>
      <c r="C28" s="5" t="inlineStr">
        <is>
          <t>Cases And Sleeves</t>
        </is>
      </c>
      <c r="D28" s="6" t="n">
        <v>41</v>
      </c>
      <c r="E28" s="6" t="n">
        <v>215</v>
      </c>
      <c r="F28" s="6" t="n">
        <v>1987</v>
      </c>
      <c r="G28" s="6" t="n">
        <v>1772</v>
      </c>
      <c r="H28" s="6" t="n">
        <v>204</v>
      </c>
      <c r="I28" s="6" t="n">
        <v>1653</v>
      </c>
      <c r="J28" s="6" t="n">
        <v>1449</v>
      </c>
      <c r="K28" s="6" t="n">
        <v>207927</v>
      </c>
      <c r="L28" s="6" t="n">
        <v>1751635</v>
      </c>
      <c r="M28" s="7" t="inlineStr">
        <is>
          <t>Base 1526 u/mo (Jul+Aug'26 run-rate); Cases And Sleeves festive x1.40 Oct / x1.21 Nov. Team UNDER-planned: their Oct 215 u vs our run-rate-based 1987 u. Cases ease Oct-&gt;Nov (gifting front-loads to Oct); team used flat -5%.</t>
        </is>
      </c>
    </row>
    <row r="29" ht="30" customHeight="1">
      <c r="A29" s="8" t="n">
        <v>26</v>
      </c>
      <c r="B29" s="9" t="inlineStr">
        <is>
          <t>Idyll Tote</t>
        </is>
      </c>
      <c r="C29" s="9" t="inlineStr">
        <is>
          <t>Bags and Backpacks</t>
        </is>
      </c>
      <c r="D29" s="10" t="n">
        <v>7</v>
      </c>
      <c r="E29" s="10" t="n">
        <v>638</v>
      </c>
      <c r="F29" s="10" t="n">
        <v>479</v>
      </c>
      <c r="G29" s="10" t="n">
        <v>-159</v>
      </c>
      <c r="H29" s="10" t="n">
        <v>607</v>
      </c>
      <c r="I29" s="10" t="n">
        <v>523</v>
      </c>
      <c r="J29" s="10" t="n">
        <v>-84</v>
      </c>
      <c r="K29" s="10" t="n">
        <v>1713180</v>
      </c>
      <c r="L29" s="10" t="n">
        <v>1443947</v>
      </c>
      <c r="M29" s="7" t="inlineStr">
        <is>
          <t>Base 472 u/mo (Jul+Aug'26 run-rate); Bags and Backpacks festive x1.09 Oct / x1.24 Nov. In line with team (their Oct 638 vs our 479 u). Nov&gt;Oct (bags peak in Nov'25); team used flat -5%.</t>
        </is>
      </c>
    </row>
    <row r="30" ht="30" customHeight="1">
      <c r="A30" s="4" t="n">
        <v>27</v>
      </c>
      <c r="B30" s="5" t="inlineStr">
        <is>
          <t>Screen Protector</t>
        </is>
      </c>
      <c r="C30" s="5" t="inlineStr">
        <is>
          <t>Accessories</t>
        </is>
      </c>
      <c r="D30" s="6" t="n">
        <v>67</v>
      </c>
      <c r="E30" s="6" t="n">
        <v>2103</v>
      </c>
      <c r="F30" s="6" t="n">
        <v>1317</v>
      </c>
      <c r="G30" s="6" t="n">
        <v>-786</v>
      </c>
      <c r="H30" s="6" t="n">
        <v>1998</v>
      </c>
      <c r="I30" s="6" t="n">
        <v>1284</v>
      </c>
      <c r="J30" s="6" t="n">
        <v>-714</v>
      </c>
      <c r="K30" s="6" t="n">
        <v>1666996</v>
      </c>
      <c r="L30" s="6" t="n">
        <v>859676</v>
      </c>
      <c r="M30" s="7" t="inlineStr">
        <is>
          <t>Base 1682 u/mo (Jul+Aug'26 run-rate); Accessories festive x0.83 Oct / x0.84 Nov. In line with team (their Oct 2103 vs our 1317 u).</t>
        </is>
      </c>
    </row>
    <row r="31" ht="30" customHeight="1">
      <c r="A31" s="8" t="n">
        <v>28</v>
      </c>
      <c r="B31" s="9" t="inlineStr">
        <is>
          <t>Enamel</t>
        </is>
      </c>
      <c r="C31" s="9" t="inlineStr">
        <is>
          <t>Cases And Sleeves</t>
        </is>
      </c>
      <c r="D31" s="10" t="n">
        <v>77</v>
      </c>
      <c r="E31" s="10" t="n">
        <v>0</v>
      </c>
      <c r="F31" s="10" t="n">
        <v>1547</v>
      </c>
      <c r="G31" s="10" t="n">
        <v>1547</v>
      </c>
      <c r="H31" s="10" t="n">
        <v>0</v>
      </c>
      <c r="I31" s="10" t="n">
        <v>1292</v>
      </c>
      <c r="J31" s="10" t="n">
        <v>1292</v>
      </c>
      <c r="K31" s="10" t="n">
        <v>0</v>
      </c>
      <c r="L31" s="10" t="n">
        <v>1630640</v>
      </c>
      <c r="M31" s="7" t="inlineStr">
        <is>
          <t>Base 1168 u/mo (Jul+Aug'26 run-rate); Cases And Sleeves festive x1.40 Oct / x1.21 Nov. TEAM OMITTED (planned 0) — we carry 1547 u from live run-rate. Cases ease Oct-&gt;Nov (gifting front-loads to Oct); team used flat -5%.</t>
        </is>
      </c>
    </row>
    <row r="32" ht="30" customHeight="1">
      <c r="A32" s="4" t="n">
        <v>29</v>
      </c>
      <c r="B32" s="5" t="inlineStr">
        <is>
          <t>Stack Wallet</t>
        </is>
      </c>
      <c r="C32" s="5" t="inlineStr">
        <is>
          <t>Accessories</t>
        </is>
      </c>
      <c r="D32" s="6" t="n">
        <v>4</v>
      </c>
      <c r="E32" s="6" t="n">
        <v>530</v>
      </c>
      <c r="F32" s="6" t="n">
        <v>527</v>
      </c>
      <c r="G32" s="6" t="n">
        <v>-3</v>
      </c>
      <c r="H32" s="6" t="n">
        <v>504</v>
      </c>
      <c r="I32" s="6" t="n">
        <v>513</v>
      </c>
      <c r="J32" s="6" t="n">
        <v>9</v>
      </c>
      <c r="K32" s="6" t="n">
        <v>1558548</v>
      </c>
      <c r="L32" s="6" t="n">
        <v>1562566</v>
      </c>
      <c r="M32" s="7" t="inlineStr">
        <is>
          <t>Base 686 u/mo (Jul+Aug'26 run-rate); Accessories festive x0.83 Oct / x0.84 Nov. In line with team (their Oct 530 vs our 527 u).</t>
        </is>
      </c>
    </row>
    <row r="33" ht="30" customHeight="1">
      <c r="A33" s="8" t="n">
        <v>30</v>
      </c>
      <c r="B33" s="9" t="inlineStr">
        <is>
          <t>Field Backpack</t>
        </is>
      </c>
      <c r="C33" s="9" t="inlineStr">
        <is>
          <t>Bags and Backpacks</t>
        </is>
      </c>
      <c r="D33" s="10" t="n">
        <v>8</v>
      </c>
      <c r="E33" s="10" t="n">
        <v>478</v>
      </c>
      <c r="F33" s="10" t="n">
        <v>399</v>
      </c>
      <c r="G33" s="10" t="n">
        <v>-79</v>
      </c>
      <c r="H33" s="10" t="n">
        <v>454</v>
      </c>
      <c r="I33" s="10" t="n">
        <v>434</v>
      </c>
      <c r="J33" s="10" t="n">
        <v>-20</v>
      </c>
      <c r="K33" s="10" t="n">
        <v>1473379</v>
      </c>
      <c r="L33" s="10" t="n">
        <v>1350356</v>
      </c>
      <c r="M33" s="7" t="inlineStr">
        <is>
          <t>Base 392 u/mo (Jul+Aug'26 run-rate); Bags and Backpacks festive x1.09 Oct / x1.24 Nov. In line with team (their Oct 478 vs our 399 u). Nov&gt;Oct (bags peak in Nov'25); team used flat -5%.</t>
        </is>
      </c>
    </row>
    <row r="34" ht="30" customHeight="1">
      <c r="A34" s="4" t="n">
        <v>31</v>
      </c>
      <c r="B34" s="5" t="inlineStr">
        <is>
          <t>FREE-MYSTRY-GIFT</t>
        </is>
      </c>
      <c r="C34" s="5" t="inlineStr">
        <is>
          <t>Accessories</t>
        </is>
      </c>
      <c r="D34" s="6" t="n">
        <v>1</v>
      </c>
      <c r="E34" s="6" t="n">
        <v>0</v>
      </c>
      <c r="F34" s="6" t="n">
        <v>471</v>
      </c>
      <c r="G34" s="6" t="n">
        <v>471</v>
      </c>
      <c r="H34" s="6" t="n">
        <v>0</v>
      </c>
      <c r="I34" s="6" t="n">
        <v>458</v>
      </c>
      <c r="J34" s="6" t="n">
        <v>458</v>
      </c>
      <c r="K34" s="6" t="n">
        <v>0</v>
      </c>
      <c r="L34" s="6" t="n">
        <v>1410165</v>
      </c>
      <c r="M34" s="7" t="inlineStr">
        <is>
          <t>Base 615 u/mo (Jul+Aug'26 run-rate); Accessories festive x0.83 Oct / x0.84 Nov. TEAM OMITTED (planned 0) — we carry 471 u from live run-rate.</t>
        </is>
      </c>
    </row>
    <row r="35" ht="30" customHeight="1">
      <c r="A35" s="8" t="n">
        <v>32</v>
      </c>
      <c r="B35" s="9" t="inlineStr">
        <is>
          <t>Surge 3-in-1</t>
        </is>
      </c>
      <c r="C35" s="9" t="inlineStr">
        <is>
          <t>Accessories</t>
        </is>
      </c>
      <c r="D35" s="10" t="n">
        <v>1</v>
      </c>
      <c r="E35" s="10" t="n">
        <v>204</v>
      </c>
      <c r="F35" s="10" t="n">
        <v>56</v>
      </c>
      <c r="G35" s="10" t="n">
        <v>-148</v>
      </c>
      <c r="H35" s="10" t="n">
        <v>193</v>
      </c>
      <c r="I35" s="10" t="n">
        <v>54</v>
      </c>
      <c r="J35" s="10" t="n">
        <v>-139</v>
      </c>
      <c r="K35" s="10" t="n">
        <v>1296628</v>
      </c>
      <c r="L35" s="10" t="n">
        <v>343237</v>
      </c>
      <c r="M35" s="7" t="inlineStr">
        <is>
          <t>Base 72 u/mo (Jul+Aug'26 run-rate); Accessories festive x0.83 Oct / x0.84 Nov. Team OVER-planned: their Oct 204 u = 2.8x run-rate; we anchor to run-rate (56 u).</t>
        </is>
      </c>
    </row>
    <row r="36" ht="30" customHeight="1">
      <c r="A36" s="4" t="n">
        <v>33</v>
      </c>
      <c r="B36" s="5" t="inlineStr">
        <is>
          <t>Watchband - Track Nylon</t>
        </is>
      </c>
      <c r="C36" s="5" t="inlineStr">
        <is>
          <t>Accessories</t>
        </is>
      </c>
      <c r="D36" s="6" t="n">
        <v>13</v>
      </c>
      <c r="E36" s="6" t="n">
        <v>480</v>
      </c>
      <c r="F36" s="6" t="n">
        <v>523</v>
      </c>
      <c r="G36" s="6" t="n">
        <v>43</v>
      </c>
      <c r="H36" s="6" t="n">
        <v>456</v>
      </c>
      <c r="I36" s="6" t="n">
        <v>510</v>
      </c>
      <c r="J36" s="6" t="n">
        <v>54</v>
      </c>
      <c r="K36" s="6" t="n">
        <v>1179657</v>
      </c>
      <c r="L36" s="6" t="n">
        <v>1280181</v>
      </c>
      <c r="M36" s="7" t="inlineStr">
        <is>
          <t>Base 674 u/mo (Jul+Aug'26 run-rate); Accessories festive x0.83 Oct / x0.84 Nov. In line with team (their Oct 480 vs our 523 u).</t>
        </is>
      </c>
    </row>
    <row r="37" ht="30" customHeight="1">
      <c r="A37" s="8" t="n">
        <v>34</v>
      </c>
      <c r="B37" s="9" t="inlineStr">
        <is>
          <t>Pivot Taiga</t>
        </is>
      </c>
      <c r="C37" s="9" t="inlineStr">
        <is>
          <t>Bags and Backpacks</t>
        </is>
      </c>
      <c r="D37" s="10" t="n">
        <v>5</v>
      </c>
      <c r="E37" s="10" t="n">
        <v>322</v>
      </c>
      <c r="F37" s="10" t="n">
        <v>256</v>
      </c>
      <c r="G37" s="10" t="n">
        <v>-66</v>
      </c>
      <c r="H37" s="10" t="n">
        <v>306</v>
      </c>
      <c r="I37" s="10" t="n">
        <v>277</v>
      </c>
      <c r="J37" s="10" t="n">
        <v>-29</v>
      </c>
      <c r="K37" s="10" t="n">
        <v>1231006</v>
      </c>
      <c r="L37" s="10" t="n">
        <v>1073531</v>
      </c>
      <c r="M37" s="7" t="inlineStr">
        <is>
          <t>Base 251 u/mo (Jul+Aug'26 run-rate); Bags and Backpacks festive x1.09 Oct / x1.24 Nov. In line with team (their Oct 322 vs our 256 u). Nov&gt;Oct (bags peak in Nov'25); team used flat -5%.</t>
        </is>
      </c>
    </row>
    <row r="38" ht="30" customHeight="1">
      <c r="A38" s="4" t="n">
        <v>35</v>
      </c>
      <c r="B38" s="5" t="inlineStr">
        <is>
          <t>SnapOn Envelope</t>
        </is>
      </c>
      <c r="C38" s="5" t="inlineStr">
        <is>
          <t>Cases And Sleeves</t>
        </is>
      </c>
      <c r="D38" s="6" t="n">
        <v>35</v>
      </c>
      <c r="E38" s="6" t="n">
        <v>556</v>
      </c>
      <c r="F38" s="6" t="n">
        <v>864</v>
      </c>
      <c r="G38" s="6" t="n">
        <v>308</v>
      </c>
      <c r="H38" s="6" t="n">
        <v>528</v>
      </c>
      <c r="I38" s="6" t="n">
        <v>725</v>
      </c>
      <c r="J38" s="6" t="n">
        <v>197</v>
      </c>
      <c r="K38" s="6" t="n">
        <v>780866</v>
      </c>
      <c r="L38" s="6" t="n">
        <v>1191463</v>
      </c>
      <c r="M38" s="7" t="inlineStr">
        <is>
          <t>Base 658 u/mo (Jul+Aug'26 run-rate); Cases And Sleeves festive x1.40 Oct / x1.21 Nov. In line with team (their Oct 556 vs our 864 u). Cases ease Oct-&gt;Nov (gifting front-loads to Oct); team used flat -5%.</t>
        </is>
      </c>
    </row>
    <row r="39" ht="30" customHeight="1">
      <c r="A39" s="8" t="n">
        <v>36</v>
      </c>
      <c r="B39" s="9" t="inlineStr">
        <is>
          <t>Stack Clear</t>
        </is>
      </c>
      <c r="C39" s="9" t="inlineStr">
        <is>
          <t>Cases And Sleeves</t>
        </is>
      </c>
      <c r="D39" s="10" t="n">
        <v>8</v>
      </c>
      <c r="E39" s="10" t="n">
        <v>0</v>
      </c>
      <c r="F39" s="10" t="n">
        <v>676</v>
      </c>
      <c r="G39" s="10" t="n">
        <v>676</v>
      </c>
      <c r="H39" s="10" t="n">
        <v>0</v>
      </c>
      <c r="I39" s="10" t="n">
        <v>562</v>
      </c>
      <c r="J39" s="10" t="n">
        <v>562</v>
      </c>
      <c r="K39" s="10" t="n">
        <v>0</v>
      </c>
      <c r="L39" s="10" t="n">
        <v>1187033</v>
      </c>
      <c r="M39" s="7" t="inlineStr">
        <is>
          <t>Base 522 u/mo (Jul+Aug'26 run-rate); Cases And Sleeves festive x1.40 Oct / x1.21 Nov. TEAM OMITTED (planned 0) — we carry 676 u from live run-rate. Cases ease Oct-&gt;Nov (gifting front-loads to Oct); team used flat -5%.</t>
        </is>
      </c>
    </row>
    <row r="40" ht="30" customHeight="1">
      <c r="A40" s="4" t="n">
        <v>37</v>
      </c>
      <c r="B40" s="5" t="inlineStr">
        <is>
          <t>Car Charger</t>
        </is>
      </c>
      <c r="C40" s="5" t="inlineStr">
        <is>
          <t>Accessories</t>
        </is>
      </c>
      <c r="D40" s="6" t="n">
        <v>1</v>
      </c>
      <c r="E40" s="6" t="n">
        <v>700</v>
      </c>
      <c r="F40" s="6" t="n">
        <v>73</v>
      </c>
      <c r="G40" s="6" t="n">
        <v>-627</v>
      </c>
      <c r="H40" s="6" t="n">
        <v>665</v>
      </c>
      <c r="I40" s="6" t="n">
        <v>71</v>
      </c>
      <c r="J40" s="6" t="n">
        <v>-594</v>
      </c>
      <c r="K40" s="6" t="n">
        <v>1169466</v>
      </c>
      <c r="L40" s="6" t="n">
        <v>83877</v>
      </c>
      <c r="M40" s="7" t="inlineStr">
        <is>
          <t>Base 95 u/mo (Jul+Aug'26 run-rate); Accessories festive x0.83 Oct / x0.84 Nov. Team OVER-planned: their Oct 700 u = 7.4x run-rate; we anchor to run-rate (73 u).</t>
        </is>
      </c>
    </row>
    <row r="41" ht="30" customHeight="1">
      <c r="A41" s="8" t="n">
        <v>38</v>
      </c>
      <c r="B41" s="9" t="inlineStr">
        <is>
          <t>Arete</t>
        </is>
      </c>
      <c r="C41" s="9" t="inlineStr">
        <is>
          <t>Home Office</t>
        </is>
      </c>
      <c r="D41" s="10" t="n">
        <v>5</v>
      </c>
      <c r="E41" s="10" t="n">
        <v>290</v>
      </c>
      <c r="F41" s="10" t="n">
        <v>414</v>
      </c>
      <c r="G41" s="10" t="n">
        <v>124</v>
      </c>
      <c r="H41" s="10" t="n">
        <v>276</v>
      </c>
      <c r="I41" s="10" t="n">
        <v>447</v>
      </c>
      <c r="J41" s="10" t="n">
        <v>171</v>
      </c>
      <c r="K41" s="10" t="n">
        <v>761476</v>
      </c>
      <c r="L41" s="10" t="n">
        <v>1107623</v>
      </c>
      <c r="M41" s="7" t="inlineStr">
        <is>
          <t>Base 471 u/mo (Jul+Aug'26 run-rate); Home Office festive x0.95 Oct / x1.07 Nov. In line with team (their Oct 290 vs our 414 u).</t>
        </is>
      </c>
    </row>
    <row r="42" ht="30" customHeight="1">
      <c r="A42" s="4" t="n">
        <v>39</v>
      </c>
      <c r="B42" s="5" t="inlineStr">
        <is>
          <t>Stack Stand</t>
        </is>
      </c>
      <c r="C42" s="5" t="inlineStr">
        <is>
          <t>Home Office</t>
        </is>
      </c>
      <c r="D42" s="6" t="n">
        <v>5</v>
      </c>
      <c r="E42" s="6" t="n">
        <v>756</v>
      </c>
      <c r="F42" s="6" t="n">
        <v>1118</v>
      </c>
      <c r="G42" s="6" t="n">
        <v>362</v>
      </c>
      <c r="H42" s="6" t="n">
        <v>718</v>
      </c>
      <c r="I42" s="6" t="n">
        <v>1204</v>
      </c>
      <c r="J42" s="6" t="n">
        <v>486</v>
      </c>
      <c r="K42" s="6" t="n">
        <v>744164</v>
      </c>
      <c r="L42" s="6" t="n">
        <v>1088444</v>
      </c>
      <c r="M42" s="7" t="inlineStr">
        <is>
          <t>Base 1274 u/mo (Jul+Aug'26 run-rate); Home Office festive x0.95 Oct / x1.07 Nov. In line with team (their Oct 756 vs our 1118 u).</t>
        </is>
      </c>
    </row>
    <row r="43" ht="30" customHeight="1">
      <c r="A43" s="8" t="n">
        <v>40</v>
      </c>
      <c r="B43" s="9" t="inlineStr">
        <is>
          <t>Morph</t>
        </is>
      </c>
      <c r="C43" s="9" t="inlineStr">
        <is>
          <t>Home Office</t>
        </is>
      </c>
      <c r="D43" s="10" t="n">
        <v>1</v>
      </c>
      <c r="E43" s="10" t="n">
        <v>577</v>
      </c>
      <c r="F43" s="10" t="n">
        <v>229</v>
      </c>
      <c r="G43" s="10" t="n">
        <v>-348</v>
      </c>
      <c r="H43" s="10" t="n">
        <v>548</v>
      </c>
      <c r="I43" s="10" t="n">
        <v>246</v>
      </c>
      <c r="J43" s="10" t="n">
        <v>-302</v>
      </c>
      <c r="K43" s="10" t="n">
        <v>1086296</v>
      </c>
      <c r="L43" s="10" t="n">
        <v>456594</v>
      </c>
      <c r="M43" s="7" t="inlineStr">
        <is>
          <t>Base 260 u/mo (Jul+Aug'26 run-rate); Home Office festive x0.95 Oct / x1.07 Nov. Team OVER-planned: their Oct 577 u = 2.2x run-rate; we anchor to run-rate (229 u).</t>
        </is>
      </c>
    </row>
    <row r="44" ht="30" customHeight="1">
      <c r="A44" s="4" t="n">
        <v>41</v>
      </c>
      <c r="B44" s="5" t="inlineStr">
        <is>
          <t>Analog RFID</t>
        </is>
      </c>
      <c r="C44" s="5" t="inlineStr">
        <is>
          <t>Accessories</t>
        </is>
      </c>
      <c r="D44" s="6" t="n">
        <v>1</v>
      </c>
      <c r="E44" s="6" t="n">
        <v>679</v>
      </c>
      <c r="F44" s="6" t="n">
        <v>38</v>
      </c>
      <c r="G44" s="6" t="n">
        <v>-641</v>
      </c>
      <c r="H44" s="6" t="n">
        <v>646</v>
      </c>
      <c r="I44" s="6" t="n">
        <v>37</v>
      </c>
      <c r="J44" s="6" t="n">
        <v>-609</v>
      </c>
      <c r="K44" s="6" t="n">
        <v>1018539</v>
      </c>
      <c r="L44" s="6" t="n">
        <v>68200</v>
      </c>
      <c r="M44" s="7" t="inlineStr">
        <is>
          <t>Base 50 u/mo (Jul+Aug'26 run-rate); Accessories festive x0.83 Oct / x0.84 Nov. Team OVER-planned: their Oct 679 u = 13.7x run-rate; we anchor to run-rate (38 u). Event-led (Sep-HPS 7x base) — held at base, no HPS in Oct/Nov.</t>
        </is>
      </c>
    </row>
    <row r="45" ht="30" customHeight="1">
      <c r="A45" s="8" t="n">
        <v>42</v>
      </c>
      <c r="B45" s="9" t="inlineStr">
        <is>
          <t>Clear Case</t>
        </is>
      </c>
      <c r="C45" s="9" t="inlineStr">
        <is>
          <t>Cases And Sleeves</t>
        </is>
      </c>
      <c r="D45" s="10" t="n">
        <v>12</v>
      </c>
      <c r="E45" s="10" t="n">
        <v>301</v>
      </c>
      <c r="F45" s="10" t="n">
        <v>1033</v>
      </c>
      <c r="G45" s="10" t="n">
        <v>732</v>
      </c>
      <c r="H45" s="10" t="n">
        <v>286</v>
      </c>
      <c r="I45" s="10" t="n">
        <v>861</v>
      </c>
      <c r="J45" s="10" t="n">
        <v>575</v>
      </c>
      <c r="K45" s="10" t="n">
        <v>262323</v>
      </c>
      <c r="L45" s="10" t="n">
        <v>917915</v>
      </c>
      <c r="M45" s="7" t="inlineStr">
        <is>
          <t>Base 796 u/mo (Jul+Aug'26 run-rate); Cases And Sleeves festive x1.40 Oct / x1.21 Nov. Team UNDER-planned: their Oct 301 u vs our run-rate-based 1033 u. Cases ease Oct-&gt;Nov (gifting front-loads to Oct); team used flat -5%.</t>
        </is>
      </c>
    </row>
    <row r="46" ht="30" customHeight="1">
      <c r="A46" s="4" t="n">
        <v>43</v>
      </c>
      <c r="B46" s="5" t="inlineStr">
        <is>
          <t>Pivot Laptop Sleeve</t>
        </is>
      </c>
      <c r="C46" s="5" t="inlineStr">
        <is>
          <t>Cases And Sleeves</t>
        </is>
      </c>
      <c r="D46" s="6" t="n">
        <v>12</v>
      </c>
      <c r="E46" s="6" t="n">
        <v>342</v>
      </c>
      <c r="F46" s="6" t="n">
        <v>416</v>
      </c>
      <c r="G46" s="6" t="n">
        <v>74</v>
      </c>
      <c r="H46" s="6" t="n">
        <v>325</v>
      </c>
      <c r="I46" s="6" t="n">
        <v>347</v>
      </c>
      <c r="J46" s="6" t="n">
        <v>22</v>
      </c>
      <c r="K46" s="6" t="n">
        <v>706528</v>
      </c>
      <c r="L46" s="6" t="n">
        <v>887212</v>
      </c>
      <c r="M46" s="7" t="inlineStr">
        <is>
          <t>Base 319 u/mo (Jul+Aug'26 run-rate); Cases And Sleeves festive x1.40 Oct / x1.21 Nov. In line with team (their Oct 342 vs our 416 u). Cases ease Oct-&gt;Nov (gifting front-loads to Oct); team used flat -5%.</t>
        </is>
      </c>
    </row>
    <row r="47" ht="30" customHeight="1">
      <c r="A47" s="8" t="n">
        <v>44</v>
      </c>
      <c r="B47" s="9" t="inlineStr">
        <is>
          <t>Cleaning Kit</t>
        </is>
      </c>
      <c r="C47" s="9" t="inlineStr">
        <is>
          <t>Accessories</t>
        </is>
      </c>
      <c r="D47" s="10" t="n">
        <v>1</v>
      </c>
      <c r="E47" s="10" t="n">
        <v>1118</v>
      </c>
      <c r="F47" s="10" t="n">
        <v>449</v>
      </c>
      <c r="G47" s="10" t="n">
        <v>-669</v>
      </c>
      <c r="H47" s="10" t="n">
        <v>1062</v>
      </c>
      <c r="I47" s="10" t="n">
        <v>437</v>
      </c>
      <c r="J47" s="10" t="n">
        <v>-625</v>
      </c>
      <c r="K47" s="10" t="n">
        <v>858782</v>
      </c>
      <c r="L47" s="10" t="n">
        <v>352822</v>
      </c>
      <c r="M47" s="7" t="inlineStr">
        <is>
          <t>Base 587 u/mo (Jul+Aug'26 run-rate); Accessories festive x0.83 Oct / x0.84 Nov. Team OVER-planned: their Oct 1118 u = 1.9x run-rate; we anchor to run-rate (449 u). Event-led (Sep-HPS 3x base) — held at base, no HPS in Oct/Nov.</t>
        </is>
      </c>
    </row>
    <row r="48" ht="30" customHeight="1">
      <c r="A48" s="4" t="n">
        <v>45</v>
      </c>
      <c r="B48" s="5" t="inlineStr">
        <is>
          <t>Leather Desk Mat</t>
        </is>
      </c>
      <c r="C48" s="5" t="inlineStr">
        <is>
          <t>Home Office</t>
        </is>
      </c>
      <c r="D48" s="6" t="n">
        <v>2</v>
      </c>
      <c r="E48" s="6" t="n">
        <v>914</v>
      </c>
      <c r="F48" s="6" t="n">
        <v>725</v>
      </c>
      <c r="G48" s="6" t="n">
        <v>-189</v>
      </c>
      <c r="H48" s="6" t="n">
        <v>868</v>
      </c>
      <c r="I48" s="6" t="n">
        <v>780</v>
      </c>
      <c r="J48" s="6" t="n">
        <v>-88</v>
      </c>
      <c r="K48" s="6" t="n">
        <v>843950</v>
      </c>
      <c r="L48" s="6" t="n">
        <v>689981</v>
      </c>
      <c r="M48" s="7" t="inlineStr">
        <is>
          <t>Base 826 u/mo (Jul+Aug'26 run-rate); Home Office festive x0.95 Oct / x1.07 Nov. In line with team (their Oct 914 vs our 725 u). Event-led (Sep-HPS 4x base) — held at base, no HPS in Oct/Nov.</t>
        </is>
      </c>
    </row>
    <row r="49" ht="30" customHeight="1">
      <c r="A49" s="8" t="n">
        <v>46</v>
      </c>
      <c r="B49" s="9" t="inlineStr">
        <is>
          <t>Watchband - Ellipse Leather</t>
        </is>
      </c>
      <c r="C49" s="9" t="inlineStr">
        <is>
          <t>Accessories</t>
        </is>
      </c>
      <c r="D49" s="10" t="n">
        <v>14</v>
      </c>
      <c r="E49" s="10" t="n">
        <v>254</v>
      </c>
      <c r="F49" s="10" t="n">
        <v>287</v>
      </c>
      <c r="G49" s="10" t="n">
        <v>33</v>
      </c>
      <c r="H49" s="10" t="n">
        <v>241</v>
      </c>
      <c r="I49" s="10" t="n">
        <v>278</v>
      </c>
      <c r="J49" s="10" t="n">
        <v>37</v>
      </c>
      <c r="K49" s="10" t="n">
        <v>749567</v>
      </c>
      <c r="L49" s="10" t="n">
        <v>832875</v>
      </c>
      <c r="M49" s="7" t="inlineStr">
        <is>
          <t>Base 366 u/mo (Jul+Aug'26 run-rate); Accessories festive x0.83 Oct / x0.84 Nov. In line with team (their Oct 254 vs our 287 u).</t>
        </is>
      </c>
    </row>
    <row r="50" ht="30" customHeight="1">
      <c r="A50" s="4" t="n">
        <v>47</v>
      </c>
      <c r="B50" s="5" t="inlineStr">
        <is>
          <t>Phone Lanyard</t>
        </is>
      </c>
      <c r="C50" s="5" t="inlineStr">
        <is>
          <t>Accessories</t>
        </is>
      </c>
      <c r="D50" s="6" t="n">
        <v>39</v>
      </c>
      <c r="E50" s="6" t="n">
        <v>794</v>
      </c>
      <c r="F50" s="6" t="n">
        <v>405</v>
      </c>
      <c r="G50" s="6" t="n">
        <v>-389</v>
      </c>
      <c r="H50" s="6" t="n">
        <v>755</v>
      </c>
      <c r="I50" s="6" t="n">
        <v>392</v>
      </c>
      <c r="J50" s="6" t="n">
        <v>-363</v>
      </c>
      <c r="K50" s="6" t="n">
        <v>821862</v>
      </c>
      <c r="L50" s="6" t="n">
        <v>350056</v>
      </c>
      <c r="M50" s="7" t="inlineStr">
        <is>
          <t>Base 504 u/mo (Jul+Aug'26 run-rate); Accessories festive x0.83 Oct / x0.84 Nov. Team OVER-planned: their Oct 794 u = 1.6x run-rate; we anchor to run-rate (405 u).</t>
        </is>
      </c>
    </row>
    <row r="51" ht="30" customHeight="1">
      <c r="A51" s="8" t="n">
        <v>48</v>
      </c>
      <c r="B51" s="9" t="inlineStr">
        <is>
          <t>Wing Tote</t>
        </is>
      </c>
      <c r="C51" s="9" t="inlineStr">
        <is>
          <t>Bags and Backpacks</t>
        </is>
      </c>
      <c r="D51" s="10" t="n">
        <v>2</v>
      </c>
      <c r="E51" s="10" t="n">
        <v>337</v>
      </c>
      <c r="F51" s="10" t="n">
        <v>372</v>
      </c>
      <c r="G51" s="10" t="n">
        <v>35</v>
      </c>
      <c r="H51" s="10" t="n">
        <v>320</v>
      </c>
      <c r="I51" s="10" t="n">
        <v>406</v>
      </c>
      <c r="J51" s="10" t="n">
        <v>86</v>
      </c>
      <c r="K51" s="10" t="n">
        <v>719477</v>
      </c>
      <c r="L51" s="10" t="n">
        <v>785579</v>
      </c>
      <c r="M51" s="7" t="inlineStr">
        <is>
          <t>Base 369 u/mo (Jul+Aug'26 run-rate); Bags and Backpacks festive x1.09 Oct / x1.24 Nov. In line with team (their Oct 337 vs our 372 u). Nov&gt;Oct (bags peak in Nov'25); team used flat -5%. Event-led (Sep-HPS 4x base) — held at base, no HPS in Oct/Nov.</t>
        </is>
      </c>
    </row>
    <row r="52" ht="30" customHeight="1">
      <c r="A52" s="4" t="n">
        <v>49</v>
      </c>
      <c r="B52" s="5" t="inlineStr">
        <is>
          <t>Pivot Meridian</t>
        </is>
      </c>
      <c r="C52" s="5" t="inlineStr">
        <is>
          <t>Bags and Backpacks</t>
        </is>
      </c>
      <c r="D52" s="6" t="n">
        <v>5</v>
      </c>
      <c r="E52" s="6" t="n">
        <v>158</v>
      </c>
      <c r="F52" s="6" t="n">
        <v>96</v>
      </c>
      <c r="G52" s="6" t="n">
        <v>-62</v>
      </c>
      <c r="H52" s="6" t="n">
        <v>150</v>
      </c>
      <c r="I52" s="6" t="n">
        <v>103</v>
      </c>
      <c r="J52" s="6" t="n">
        <v>-47</v>
      </c>
      <c r="K52" s="6" t="n">
        <v>784063</v>
      </c>
      <c r="L52" s="6" t="n">
        <v>618687</v>
      </c>
      <c r="M52" s="7" t="inlineStr">
        <is>
          <t>Base 92 u/mo (Jul+Aug'26 run-rate); Bags and Backpacks festive x1.09 Oct / x1.24 Nov. Team OVER-planned: their Oct 158 u = 1.7x run-rate; we anchor to run-rate (96 u). Nov&gt;Oct (bags peak in Nov'25); team used flat -5%.</t>
        </is>
      </c>
    </row>
    <row r="53" ht="30" customHeight="1">
      <c r="A53" s="8" t="n">
        <v>50</v>
      </c>
      <c r="B53" s="9" t="inlineStr">
        <is>
          <t>Nimbus MagSafe</t>
        </is>
      </c>
      <c r="C53" s="9" t="inlineStr">
        <is>
          <t>Cases And Sleeves</t>
        </is>
      </c>
      <c r="D53" s="10" t="n">
        <v>15</v>
      </c>
      <c r="E53" s="10" t="n">
        <v>0</v>
      </c>
      <c r="F53" s="10" t="n">
        <v>853</v>
      </c>
      <c r="G53" s="10" t="n">
        <v>853</v>
      </c>
      <c r="H53" s="10" t="n">
        <v>0</v>
      </c>
      <c r="I53" s="10" t="n">
        <v>711</v>
      </c>
      <c r="J53" s="10" t="n">
        <v>711</v>
      </c>
      <c r="K53" s="10" t="n">
        <v>0</v>
      </c>
      <c r="L53" s="10" t="n">
        <v>782609</v>
      </c>
      <c r="M53" s="7" t="inlineStr">
        <is>
          <t>Base 657 u/mo (Jul+Aug'26 run-rate); Cases And Sleeves festive x1.40 Oct / x1.21 Nov. TEAM OMITTED (planned 0) — we carry 853 u from live run-rate. Cases ease Oct-&gt;Nov (gifting front-loads to Oct); team used flat -5%.</t>
        </is>
      </c>
    </row>
    <row r="54" ht="30" customHeight="1">
      <c r="A54" s="4" t="n">
        <v>51</v>
      </c>
      <c r="B54" s="5" t="inlineStr">
        <is>
          <t>Nimbus Coloured</t>
        </is>
      </c>
      <c r="C54" s="5" t="inlineStr">
        <is>
          <t>Cases And Sleeves</t>
        </is>
      </c>
      <c r="D54" s="6" t="n">
        <v>23</v>
      </c>
      <c r="E54" s="6" t="n">
        <v>0</v>
      </c>
      <c r="F54" s="6" t="n">
        <v>934</v>
      </c>
      <c r="G54" s="6" t="n">
        <v>934</v>
      </c>
      <c r="H54" s="6" t="n">
        <v>0</v>
      </c>
      <c r="I54" s="6" t="n">
        <v>779</v>
      </c>
      <c r="J54" s="6" t="n">
        <v>779</v>
      </c>
      <c r="K54" s="6" t="n">
        <v>0</v>
      </c>
      <c r="L54" s="6" t="n">
        <v>746016</v>
      </c>
      <c r="M54" s="7" t="inlineStr">
        <is>
          <t>Base 716 u/mo (Jul+Aug'26 run-rate); Cases And Sleeves festive x1.40 Oct / x1.21 Nov. TEAM OMITTED (planned 0) — we carry 934 u from live run-rate. Cases ease Oct-&gt;Nov (gifting front-loads to Oct); team used flat -5%.</t>
        </is>
      </c>
    </row>
    <row r="55" ht="30" customHeight="1">
      <c r="A55" s="8" t="n">
        <v>52</v>
      </c>
      <c r="B55" s="9" t="inlineStr">
        <is>
          <t>Pivot Lunar Daypack</t>
        </is>
      </c>
      <c r="C55" s="9" t="inlineStr">
        <is>
          <t>Bags and Backpacks</t>
        </is>
      </c>
      <c r="D55" s="10" t="n">
        <v>5</v>
      </c>
      <c r="E55" s="10" t="n">
        <v>224</v>
      </c>
      <c r="F55" s="10" t="n">
        <v>130</v>
      </c>
      <c r="G55" s="10" t="n">
        <v>-94</v>
      </c>
      <c r="H55" s="10" t="n">
        <v>213</v>
      </c>
      <c r="I55" s="10" t="n">
        <v>141</v>
      </c>
      <c r="J55" s="10" t="n">
        <v>-72</v>
      </c>
      <c r="K55" s="10" t="n">
        <v>725061</v>
      </c>
      <c r="L55" s="10" t="n">
        <v>487879</v>
      </c>
      <c r="M55" s="7" t="inlineStr">
        <is>
          <t>Base 126 u/mo (Jul+Aug'26 run-rate); Bags and Backpacks festive x1.09 Oct / x1.24 Nov. Team OVER-planned: their Oct 224 u = 1.8x run-rate; we anchor to run-rate (130 u). Nov&gt;Oct (bags peak in Nov'25); team used flat -5%.</t>
        </is>
      </c>
    </row>
    <row r="56" ht="30" customHeight="1">
      <c r="A56" s="4" t="n">
        <v>53</v>
      </c>
      <c r="B56" s="5" t="inlineStr">
        <is>
          <t>9 to 9 Backpack</t>
        </is>
      </c>
      <c r="C56" s="5" t="inlineStr">
        <is>
          <t>Bags and Backpacks</t>
        </is>
      </c>
      <c r="D56" s="6" t="n">
        <v>8</v>
      </c>
      <c r="E56" s="6" t="n">
        <v>248</v>
      </c>
      <c r="F56" s="6" t="n">
        <v>246</v>
      </c>
      <c r="G56" s="6" t="n">
        <v>-2</v>
      </c>
      <c r="H56" s="6" t="n">
        <v>235</v>
      </c>
      <c r="I56" s="6" t="n">
        <v>266</v>
      </c>
      <c r="J56" s="6" t="n">
        <v>31</v>
      </c>
      <c r="K56" s="6" t="n">
        <v>623239</v>
      </c>
      <c r="L56" s="6" t="n">
        <v>709745</v>
      </c>
      <c r="M56" s="7" t="inlineStr">
        <is>
          <t>Base 240 u/mo (Jul+Aug'26 run-rate); Bags and Backpacks festive x1.09 Oct / x1.24 Nov. In line with team (their Oct 248 vs our 246 u). Nov&gt;Oct (bags peak in Nov'25); team used flat -5%.</t>
        </is>
      </c>
    </row>
    <row r="57" ht="30" customHeight="1">
      <c r="A57" s="8" t="n">
        <v>54</v>
      </c>
      <c r="B57" s="9" t="inlineStr">
        <is>
          <t>MagSafe Card Wallet</t>
        </is>
      </c>
      <c r="C57" s="9" t="inlineStr">
        <is>
          <t>Accessories</t>
        </is>
      </c>
      <c r="D57" s="10" t="n">
        <v>6</v>
      </c>
      <c r="E57" s="10" t="n">
        <v>539</v>
      </c>
      <c r="F57" s="10" t="n">
        <v>157</v>
      </c>
      <c r="G57" s="10" t="n">
        <v>-382</v>
      </c>
      <c r="H57" s="10" t="n">
        <v>512</v>
      </c>
      <c r="I57" s="10" t="n">
        <v>154</v>
      </c>
      <c r="J57" s="10" t="n">
        <v>-358</v>
      </c>
      <c r="K57" s="10" t="n">
        <v>675229</v>
      </c>
      <c r="L57" s="10" t="n">
        <v>192824</v>
      </c>
      <c r="M57" s="7" t="inlineStr">
        <is>
          <t>Base 202 u/mo (Jul+Aug'26 run-rate); Accessories festive x0.83 Oct / x0.84 Nov. Team OVER-planned: their Oct 539 u = 2.7x run-rate; we anchor to run-rate (157 u).</t>
        </is>
      </c>
    </row>
    <row r="58" ht="30" customHeight="1">
      <c r="A58" s="4" t="n">
        <v>55</v>
      </c>
      <c r="B58" s="5" t="inlineStr">
        <is>
          <t>Reflex MagSafe</t>
        </is>
      </c>
      <c r="C58" s="5" t="inlineStr">
        <is>
          <t>Cases And Sleeves</t>
        </is>
      </c>
      <c r="D58" s="6" t="n">
        <v>11</v>
      </c>
      <c r="E58" s="6" t="n">
        <v>569</v>
      </c>
      <c r="F58" s="6" t="n">
        <v>549</v>
      </c>
      <c r="G58" s="6" t="n">
        <v>-20</v>
      </c>
      <c r="H58" s="6" t="n">
        <v>541</v>
      </c>
      <c r="I58" s="6" t="n">
        <v>456</v>
      </c>
      <c r="J58" s="6" t="n">
        <v>-85</v>
      </c>
      <c r="K58" s="6" t="n">
        <v>666922</v>
      </c>
      <c r="L58" s="6" t="n">
        <v>602330</v>
      </c>
      <c r="M58" s="7" t="inlineStr">
        <is>
          <t>Base 420 u/mo (Jul+Aug'26 run-rate); Cases And Sleeves festive x1.40 Oct / x1.21 Nov. In line with team (their Oct 569 vs our 549 u). Cases ease Oct-&gt;Nov (gifting front-loads to Oct); team used flat -5%.</t>
        </is>
      </c>
    </row>
    <row r="59" ht="30" customHeight="1">
      <c r="A59" s="8" t="n">
        <v>56</v>
      </c>
      <c r="B59" s="9" t="inlineStr">
        <is>
          <t>Taxi Organiser</t>
        </is>
      </c>
      <c r="C59" s="9" t="inlineStr">
        <is>
          <t>Home Office</t>
        </is>
      </c>
      <c r="D59" s="10" t="n">
        <v>17</v>
      </c>
      <c r="E59" s="10" t="n">
        <v>660</v>
      </c>
      <c r="F59" s="10" t="n">
        <v>489</v>
      </c>
      <c r="G59" s="10" t="n">
        <v>-171</v>
      </c>
      <c r="H59" s="10" t="n">
        <v>627</v>
      </c>
      <c r="I59" s="10" t="n">
        <v>526</v>
      </c>
      <c r="J59" s="10" t="n">
        <v>-101</v>
      </c>
      <c r="K59" s="10" t="n">
        <v>662013</v>
      </c>
      <c r="L59" s="10" t="n">
        <v>509077</v>
      </c>
      <c r="M59" s="7" t="inlineStr">
        <is>
          <t>Base 548 u/mo (Jul+Aug'26 run-rate); Home Office festive x0.95 Oct / x1.07 Nov. In line with team (their Oct 660 vs our 489 u). Event-led (Sep-HPS 4x base) — held at base, no HPS in Oct/Nov.</t>
        </is>
      </c>
    </row>
    <row r="60" ht="30" customHeight="1">
      <c r="A60" s="4" t="n">
        <v>57</v>
      </c>
      <c r="B60" s="5" t="inlineStr">
        <is>
          <t>Dome Airpods</t>
        </is>
      </c>
      <c r="C60" s="5" t="inlineStr">
        <is>
          <t>Cases And Sleeves</t>
        </is>
      </c>
      <c r="D60" s="6" t="n">
        <v>11</v>
      </c>
      <c r="E60" s="6" t="n">
        <v>452</v>
      </c>
      <c r="F60" s="6" t="n">
        <v>253</v>
      </c>
      <c r="G60" s="6" t="n">
        <v>-199</v>
      </c>
      <c r="H60" s="6" t="n">
        <v>430</v>
      </c>
      <c r="I60" s="6" t="n">
        <v>212</v>
      </c>
      <c r="J60" s="6" t="n">
        <v>-218</v>
      </c>
      <c r="K60" s="6" t="n">
        <v>656728</v>
      </c>
      <c r="L60" s="6" t="n">
        <v>347503</v>
      </c>
      <c r="M60" s="7" t="inlineStr">
        <is>
          <t>Base 192 u/mo (Jul+Aug'26 run-rate); Cases And Sleeves festive x1.40 Oct / x1.21 Nov. Team OVER-planned: their Oct 452 u = 2.4x run-rate; we anchor to run-rate (253 u). Cases ease Oct-&gt;Nov (gifting front-loads to Oct); team used flat -5%.</t>
        </is>
      </c>
    </row>
    <row r="61" ht="30" customHeight="1">
      <c r="A61" s="8" t="n">
        <v>58</v>
      </c>
      <c r="B61" s="9" t="inlineStr">
        <is>
          <t>Pivot Travel Sling</t>
        </is>
      </c>
      <c r="C61" s="9" t="inlineStr">
        <is>
          <t>Accessories</t>
        </is>
      </c>
      <c r="D61" s="10" t="n">
        <v>6</v>
      </c>
      <c r="E61" s="10" t="n">
        <v>393</v>
      </c>
      <c r="F61" s="10" t="n">
        <v>202</v>
      </c>
      <c r="G61" s="10" t="n">
        <v>-191</v>
      </c>
      <c r="H61" s="10" t="n">
        <v>374</v>
      </c>
      <c r="I61" s="10" t="n">
        <v>197</v>
      </c>
      <c r="J61" s="10" t="n">
        <v>-177</v>
      </c>
      <c r="K61" s="10" t="n">
        <v>653055</v>
      </c>
      <c r="L61" s="10" t="n">
        <v>357105</v>
      </c>
      <c r="M61" s="7" t="inlineStr">
        <is>
          <t>Base 260 u/mo (Jul+Aug'26 run-rate); Accessories festive x0.83 Oct / x0.84 Nov. Team OVER-planned: their Oct 393 u = 1.5x run-rate; we anchor to run-rate (202 u). Event-led (Sep-HPS 3x base) — held at base, no HPS in Oct/Nov.</t>
        </is>
      </c>
    </row>
    <row r="62" ht="30" customHeight="1">
      <c r="A62" s="4" t="n">
        <v>59</v>
      </c>
      <c r="B62" s="5" t="inlineStr">
        <is>
          <t>Field Tote</t>
        </is>
      </c>
      <c r="C62" s="5" t="inlineStr">
        <is>
          <t>Bags and Backpacks</t>
        </is>
      </c>
      <c r="D62" s="6" t="n">
        <v>7</v>
      </c>
      <c r="E62" s="6" t="n">
        <v>357</v>
      </c>
      <c r="F62" s="6" t="n">
        <v>300</v>
      </c>
      <c r="G62" s="6" t="n">
        <v>-57</v>
      </c>
      <c r="H62" s="6" t="n">
        <v>340</v>
      </c>
      <c r="I62" s="6" t="n">
        <v>327</v>
      </c>
      <c r="J62" s="6" t="n">
        <v>-13</v>
      </c>
      <c r="K62" s="6" t="n">
        <v>647663</v>
      </c>
      <c r="L62" s="6" t="n">
        <v>563346</v>
      </c>
      <c r="M62" s="7" t="inlineStr">
        <is>
          <t>Base 294 u/mo (Jul+Aug'26 run-rate); Bags and Backpacks festive x1.09 Oct / x1.24 Nov. In line with team (their Oct 357 vs our 300 u). Nov&gt;Oct (bags peak in Nov'25); team used flat -5%. Event-led (Sep-HPS 3x base) — held at base, no HPS in Oct/Nov.</t>
        </is>
      </c>
    </row>
    <row r="63" ht="30" customHeight="1">
      <c r="A63" s="8" t="n">
        <v>60</v>
      </c>
      <c r="B63" s="9" t="inlineStr">
        <is>
          <t>Skipper Sleeve</t>
        </is>
      </c>
      <c r="C63" s="9" t="inlineStr">
        <is>
          <t>Cases And Sleeves</t>
        </is>
      </c>
      <c r="D63" s="10" t="n">
        <v>27</v>
      </c>
      <c r="E63" s="10" t="n">
        <v>346</v>
      </c>
      <c r="F63" s="10" t="n">
        <v>489</v>
      </c>
      <c r="G63" s="10" t="n">
        <v>143</v>
      </c>
      <c r="H63" s="10" t="n">
        <v>328</v>
      </c>
      <c r="I63" s="10" t="n">
        <v>409</v>
      </c>
      <c r="J63" s="10" t="n">
        <v>81</v>
      </c>
      <c r="K63" s="10" t="n">
        <v>455538</v>
      </c>
      <c r="L63" s="10" t="n">
        <v>632671</v>
      </c>
      <c r="M63" s="7" t="inlineStr">
        <is>
          <t>Base 369 u/mo (Jul+Aug'26 run-rate); Cases And Sleeves festive x1.40 Oct / x1.21 Nov. In line with team (their Oct 346 vs our 489 u). Cases ease Oct-&gt;Nov (gifting front-loads to Oct); team used flat -5%.</t>
        </is>
      </c>
    </row>
    <row r="64" ht="30" customHeight="1">
      <c r="A64" s="4" t="n">
        <v>61</v>
      </c>
      <c r="B64" s="5" t="inlineStr">
        <is>
          <t>Folio</t>
        </is>
      </c>
      <c r="C64" s="5" t="inlineStr">
        <is>
          <t>Home Office</t>
        </is>
      </c>
      <c r="D64" s="6" t="n">
        <v>2</v>
      </c>
      <c r="E64" s="6" t="n">
        <v>340</v>
      </c>
      <c r="F64" s="6" t="n">
        <v>311</v>
      </c>
      <c r="G64" s="6" t="n">
        <v>-29</v>
      </c>
      <c r="H64" s="6" t="n">
        <v>323</v>
      </c>
      <c r="I64" s="6" t="n">
        <v>335</v>
      </c>
      <c r="J64" s="6" t="n">
        <v>12</v>
      </c>
      <c r="K64" s="6" t="n">
        <v>614541</v>
      </c>
      <c r="L64" s="6" t="n">
        <v>602787</v>
      </c>
      <c r="M64" s="7" t="inlineStr">
        <is>
          <t>Base 354 u/mo (Jul+Aug'26 run-rate); Home Office festive x0.95 Oct / x1.07 Nov. In line with team (their Oct 340 vs our 311 u).</t>
        </is>
      </c>
    </row>
    <row r="65" ht="30" customHeight="1">
      <c r="A65" s="8" t="n">
        <v>62</v>
      </c>
      <c r="B65" s="9" t="inlineStr">
        <is>
          <t>Fleet</t>
        </is>
      </c>
      <c r="C65" s="9" t="inlineStr">
        <is>
          <t>Bags and Backpacks</t>
        </is>
      </c>
      <c r="D65" s="10" t="n">
        <v>7</v>
      </c>
      <c r="E65" s="10" t="n">
        <v>208</v>
      </c>
      <c r="F65" s="10" t="n">
        <v>142</v>
      </c>
      <c r="G65" s="10" t="n">
        <v>-66</v>
      </c>
      <c r="H65" s="10" t="n">
        <v>198</v>
      </c>
      <c r="I65" s="10" t="n">
        <v>154</v>
      </c>
      <c r="J65" s="10" t="n">
        <v>-44</v>
      </c>
      <c r="K65" s="10" t="n">
        <v>607346</v>
      </c>
      <c r="L65" s="10" t="n">
        <v>415300</v>
      </c>
      <c r="M65" s="7" t="inlineStr">
        <is>
          <t>Base 136 u/mo (Jul+Aug'26 run-rate); Bags and Backpacks festive x1.09 Oct / x1.24 Nov. In line with team (their Oct 208 vs our 142 u). Nov&gt;Oct (bags peak in Nov'25); team used flat -5%.</t>
        </is>
      </c>
    </row>
    <row r="66" ht="30" customHeight="1">
      <c r="A66" s="4" t="n">
        <v>63</v>
      </c>
      <c r="B66" s="5" t="inlineStr">
        <is>
          <t>Track Nylon Watchband</t>
        </is>
      </c>
      <c r="C66" s="5" t="inlineStr">
        <is>
          <t>Accessories</t>
        </is>
      </c>
      <c r="D66" s="6" t="n">
        <v>2</v>
      </c>
      <c r="E66" s="6" t="n">
        <v>240</v>
      </c>
      <c r="F66" s="6" t="n">
        <v>57</v>
      </c>
      <c r="G66" s="6" t="n">
        <v>-183</v>
      </c>
      <c r="H66" s="6" t="n">
        <v>228</v>
      </c>
      <c r="I66" s="6" t="n">
        <v>56</v>
      </c>
      <c r="J66" s="6" t="n">
        <v>-172</v>
      </c>
      <c r="K66" s="6" t="n">
        <v>594383</v>
      </c>
      <c r="L66" s="6" t="n">
        <v>139211</v>
      </c>
      <c r="M66" s="7" t="inlineStr">
        <is>
          <t>Base 74 u/mo (Jul+Aug'26 run-rate); Accessories festive x0.83 Oct / x0.84 Nov. Team OVER-planned: their Oct 240 u = 3.3x run-rate; we anchor to run-rate (57 u).</t>
        </is>
      </c>
    </row>
    <row r="67" ht="30" customHeight="1">
      <c r="A67" s="8" t="n">
        <v>64</v>
      </c>
      <c r="B67" s="9" t="inlineStr">
        <is>
          <t>Pivot Orbit Fanny</t>
        </is>
      </c>
      <c r="C67" s="9" t="inlineStr">
        <is>
          <t>Bags and Backpacks</t>
        </is>
      </c>
      <c r="D67" s="10" t="n">
        <v>5</v>
      </c>
      <c r="E67" s="10" t="n">
        <v>347</v>
      </c>
      <c r="F67" s="10" t="n">
        <v>282</v>
      </c>
      <c r="G67" s="10" t="n">
        <v>-65</v>
      </c>
      <c r="H67" s="10" t="n">
        <v>329</v>
      </c>
      <c r="I67" s="10" t="n">
        <v>308</v>
      </c>
      <c r="J67" s="10" t="n">
        <v>-21</v>
      </c>
      <c r="K67" s="10" t="n">
        <v>587048</v>
      </c>
      <c r="L67" s="10" t="n">
        <v>511521</v>
      </c>
      <c r="M67" s="7" t="inlineStr">
        <is>
          <t>Base 278 u/mo (Jul+Aug'26 run-rate); Bags and Backpacks festive x1.09 Oct / x1.24 Nov. In line with team (their Oct 347 vs our 282 u). Nov&gt;Oct (bags peak in Nov'25); team used flat -5%.</t>
        </is>
      </c>
    </row>
    <row r="68" ht="30" customHeight="1">
      <c r="A68" s="4" t="n">
        <v>65</v>
      </c>
      <c r="B68" s="5" t="inlineStr">
        <is>
          <t>Buoy Tote</t>
        </is>
      </c>
      <c r="C68" s="5" t="inlineStr">
        <is>
          <t>Bags and Backpacks</t>
        </is>
      </c>
      <c r="D68" s="6" t="n">
        <v>7</v>
      </c>
      <c r="E68" s="6" t="n">
        <v>212</v>
      </c>
      <c r="F68" s="6" t="n">
        <v>253</v>
      </c>
      <c r="G68" s="6" t="n">
        <v>41</v>
      </c>
      <c r="H68" s="6" t="n">
        <v>201</v>
      </c>
      <c r="I68" s="6" t="n">
        <v>274</v>
      </c>
      <c r="J68" s="6" t="n">
        <v>73</v>
      </c>
      <c r="K68" s="6" t="n">
        <v>441932</v>
      </c>
      <c r="L68" s="6" t="n">
        <v>574336</v>
      </c>
      <c r="M68" s="7" t="inlineStr">
        <is>
          <t>Base 247 u/mo (Jul+Aug'26 run-rate); Bags and Backpacks festive x1.09 Oct / x1.24 Nov. In line with team (their Oct 212 vs our 253 u). Nov&gt;Oct (bags peak in Nov'25); team used flat -5%.</t>
        </is>
      </c>
    </row>
    <row r="69" ht="30" customHeight="1">
      <c r="A69" s="8" t="n">
        <v>66</v>
      </c>
      <c r="B69" s="9" t="inlineStr">
        <is>
          <t>Pivot Pouch</t>
        </is>
      </c>
      <c r="C69" s="9" t="inlineStr">
        <is>
          <t>Wallet and Pouches</t>
        </is>
      </c>
      <c r="D69" s="10" t="n">
        <v>15</v>
      </c>
      <c r="E69" s="10" t="n">
        <v>495</v>
      </c>
      <c r="F69" s="10" t="n">
        <v>131</v>
      </c>
      <c r="G69" s="10" t="n">
        <v>-364</v>
      </c>
      <c r="H69" s="10" t="n">
        <v>470</v>
      </c>
      <c r="I69" s="10" t="n">
        <v>125</v>
      </c>
      <c r="J69" s="10" t="n">
        <v>-345</v>
      </c>
      <c r="K69" s="10" t="n">
        <v>553585</v>
      </c>
      <c r="L69" s="10" t="n">
        <v>149546</v>
      </c>
      <c r="M69" s="7" t="inlineStr">
        <is>
          <t>Base 243 u/mo (Jul+Aug'26 run-rate); Wallet and Pouches festive x0.55 Oct / x0.55 Nov. Team OVER-planned: their Oct 495 u = 2.0x run-rate; we anchor to run-rate (131 u). Event-led (Sep-HPS 5x base) — held at base, no HPS in Oct/Nov.</t>
        </is>
      </c>
    </row>
    <row r="70" ht="30" customHeight="1">
      <c r="A70" s="4" t="n">
        <v>67</v>
      </c>
      <c r="B70" s="5" t="inlineStr">
        <is>
          <t>Log Bi-Fold</t>
        </is>
      </c>
      <c r="C70" s="5" t="inlineStr">
        <is>
          <t>Wallet and Pouches</t>
        </is>
      </c>
      <c r="D70" s="6" t="n">
        <v>6</v>
      </c>
      <c r="E70" s="6" t="n">
        <v>629</v>
      </c>
      <c r="F70" s="6" t="n">
        <v>116</v>
      </c>
      <c r="G70" s="6" t="n">
        <v>-513</v>
      </c>
      <c r="H70" s="6" t="n">
        <v>597</v>
      </c>
      <c r="I70" s="6" t="n">
        <v>112</v>
      </c>
      <c r="J70" s="6" t="n">
        <v>-485</v>
      </c>
      <c r="K70" s="6" t="n">
        <v>524377</v>
      </c>
      <c r="L70" s="6" t="n">
        <v>86379</v>
      </c>
      <c r="M70" s="7" t="inlineStr">
        <is>
          <t>Base 222 u/mo (Jul+Aug'26 run-rate); Wallet and Pouches festive x0.55 Oct / x0.55 Nov. Team OVER-planned: their Oct 629 u = 2.8x run-rate; we anchor to run-rate (116 u).</t>
        </is>
      </c>
    </row>
    <row r="71" ht="30" customHeight="1">
      <c r="A71" s="8" t="n">
        <v>68</v>
      </c>
      <c r="B71" s="9" t="inlineStr">
        <is>
          <t>Watchband - Steel</t>
        </is>
      </c>
      <c r="C71" s="9" t="inlineStr">
        <is>
          <t>Accessories</t>
        </is>
      </c>
      <c r="D71" s="10" t="n">
        <v>4</v>
      </c>
      <c r="E71" s="10" t="n">
        <v>64</v>
      </c>
      <c r="F71" s="10" t="n">
        <v>64</v>
      </c>
      <c r="G71" s="10" t="n">
        <v>0</v>
      </c>
      <c r="H71" s="10" t="n">
        <v>61</v>
      </c>
      <c r="I71" s="10" t="n">
        <v>63</v>
      </c>
      <c r="J71" s="10" t="n">
        <v>2</v>
      </c>
      <c r="K71" s="10" t="n">
        <v>503950</v>
      </c>
      <c r="L71" s="10" t="n">
        <v>503714</v>
      </c>
      <c r="M71" s="7" t="inlineStr">
        <is>
          <t>Base 82 u/mo (Jul+Aug'26 run-rate); Accessories festive x0.83 Oct / x0.84 Nov. In line with team (their Oct 64 vs our 64 u).</t>
        </is>
      </c>
    </row>
    <row r="72" ht="30" customHeight="1">
      <c r="A72" s="4" t="n">
        <v>69</v>
      </c>
      <c r="B72" s="5" t="inlineStr">
        <is>
          <t>POP Cable</t>
        </is>
      </c>
      <c r="C72" s="5" t="inlineStr">
        <is>
          <t>Accessories</t>
        </is>
      </c>
      <c r="D72" s="6" t="n">
        <v>5</v>
      </c>
      <c r="E72" s="6" t="n">
        <v>523</v>
      </c>
      <c r="F72" s="6" t="n">
        <v>215</v>
      </c>
      <c r="G72" s="6" t="n">
        <v>-308</v>
      </c>
      <c r="H72" s="6" t="n">
        <v>497</v>
      </c>
      <c r="I72" s="6" t="n">
        <v>209</v>
      </c>
      <c r="J72" s="6" t="n">
        <v>-288</v>
      </c>
      <c r="K72" s="6" t="n">
        <v>503426</v>
      </c>
      <c r="L72" s="6" t="n">
        <v>199742</v>
      </c>
      <c r="M72" s="7" t="inlineStr">
        <is>
          <t>Base 278 u/mo (Jul+Aug'26 run-rate); Accessories festive x0.83 Oct / x0.84 Nov. Team OVER-planned: their Oct 523 u = 1.9x run-rate; we anchor to run-rate (215 u). Event-led (Sep-HPS 7x base) — held at base, no HPS in Oct/Nov.</t>
        </is>
      </c>
    </row>
    <row r="73" ht="30" customHeight="1">
      <c r="A73" s="8" t="n">
        <v>70</v>
      </c>
      <c r="B73" s="9" t="inlineStr">
        <is>
          <t>Money Clip</t>
        </is>
      </c>
      <c r="C73" s="9" t="inlineStr">
        <is>
          <t>Accessories</t>
        </is>
      </c>
      <c r="D73" s="10" t="n">
        <v>1</v>
      </c>
      <c r="E73" s="10" t="n">
        <v>103</v>
      </c>
      <c r="F73" s="10" t="n">
        <v>165</v>
      </c>
      <c r="G73" s="10" t="n">
        <v>62</v>
      </c>
      <c r="H73" s="10" t="n">
        <v>98</v>
      </c>
      <c r="I73" s="10" t="n">
        <v>160</v>
      </c>
      <c r="J73" s="10" t="n">
        <v>62</v>
      </c>
      <c r="K73" s="10" t="n">
        <v>288941</v>
      </c>
      <c r="L73" s="10" t="n">
        <v>483351</v>
      </c>
      <c r="M73" s="7" t="inlineStr">
        <is>
          <t>Base 214 u/mo (Jul+Aug'26 run-rate); Accessories festive x0.83 Oct / x0.84 Nov. In line with team (their Oct 103 vs our 165 u).</t>
        </is>
      </c>
    </row>
    <row r="74" ht="30" customHeight="1">
      <c r="A74" s="4" t="n">
        <v>71</v>
      </c>
      <c r="B74" s="5" t="inlineStr">
        <is>
          <t>Stack Grip</t>
        </is>
      </c>
      <c r="C74" s="5" t="inlineStr">
        <is>
          <t>Accessories</t>
        </is>
      </c>
      <c r="D74" s="6" t="n">
        <v>4</v>
      </c>
      <c r="E74" s="6" t="n">
        <v>0</v>
      </c>
      <c r="F74" s="6" t="n">
        <v>328</v>
      </c>
      <c r="G74" s="6" t="n">
        <v>328</v>
      </c>
      <c r="H74" s="6" t="n">
        <v>0</v>
      </c>
      <c r="I74" s="6" t="n">
        <v>318</v>
      </c>
      <c r="J74" s="6" t="n">
        <v>318</v>
      </c>
      <c r="K74" s="6" t="n">
        <v>0</v>
      </c>
      <c r="L74" s="6" t="n">
        <v>478144</v>
      </c>
      <c r="M74" s="7" t="inlineStr">
        <is>
          <t>Base 426 u/mo (Jul+Aug'26 run-rate); Accessories festive x0.83 Oct / x0.84 Nov. TEAM OMITTED (planned 0) — we carry 328 u from live run-rate.</t>
        </is>
      </c>
    </row>
    <row r="75" ht="30" customHeight="1">
      <c r="A75" s="8" t="n">
        <v>72</v>
      </c>
      <c r="B75" s="9" t="inlineStr">
        <is>
          <t>POP Adapter</t>
        </is>
      </c>
      <c r="C75" s="9" t="inlineStr">
        <is>
          <t>Accessories</t>
        </is>
      </c>
      <c r="D75" s="10" t="n">
        <v>7</v>
      </c>
      <c r="E75" s="10" t="n">
        <v>229</v>
      </c>
      <c r="F75" s="10" t="n">
        <v>171</v>
      </c>
      <c r="G75" s="10" t="n">
        <v>-58</v>
      </c>
      <c r="H75" s="10" t="n">
        <v>217</v>
      </c>
      <c r="I75" s="10" t="n">
        <v>166</v>
      </c>
      <c r="J75" s="10" t="n">
        <v>-51</v>
      </c>
      <c r="K75" s="10" t="n">
        <v>461768</v>
      </c>
      <c r="L75" s="10" t="n">
        <v>388619</v>
      </c>
      <c r="M75" s="7" t="inlineStr">
        <is>
          <t>Base 218 u/mo (Jul+Aug'26 run-rate); Accessories festive x0.83 Oct / x0.84 Nov. In line with team (their Oct 229 vs our 171 u). Event-led (Sep-HPS 13x base) — held at base, no HPS in Oct/Nov.</t>
        </is>
      </c>
    </row>
    <row r="76" ht="30" customHeight="1">
      <c r="A76" s="4" t="n">
        <v>73</v>
      </c>
      <c r="B76" s="5" t="inlineStr">
        <is>
          <t>Field Duffle</t>
        </is>
      </c>
      <c r="C76" s="5" t="inlineStr">
        <is>
          <t>Bags and Backpacks</t>
        </is>
      </c>
      <c r="D76" s="6" t="n">
        <v>8</v>
      </c>
      <c r="E76" s="6" t="n">
        <v>160</v>
      </c>
      <c r="F76" s="6" t="n">
        <v>128</v>
      </c>
      <c r="G76" s="6" t="n">
        <v>-32</v>
      </c>
      <c r="H76" s="6" t="n">
        <v>152</v>
      </c>
      <c r="I76" s="6" t="n">
        <v>139</v>
      </c>
      <c r="J76" s="6" t="n">
        <v>-13</v>
      </c>
      <c r="K76" s="6" t="n">
        <v>457169</v>
      </c>
      <c r="L76" s="6" t="n">
        <v>377584</v>
      </c>
      <c r="M76" s="7" t="inlineStr">
        <is>
          <t>Base 122 u/mo (Jul+Aug'26 run-rate); Bags and Backpacks festive x1.09 Oct / x1.24 Nov. In line with team (their Oct 160 vs our 128 u). Nov&gt;Oct (bags peak in Nov'25); team used flat -5%.</t>
        </is>
      </c>
    </row>
    <row r="77" ht="30" customHeight="1">
      <c r="A77" s="8" t="n">
        <v>74</v>
      </c>
      <c r="B77" s="9" t="inlineStr">
        <is>
          <t>Pivot Crossbody</t>
        </is>
      </c>
      <c r="C77" s="9" t="inlineStr">
        <is>
          <t>Accessories</t>
        </is>
      </c>
      <c r="D77" s="10" t="n">
        <v>5</v>
      </c>
      <c r="E77" s="10" t="n">
        <v>233</v>
      </c>
      <c r="F77" s="10" t="n">
        <v>113</v>
      </c>
      <c r="G77" s="10" t="n">
        <v>-120</v>
      </c>
      <c r="H77" s="10" t="n">
        <v>221</v>
      </c>
      <c r="I77" s="10" t="n">
        <v>111</v>
      </c>
      <c r="J77" s="10" t="n">
        <v>-110</v>
      </c>
      <c r="K77" s="10" t="n">
        <v>455583</v>
      </c>
      <c r="L77" s="10" t="n">
        <v>228343</v>
      </c>
      <c r="M77" s="7" t="inlineStr">
        <is>
          <t>Base 146 u/mo (Jul+Aug'26 run-rate); Accessories festive x0.83 Oct / x0.84 Nov. Team OVER-planned: their Oct 233 u = 1.6x run-rate; we anchor to run-rate (113 u). Event-led (Sep-HPS 4x base) — held at base, no HPS in Oct/Nov.</t>
        </is>
      </c>
    </row>
    <row r="78" ht="30" customHeight="1">
      <c r="A78" s="4" t="n">
        <v>75</v>
      </c>
      <c r="B78" s="5" t="inlineStr">
        <is>
          <t>Desk Trio Bundle</t>
        </is>
      </c>
      <c r="C78" s="5" t="inlineStr">
        <is>
          <t>Home Office</t>
        </is>
      </c>
      <c r="D78" s="6" t="n">
        <v>2</v>
      </c>
      <c r="E78" s="6" t="n">
        <v>221</v>
      </c>
      <c r="F78" s="6" t="n">
        <v>218</v>
      </c>
      <c r="G78" s="6" t="n">
        <v>-3</v>
      </c>
      <c r="H78" s="6" t="n">
        <v>210</v>
      </c>
      <c r="I78" s="6" t="n">
        <v>235</v>
      </c>
      <c r="J78" s="6" t="n">
        <v>25</v>
      </c>
      <c r="K78" s="6" t="n">
        <v>433546</v>
      </c>
      <c r="L78" s="6" t="n">
        <v>422892</v>
      </c>
      <c r="M78" s="7" t="inlineStr">
        <is>
          <t>Base 248 u/mo (Jul+Aug'26 run-rate); Home Office festive x0.95 Oct / x1.07 Nov. In line with team (their Oct 221 vs our 218 u). Event-led (Sep-HPS 6x base) — held at base, no HPS in Oct/Nov.</t>
        </is>
      </c>
    </row>
    <row r="79" ht="30" customHeight="1">
      <c r="A79" s="8" t="n">
        <v>76</v>
      </c>
      <c r="B79" s="9" t="inlineStr">
        <is>
          <t>Frosted Clear</t>
        </is>
      </c>
      <c r="C79" s="9" t="inlineStr">
        <is>
          <t>Cases And Sleeves</t>
        </is>
      </c>
      <c r="D79" s="10" t="n">
        <v>13</v>
      </c>
      <c r="E79" s="10" t="n">
        <v>0</v>
      </c>
      <c r="F79" s="10" t="n">
        <v>582</v>
      </c>
      <c r="G79" s="10" t="n">
        <v>582</v>
      </c>
      <c r="H79" s="10" t="n">
        <v>0</v>
      </c>
      <c r="I79" s="10" t="n">
        <v>486</v>
      </c>
      <c r="J79" s="10" t="n">
        <v>486</v>
      </c>
      <c r="K79" s="10" t="n">
        <v>0</v>
      </c>
      <c r="L79" s="10" t="n">
        <v>430904</v>
      </c>
      <c r="M79" s="7" t="inlineStr">
        <is>
          <t>Base 446 u/mo (Jul+Aug'26 run-rate); Cases And Sleeves festive x1.40 Oct / x1.21 Nov. TEAM OMITTED (planned 0) — we carry 582 u from live run-rate. Cases ease Oct-&gt;Nov (gifting front-loads to Oct); team used flat -5%.</t>
        </is>
      </c>
    </row>
    <row r="80" ht="30" customHeight="1">
      <c r="A80" s="4" t="n">
        <v>77</v>
      </c>
      <c r="B80" s="5" t="inlineStr">
        <is>
          <t>Mesa</t>
        </is>
      </c>
      <c r="C80" s="5" t="inlineStr">
        <is>
          <t>Home Office</t>
        </is>
      </c>
      <c r="D80" s="6" t="n">
        <v>5</v>
      </c>
      <c r="E80" s="6" t="n">
        <v>90</v>
      </c>
      <c r="F80" s="6" t="n">
        <v>75</v>
      </c>
      <c r="G80" s="6" t="n">
        <v>-15</v>
      </c>
      <c r="H80" s="6" t="n">
        <v>85</v>
      </c>
      <c r="I80" s="6" t="n">
        <v>81</v>
      </c>
      <c r="J80" s="6" t="n">
        <v>-4</v>
      </c>
      <c r="K80" s="6" t="n">
        <v>391785</v>
      </c>
      <c r="L80" s="6" t="n">
        <v>355350</v>
      </c>
      <c r="M80" s="7" t="inlineStr">
        <is>
          <t>Base 82 u/mo (Jul+Aug'26 run-rate); Home Office festive x0.95 Oct / x1.07 Nov. In line with team (their Oct 90 vs our 75 u).</t>
        </is>
      </c>
    </row>
    <row r="81" ht="30" customHeight="1">
      <c r="A81" s="8" t="n">
        <v>78</v>
      </c>
      <c r="B81" s="9" t="inlineStr">
        <is>
          <t>Sunday Crossbody</t>
        </is>
      </c>
      <c r="C81" s="9" t="inlineStr">
        <is>
          <t>Bags and Backpacks</t>
        </is>
      </c>
      <c r="D81" s="10" t="n">
        <v>9</v>
      </c>
      <c r="E81" s="10" t="n">
        <v>278</v>
      </c>
      <c r="F81" s="10" t="n">
        <v>219</v>
      </c>
      <c r="G81" s="10" t="n">
        <v>-59</v>
      </c>
      <c r="H81" s="10" t="n">
        <v>264</v>
      </c>
      <c r="I81" s="10" t="n">
        <v>237</v>
      </c>
      <c r="J81" s="10" t="n">
        <v>-27</v>
      </c>
      <c r="K81" s="10" t="n">
        <v>371350</v>
      </c>
      <c r="L81" s="10" t="n">
        <v>304146</v>
      </c>
      <c r="M81" s="7" t="inlineStr">
        <is>
          <t>Base 212 u/mo (Jul+Aug'26 run-rate); Bags and Backpacks festive x1.09 Oct / x1.24 Nov. In line with team (their Oct 278 vs our 219 u). Nov&gt;Oct (bags peak in Nov'25); team used flat -5%. Event-led (Sep-HPS 3x base) — held at base, no HPS in Oct/Nov.</t>
        </is>
      </c>
    </row>
    <row r="82" ht="30" customHeight="1">
      <c r="A82" s="4" t="n">
        <v>79</v>
      </c>
      <c r="B82" s="5" t="inlineStr">
        <is>
          <t>Dart Desk Mat</t>
        </is>
      </c>
      <c r="C82" s="5" t="inlineStr">
        <is>
          <t>Home Office</t>
        </is>
      </c>
      <c r="D82" s="6" t="n">
        <v>8</v>
      </c>
      <c r="E82" s="6" t="n">
        <v>214</v>
      </c>
      <c r="F82" s="6" t="n">
        <v>196</v>
      </c>
      <c r="G82" s="6" t="n">
        <v>-18</v>
      </c>
      <c r="H82" s="6" t="n">
        <v>203</v>
      </c>
      <c r="I82" s="6" t="n">
        <v>209</v>
      </c>
      <c r="J82" s="6" t="n">
        <v>6</v>
      </c>
      <c r="K82" s="6" t="n">
        <v>369760</v>
      </c>
      <c r="L82" s="6" t="n">
        <v>338945</v>
      </c>
      <c r="M82" s="7" t="inlineStr">
        <is>
          <t>Base 218 u/mo (Jul+Aug'26 run-rate); Home Office festive x0.95 Oct / x1.07 Nov. In line with team (their Oct 214 vs our 196 u).</t>
        </is>
      </c>
    </row>
    <row r="83" ht="30" customHeight="1">
      <c r="A83" s="8" t="n">
        <v>80</v>
      </c>
      <c r="B83" s="9" t="inlineStr">
        <is>
          <t>System Tote</t>
        </is>
      </c>
      <c r="C83" s="9" t="inlineStr">
        <is>
          <t>Bags and Backpacks</t>
        </is>
      </c>
      <c r="D83" s="10" t="n">
        <v>5</v>
      </c>
      <c r="E83" s="10" t="n">
        <v>101</v>
      </c>
      <c r="F83" s="10" t="n">
        <v>97</v>
      </c>
      <c r="G83" s="10" t="n">
        <v>-4</v>
      </c>
      <c r="H83" s="10" t="n">
        <v>96</v>
      </c>
      <c r="I83" s="10" t="n">
        <v>105</v>
      </c>
      <c r="J83" s="10" t="n">
        <v>9</v>
      </c>
      <c r="K83" s="10" t="n">
        <v>364314</v>
      </c>
      <c r="L83" s="10" t="n">
        <v>358195</v>
      </c>
      <c r="M83" s="7" t="inlineStr">
        <is>
          <t>Base 93 u/mo (Jul+Aug'26 run-rate); Bags and Backpacks festive x1.09 Oct / x1.24 Nov. In line with team (their Oct 101 vs our 97 u). Nov&gt;Oct (bags peak in Nov'25); team used flat -5%.</t>
        </is>
      </c>
    </row>
    <row r="84" ht="30" customHeight="1">
      <c r="A84" s="4" t="n">
        <v>81</v>
      </c>
      <c r="B84" s="5" t="inlineStr">
        <is>
          <t>Vegan Leather Zippered</t>
        </is>
      </c>
      <c r="C84" s="5" t="inlineStr">
        <is>
          <t>Cases And Sleeves</t>
        </is>
      </c>
      <c r="D84" s="6" t="n">
        <v>10</v>
      </c>
      <c r="E84" s="6" t="n">
        <v>303</v>
      </c>
      <c r="F84" s="6" t="n">
        <v>246</v>
      </c>
      <c r="G84" s="6" t="n">
        <v>-57</v>
      </c>
      <c r="H84" s="6" t="n">
        <v>288</v>
      </c>
      <c r="I84" s="6" t="n">
        <v>206</v>
      </c>
      <c r="J84" s="6" t="n">
        <v>-82</v>
      </c>
      <c r="K84" s="6" t="n">
        <v>363392</v>
      </c>
      <c r="L84" s="6" t="n">
        <v>282901</v>
      </c>
      <c r="M84" s="7" t="inlineStr">
        <is>
          <t>Base 186 u/mo (Jul+Aug'26 run-rate); Cases And Sleeves festive x1.40 Oct / x1.21 Nov. In line with team (their Oct 303 vs our 246 u). Cases ease Oct-&gt;Nov (gifting front-loads to Oct); team used flat -5%.</t>
        </is>
      </c>
    </row>
    <row r="85" ht="30" customHeight="1">
      <c r="A85" s="8" t="n">
        <v>82</v>
      </c>
      <c r="B85" s="9" t="inlineStr">
        <is>
          <t>Organiser with Planner</t>
        </is>
      </c>
      <c r="C85" s="9" t="inlineStr">
        <is>
          <t>Home Office</t>
        </is>
      </c>
      <c r="D85" s="10" t="n">
        <v>5</v>
      </c>
      <c r="E85" s="10" t="n">
        <v>103</v>
      </c>
      <c r="F85" s="10" t="n">
        <v>185</v>
      </c>
      <c r="G85" s="10" t="n">
        <v>82</v>
      </c>
      <c r="H85" s="10" t="n">
        <v>97</v>
      </c>
      <c r="I85" s="10" t="n">
        <v>199</v>
      </c>
      <c r="J85" s="10" t="n">
        <v>102</v>
      </c>
      <c r="K85" s="10" t="n">
        <v>190179</v>
      </c>
      <c r="L85" s="10" t="n">
        <v>358787</v>
      </c>
      <c r="M85" s="7" t="inlineStr">
        <is>
          <t>Base 208 u/mo (Jul+Aug'26 run-rate); Home Office festive x0.95 Oct / x1.07 Nov. Team UNDER-planned: their Oct 103 u vs our run-rate-based 185 u.</t>
        </is>
      </c>
    </row>
    <row r="86" ht="30" customHeight="1">
      <c r="A86" s="4" t="n">
        <v>83</v>
      </c>
      <c r="B86" s="5" t="inlineStr">
        <is>
          <t>Pivot Duffle</t>
        </is>
      </c>
      <c r="C86" s="5" t="inlineStr">
        <is>
          <t>Bags and Backpacks</t>
        </is>
      </c>
      <c r="D86" s="6" t="n">
        <v>5</v>
      </c>
      <c r="E86" s="6" t="n">
        <v>65</v>
      </c>
      <c r="F86" s="6" t="n">
        <v>48</v>
      </c>
      <c r="G86" s="6" t="n">
        <v>-17</v>
      </c>
      <c r="H86" s="6" t="n">
        <v>62</v>
      </c>
      <c r="I86" s="6" t="n">
        <v>50</v>
      </c>
      <c r="J86" s="6" t="n">
        <v>-12</v>
      </c>
      <c r="K86" s="6" t="n">
        <v>355154</v>
      </c>
      <c r="L86" s="6" t="n">
        <v>260447</v>
      </c>
      <c r="M86" s="7" t="inlineStr">
        <is>
          <t>Base 44 u/mo (Jul+Aug'26 run-rate); Bags and Backpacks festive x1.09 Oct / x1.24 Nov. In line with team (their Oct 65 vs our 48 u). Nov&gt;Oct (bags peak in Nov'25); team used flat -5%.</t>
        </is>
      </c>
    </row>
    <row r="87" ht="30" customHeight="1">
      <c r="A87" s="8" t="n">
        <v>84</v>
      </c>
      <c r="B87" s="9" t="inlineStr">
        <is>
          <t>Halo 2.0</t>
        </is>
      </c>
      <c r="C87" s="9" t="inlineStr">
        <is>
          <t>Cases And Sleeves</t>
        </is>
      </c>
      <c r="D87" s="10" t="n">
        <v>14</v>
      </c>
      <c r="E87" s="10" t="n">
        <v>0</v>
      </c>
      <c r="F87" s="10" t="n">
        <v>378</v>
      </c>
      <c r="G87" s="10" t="n">
        <v>378</v>
      </c>
      <c r="H87" s="10" t="n">
        <v>0</v>
      </c>
      <c r="I87" s="10" t="n">
        <v>316</v>
      </c>
      <c r="J87" s="10" t="n">
        <v>316</v>
      </c>
      <c r="K87" s="10" t="n">
        <v>0</v>
      </c>
      <c r="L87" s="10" t="n">
        <v>347830</v>
      </c>
      <c r="M87" s="7" t="inlineStr">
        <is>
          <t>Base 288 u/mo (Jul+Aug'26 run-rate); Cases And Sleeves festive x1.40 Oct / x1.21 Nov. TEAM OMITTED (planned 0) — we carry 378 u from live run-rate. Cases ease Oct-&gt;Nov (gifting front-loads to Oct); team used flat -5%.</t>
        </is>
      </c>
    </row>
    <row r="88" ht="30" customHeight="1">
      <c r="A88" s="4" t="n">
        <v>85</v>
      </c>
      <c r="B88" s="5" t="inlineStr">
        <is>
          <t>Keychain</t>
        </is>
      </c>
      <c r="C88" s="5" t="inlineStr">
        <is>
          <t>Travel</t>
        </is>
      </c>
      <c r="D88" s="6" t="n">
        <v>11</v>
      </c>
      <c r="E88" s="6" t="n">
        <v>858</v>
      </c>
      <c r="F88" s="6" t="n">
        <v>473</v>
      </c>
      <c r="G88" s="6" t="n">
        <v>-385</v>
      </c>
      <c r="H88" s="6" t="n">
        <v>815</v>
      </c>
      <c r="I88" s="6" t="n">
        <v>523</v>
      </c>
      <c r="J88" s="6" t="n">
        <v>-292</v>
      </c>
      <c r="K88" s="6" t="n">
        <v>343813</v>
      </c>
      <c r="L88" s="6" t="n">
        <v>218932</v>
      </c>
      <c r="M88" s="7" t="inlineStr">
        <is>
          <t>Base 672 u/mo (Jul+Aug'26 run-rate); Travel festive x0.75 Oct / x0.87 Nov. Team OVER-planned: their Oct 858 u = 1.3x run-rate; we anchor to run-rate (473 u). Event-led (Sep-HPS 3x base) — held at base, no HPS in Oct/Nov.</t>
        </is>
      </c>
    </row>
    <row r="89" ht="30" customHeight="1">
      <c r="A89" s="8" t="n">
        <v>86</v>
      </c>
      <c r="B89" s="9" t="inlineStr">
        <is>
          <t>Keychain</t>
        </is>
      </c>
      <c r="C89" s="9" t="inlineStr">
        <is>
          <t>Home Office</t>
        </is>
      </c>
      <c r="D89" s="10" t="n">
        <v>12</v>
      </c>
      <c r="E89" s="10" t="n">
        <v>858</v>
      </c>
      <c r="F89" s="10" t="n">
        <v>177</v>
      </c>
      <c r="G89" s="10" t="n">
        <v>-681</v>
      </c>
      <c r="H89" s="10" t="n">
        <v>815</v>
      </c>
      <c r="I89" s="10" t="n">
        <v>190</v>
      </c>
      <c r="J89" s="10" t="n">
        <v>-625</v>
      </c>
      <c r="K89" s="10" t="n">
        <v>343813</v>
      </c>
      <c r="L89" s="10" t="n">
        <v>86648</v>
      </c>
      <c r="M89" s="7" t="inlineStr">
        <is>
          <t>Base 196 u/mo (Jul+Aug'26 run-rate); Home Office festive x0.95 Oct / x1.07 Nov. Team OVER-planned: their Oct 858 u = 4.4x run-rate; we anchor to run-rate (177 u). Event-led (Sep-HPS 10x base) — held at base, no HPS in Oct/Nov.</t>
        </is>
      </c>
    </row>
    <row r="90" ht="30" customHeight="1">
      <c r="A90" s="4" t="n">
        <v>87</v>
      </c>
      <c r="B90" s="5" t="inlineStr">
        <is>
          <t>PUFT Laptop Bag</t>
        </is>
      </c>
      <c r="C90" s="5" t="inlineStr">
        <is>
          <t>Cases And Sleeves</t>
        </is>
      </c>
      <c r="D90" s="6" t="n">
        <v>6</v>
      </c>
      <c r="E90" s="6" t="n">
        <v>84</v>
      </c>
      <c r="F90" s="6" t="n">
        <v>138</v>
      </c>
      <c r="G90" s="6" t="n">
        <v>54</v>
      </c>
      <c r="H90" s="6" t="n">
        <v>79</v>
      </c>
      <c r="I90" s="6" t="n">
        <v>115</v>
      </c>
      <c r="J90" s="6" t="n">
        <v>36</v>
      </c>
      <c r="K90" s="6" t="n">
        <v>204514</v>
      </c>
      <c r="L90" s="6" t="n">
        <v>337921</v>
      </c>
      <c r="M90" s="7" t="inlineStr">
        <is>
          <t>Base 105 u/mo (Jul+Aug'26 run-rate); Cases And Sleeves festive x1.40 Oct / x1.21 Nov. In line with team (their Oct 84 vs our 138 u). Cases ease Oct-&gt;Nov (gifting front-loads to Oct); team used flat -5%. Event-led (Sep-HPS 3x base) — held at base, no HPS in Oct/Nov.</t>
        </is>
      </c>
    </row>
    <row r="91" ht="30" customHeight="1">
      <c r="A91" s="8" t="n">
        <v>88</v>
      </c>
      <c r="B91" s="9" t="inlineStr">
        <is>
          <t>Miles Roll Top</t>
        </is>
      </c>
      <c r="C91" s="9" t="inlineStr">
        <is>
          <t>Bags and Backpacks</t>
        </is>
      </c>
      <c r="D91" s="10" t="n">
        <v>7</v>
      </c>
      <c r="E91" s="10" t="n">
        <v>105</v>
      </c>
      <c r="F91" s="10" t="n">
        <v>33</v>
      </c>
      <c r="G91" s="10" t="n">
        <v>-72</v>
      </c>
      <c r="H91" s="10" t="n">
        <v>100</v>
      </c>
      <c r="I91" s="10" t="n">
        <v>34</v>
      </c>
      <c r="J91" s="10" t="n">
        <v>-66</v>
      </c>
      <c r="K91" s="10" t="n">
        <v>331238</v>
      </c>
      <c r="L91" s="10" t="n">
        <v>81948</v>
      </c>
      <c r="M91" s="7" t="inlineStr">
        <is>
          <t>Base 28 u/mo (Jul+Aug'26 run-rate); Bags and Backpacks festive x1.09 Oct / x1.24 Nov. Team OVER-planned: their Oct 105 u = 3.7x run-rate; we anchor to run-rate (33 u). Nov&gt;Oct (bags peak in Nov'25); team used flat -5%.</t>
        </is>
      </c>
    </row>
    <row r="92" ht="30" customHeight="1">
      <c r="A92" s="4" t="n">
        <v>89</v>
      </c>
      <c r="B92" s="5" t="inlineStr">
        <is>
          <t>Field Daypack</t>
        </is>
      </c>
      <c r="C92" s="5" t="inlineStr">
        <is>
          <t>Bags and Backpacks</t>
        </is>
      </c>
      <c r="D92" s="6" t="n">
        <v>8</v>
      </c>
      <c r="E92" s="6" t="n">
        <v>136</v>
      </c>
      <c r="F92" s="6" t="n">
        <v>121</v>
      </c>
      <c r="G92" s="6" t="n">
        <v>-15</v>
      </c>
      <c r="H92" s="6" t="n">
        <v>129</v>
      </c>
      <c r="I92" s="6" t="n">
        <v>130</v>
      </c>
      <c r="J92" s="6" t="n">
        <v>1</v>
      </c>
      <c r="K92" s="6" t="n">
        <v>311351</v>
      </c>
      <c r="L92" s="6" t="n">
        <v>291591</v>
      </c>
      <c r="M92" s="7" t="inlineStr">
        <is>
          <t>Base 115 u/mo (Jul+Aug'26 run-rate); Bags and Backpacks festive x1.09 Oct / x1.24 Nov. In line with team (their Oct 136 vs our 121 u). Nov&gt;Oct (bags peak in Nov'25); team used flat -5%. Event-led (Sep-HPS 4x base) — held at base, no HPS in Oct/Nov.</t>
        </is>
      </c>
    </row>
    <row r="93" ht="30" customHeight="1">
      <c r="A93" s="8" t="n">
        <v>90</v>
      </c>
      <c r="B93" s="9" t="inlineStr">
        <is>
          <t>Cirque</t>
        </is>
      </c>
      <c r="C93" s="9" t="inlineStr">
        <is>
          <t>Home Office</t>
        </is>
      </c>
      <c r="D93" s="10" t="n">
        <v>5</v>
      </c>
      <c r="E93" s="10" t="n">
        <v>118</v>
      </c>
      <c r="F93" s="10" t="n">
        <v>102</v>
      </c>
      <c r="G93" s="10" t="n">
        <v>-16</v>
      </c>
      <c r="H93" s="10" t="n">
        <v>113</v>
      </c>
      <c r="I93" s="10" t="n">
        <v>110</v>
      </c>
      <c r="J93" s="10" t="n">
        <v>-3</v>
      </c>
      <c r="K93" s="10" t="n">
        <v>311064</v>
      </c>
      <c r="L93" s="10" t="n">
        <v>291905</v>
      </c>
      <c r="M93" s="7" t="inlineStr">
        <is>
          <t>Base 114 u/mo (Jul+Aug'26 run-rate); Home Office festive x0.95 Oct / x1.07 Nov. In line with team (their Oct 118 vs our 102 u).</t>
        </is>
      </c>
    </row>
    <row r="94" ht="30" customHeight="1">
      <c r="A94" s="4" t="n">
        <v>91</v>
      </c>
      <c r="B94" s="5" t="inlineStr">
        <is>
          <t>Square Pouch</t>
        </is>
      </c>
      <c r="C94" s="5" t="inlineStr">
        <is>
          <t>Wallet and Pouches</t>
        </is>
      </c>
      <c r="D94" s="6" t="n">
        <v>4</v>
      </c>
      <c r="E94" s="6" t="n">
        <v>516</v>
      </c>
      <c r="F94" s="6" t="n">
        <v>214</v>
      </c>
      <c r="G94" s="6" t="n">
        <v>-302</v>
      </c>
      <c r="H94" s="6" t="n">
        <v>490</v>
      </c>
      <c r="I94" s="6" t="n">
        <v>205</v>
      </c>
      <c r="J94" s="6" t="n">
        <v>-285</v>
      </c>
      <c r="K94" s="6" t="n">
        <v>309746</v>
      </c>
      <c r="L94" s="6" t="n">
        <v>125560</v>
      </c>
      <c r="M94" s="7" t="inlineStr">
        <is>
          <t>Base 418 u/mo (Jul+Aug'26 run-rate); Wallet and Pouches festive x0.55 Oct / x0.55 Nov. Team OVER-planned: their Oct 516 u = 1.2x run-rate; we anchor to run-rate (214 u).</t>
        </is>
      </c>
    </row>
    <row r="95" ht="30" customHeight="1">
      <c r="A95" s="8" t="n">
        <v>92</v>
      </c>
      <c r="B95" s="9" t="inlineStr">
        <is>
          <t>Bar Desk Organiser</t>
        </is>
      </c>
      <c r="C95" s="9" t="inlineStr">
        <is>
          <t>Home Office</t>
        </is>
      </c>
      <c r="D95" s="10" t="n">
        <v>8</v>
      </c>
      <c r="E95" s="10" t="n">
        <v>0</v>
      </c>
      <c r="F95" s="10" t="n">
        <v>81</v>
      </c>
      <c r="G95" s="10" t="n">
        <v>81</v>
      </c>
      <c r="H95" s="10" t="n">
        <v>0</v>
      </c>
      <c r="I95" s="10" t="n">
        <v>86</v>
      </c>
      <c r="J95" s="10" t="n">
        <v>86</v>
      </c>
      <c r="K95" s="10" t="n">
        <v>0</v>
      </c>
      <c r="L95" s="10" t="n">
        <v>304647</v>
      </c>
      <c r="M95" s="7" t="inlineStr">
        <is>
          <t>Base 87 u/mo (Jul+Aug'26 run-rate); Home Office festive x0.95 Oct / x1.07 Nov. TEAM OMITTED (planned 0) — we carry 81 u from live run-rate.</t>
        </is>
      </c>
    </row>
    <row r="96" ht="30" customHeight="1">
      <c r="A96" s="4" t="n">
        <v>93</v>
      </c>
      <c r="B96" s="5" t="inlineStr">
        <is>
          <t>Convertible Totepack</t>
        </is>
      </c>
      <c r="C96" s="5" t="inlineStr">
        <is>
          <t>Bags and Backpacks</t>
        </is>
      </c>
      <c r="D96" s="6" t="n">
        <v>3</v>
      </c>
      <c r="E96" s="6" t="n">
        <v>98</v>
      </c>
      <c r="F96" s="6" t="n">
        <v>16</v>
      </c>
      <c r="G96" s="6" t="n">
        <v>-82</v>
      </c>
      <c r="H96" s="6" t="n">
        <v>93</v>
      </c>
      <c r="I96" s="6" t="n">
        <v>17</v>
      </c>
      <c r="J96" s="6" t="n">
        <v>-76</v>
      </c>
      <c r="K96" s="6" t="n">
        <v>289500</v>
      </c>
      <c r="L96" s="6" t="n">
        <v>39658</v>
      </c>
      <c r="M96" s="7" t="inlineStr">
        <is>
          <t>Base 14 u/mo (Jul+Aug'26 run-rate); Bags and Backpacks festive x1.09 Oct / x1.24 Nov. Team OVER-planned: their Oct 98 u = 7.0x run-rate; we anchor to run-rate (16 u). Nov&gt;Oct (bags peak in Nov'25); team used flat -5%. Event-led (Sep-HPS 14x base) — held at base, no HPS in Oct/Nov.</t>
        </is>
      </c>
    </row>
    <row r="97" ht="30" customHeight="1">
      <c r="A97" s="8" t="n">
        <v>94</v>
      </c>
      <c r="B97" s="9" t="inlineStr">
        <is>
          <t>Conoid</t>
        </is>
      </c>
      <c r="C97" s="9" t="inlineStr">
        <is>
          <t>Accessories</t>
        </is>
      </c>
      <c r="D97" s="10" t="n">
        <v>1</v>
      </c>
      <c r="E97" s="10" t="n">
        <v>50</v>
      </c>
      <c r="F97" s="10" t="n">
        <v>65</v>
      </c>
      <c r="G97" s="10" t="n">
        <v>15</v>
      </c>
      <c r="H97" s="10" t="n">
        <v>48</v>
      </c>
      <c r="I97" s="10" t="n">
        <v>63</v>
      </c>
      <c r="J97" s="10" t="n">
        <v>15</v>
      </c>
      <c r="K97" s="10" t="n">
        <v>219380</v>
      </c>
      <c r="L97" s="10" t="n">
        <v>278431</v>
      </c>
      <c r="M97" s="7" t="inlineStr">
        <is>
          <t>Base 84 u/mo (Jul+Aug'26 run-rate); Accessories festive x0.83 Oct / x0.84 Nov. In line with team (their Oct 50 vs our 65 u).</t>
        </is>
      </c>
    </row>
    <row r="98" ht="30" customHeight="1">
      <c r="A98" s="4" t="n">
        <v>95</v>
      </c>
      <c r="B98" s="5" t="inlineStr">
        <is>
          <t>Pivot Classic Tote</t>
        </is>
      </c>
      <c r="C98" s="5" t="inlineStr">
        <is>
          <t>Bags and Backpacks</t>
        </is>
      </c>
      <c r="D98" s="6" t="n">
        <v>5</v>
      </c>
      <c r="E98" s="6" t="n">
        <v>72</v>
      </c>
      <c r="F98" s="6" t="n">
        <v>59</v>
      </c>
      <c r="G98" s="6" t="n">
        <v>-13</v>
      </c>
      <c r="H98" s="6" t="n">
        <v>68</v>
      </c>
      <c r="I98" s="6" t="n">
        <v>64</v>
      </c>
      <c r="J98" s="6" t="n">
        <v>-4</v>
      </c>
      <c r="K98" s="6" t="n">
        <v>275803</v>
      </c>
      <c r="L98" s="6" t="n">
        <v>216869</v>
      </c>
      <c r="M98" s="7" t="inlineStr">
        <is>
          <t>Base 56 u/mo (Jul+Aug'26 run-rate); Bags and Backpacks festive x1.09 Oct / x1.24 Nov. In line with team (their Oct 72 vs our 59 u). Nov&gt;Oct (bags peak in Nov'25); team used flat -5%.</t>
        </is>
      </c>
    </row>
    <row r="99" ht="30" customHeight="1">
      <c r="A99" s="8" t="n">
        <v>96</v>
      </c>
      <c r="B99" s="9" t="inlineStr">
        <is>
          <t>Check-in Passport Wallet</t>
        </is>
      </c>
      <c r="C99" s="9" t="inlineStr">
        <is>
          <t>Travel</t>
        </is>
      </c>
      <c r="D99" s="10" t="n">
        <v>5</v>
      </c>
      <c r="E99" s="10" t="n">
        <v>301</v>
      </c>
      <c r="F99" s="10" t="n">
        <v>180</v>
      </c>
      <c r="G99" s="10" t="n">
        <v>-121</v>
      </c>
      <c r="H99" s="10" t="n">
        <v>286</v>
      </c>
      <c r="I99" s="10" t="n">
        <v>200</v>
      </c>
      <c r="J99" s="10" t="n">
        <v>-86</v>
      </c>
      <c r="K99" s="10" t="n">
        <v>275441</v>
      </c>
      <c r="L99" s="10" t="n">
        <v>173150</v>
      </c>
      <c r="M99" s="7" t="inlineStr">
        <is>
          <t>Base 256 u/mo (Jul+Aug'26 run-rate); Travel festive x0.75 Oct / x0.87 Nov. Team OVER-planned: their Oct 301 u = 1.2x run-rate; we anchor to run-rate (180 u).</t>
        </is>
      </c>
    </row>
    <row r="100" ht="30" customHeight="1">
      <c r="A100" s="4" t="n">
        <v>97</v>
      </c>
      <c r="B100" s="5" t="inlineStr">
        <is>
          <t>Pivot Briefpack</t>
        </is>
      </c>
      <c r="C100" s="5" t="inlineStr">
        <is>
          <t>Bags and Backpacks</t>
        </is>
      </c>
      <c r="D100" s="6" t="n">
        <v>5</v>
      </c>
      <c r="E100" s="6" t="n">
        <v>66</v>
      </c>
      <c r="F100" s="6" t="n">
        <v>45</v>
      </c>
      <c r="G100" s="6" t="n">
        <v>-21</v>
      </c>
      <c r="H100" s="6" t="n">
        <v>62</v>
      </c>
      <c r="I100" s="6" t="n">
        <v>47</v>
      </c>
      <c r="J100" s="6" t="n">
        <v>-15</v>
      </c>
      <c r="K100" s="6" t="n">
        <v>272973</v>
      </c>
      <c r="L100" s="6" t="n">
        <v>216884</v>
      </c>
      <c r="M100" s="7" t="inlineStr">
        <is>
          <t>Base 41 u/mo (Jul+Aug'26 run-rate); Bags and Backpacks festive x1.09 Oct / x1.24 Nov. In line with team (their Oct 66 vs our 45 u). Nov&gt;Oct (bags peak in Nov'25); team used flat -5%.</t>
        </is>
      </c>
    </row>
    <row r="101" ht="30" customHeight="1">
      <c r="A101" s="8" t="n">
        <v>98</v>
      </c>
      <c r="B101" s="9" t="inlineStr">
        <is>
          <t>PUFT Oversized Tote</t>
        </is>
      </c>
      <c r="C101" s="9" t="inlineStr">
        <is>
          <t>Bags and Backpacks</t>
        </is>
      </c>
      <c r="D101" s="10" t="n">
        <v>5</v>
      </c>
      <c r="E101" s="10" t="n">
        <v>53</v>
      </c>
      <c r="F101" s="10" t="n">
        <v>71</v>
      </c>
      <c r="G101" s="10" t="n">
        <v>18</v>
      </c>
      <c r="H101" s="10" t="n">
        <v>50</v>
      </c>
      <c r="I101" s="10" t="n">
        <v>76</v>
      </c>
      <c r="J101" s="10" t="n">
        <v>26</v>
      </c>
      <c r="K101" s="10" t="n">
        <v>204307</v>
      </c>
      <c r="L101" s="10" t="n">
        <v>271490</v>
      </c>
      <c r="M101" s="7" t="inlineStr">
        <is>
          <t>Base 68 u/mo (Jul+Aug'26 run-rate); Bags and Backpacks festive x1.09 Oct / x1.24 Nov. In line with team (their Oct 53 vs our 71 u). Nov&gt;Oct (bags peak in Nov'25); team used flat -5%. Event-led (Sep-HPS 4x base) — held at base, no HPS in Oct/Nov.</t>
        </is>
      </c>
    </row>
    <row r="102" ht="30" customHeight="1">
      <c r="A102" s="4" t="n">
        <v>99</v>
      </c>
      <c r="B102" s="5" t="inlineStr">
        <is>
          <t>Leather Tray</t>
        </is>
      </c>
      <c r="C102" s="5" t="inlineStr">
        <is>
          <t>Home Office</t>
        </is>
      </c>
      <c r="D102" s="6" t="n">
        <v>2</v>
      </c>
      <c r="E102" s="6" t="n">
        <v>406</v>
      </c>
      <c r="F102" s="6" t="n">
        <v>210</v>
      </c>
      <c r="G102" s="6" t="n">
        <v>-196</v>
      </c>
      <c r="H102" s="6" t="n">
        <v>385</v>
      </c>
      <c r="I102" s="6" t="n">
        <v>227</v>
      </c>
      <c r="J102" s="6" t="n">
        <v>-158</v>
      </c>
      <c r="K102" s="6" t="n">
        <v>267343</v>
      </c>
      <c r="L102" s="6" t="n">
        <v>139083</v>
      </c>
      <c r="M102" s="7" t="inlineStr">
        <is>
          <t>Base 240 u/mo (Jul+Aug'26 run-rate); Home Office festive x0.95 Oct / x1.07 Nov. Team OVER-planned: their Oct 406 u = 1.7x run-rate; we anchor to run-rate (210 u). Event-led (Sep-HPS 4x base) — held at base, no HPS in Oct/Nov.</t>
        </is>
      </c>
    </row>
    <row r="103" ht="30" customHeight="1">
      <c r="A103" s="8" t="n">
        <v>100</v>
      </c>
      <c r="B103" s="9" t="inlineStr">
        <is>
          <t>All Time Tote</t>
        </is>
      </c>
      <c r="C103" s="9" t="inlineStr">
        <is>
          <t>Bags and Backpacks</t>
        </is>
      </c>
      <c r="D103" s="10" t="n">
        <v>6</v>
      </c>
      <c r="E103" s="10" t="n">
        <v>110</v>
      </c>
      <c r="F103" s="10" t="n">
        <v>128</v>
      </c>
      <c r="G103" s="10" t="n">
        <v>18</v>
      </c>
      <c r="H103" s="10" t="n">
        <v>105</v>
      </c>
      <c r="I103" s="10" t="n">
        <v>138</v>
      </c>
      <c r="J103" s="10" t="n">
        <v>33</v>
      </c>
      <c r="K103" s="10" t="n">
        <v>215241</v>
      </c>
      <c r="L103" s="10" t="n">
        <v>254657</v>
      </c>
      <c r="M103" s="7" t="inlineStr">
        <is>
          <t>Base 124 u/mo (Jul+Aug'26 run-rate); Bags and Backpacks festive x1.09 Oct / x1.24 Nov. In line with team (their Oct 110 vs our 128 u). Nov&gt;Oct (bags peak in Nov'25); team used flat -5%.</t>
        </is>
      </c>
    </row>
    <row r="104">
      <c r="B104" s="11" t="inlineStr">
        <is>
          <t>TOP-100 TOTAL</t>
        </is>
      </c>
      <c r="E104" s="12" t="n">
        <v>54241</v>
      </c>
      <c r="F104" s="12" t="n">
        <v>64020</v>
      </c>
      <c r="G104" s="12" t="n">
        <v>9779</v>
      </c>
      <c r="H104" s="12" t="n">
        <v>51525</v>
      </c>
      <c r="I104" s="12" t="n">
        <v>59872</v>
      </c>
      <c r="J104" s="12" t="n">
        <v>8347</v>
      </c>
      <c r="K104" s="12" t="n">
        <v>111496637</v>
      </c>
      <c r="L104" s="12" t="n">
        <v>109846427</v>
      </c>
    </row>
  </sheetData>
  <mergeCells count="2">
    <mergeCell ref="A2:M2"/>
    <mergeCell ref="A1:M1"/>
  </mergeCells>
  <conditionalFormatting sqref="G4:G103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J4:J103">
    <cfRule type="cellIs" priority="3" operator="greaterThan" dxfId="0">
      <formula>0</formula>
    </cfRule>
    <cfRule type="cellIs" priority="4" operator="less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2026-09-08T06:21:51Z</dcterms:created>
  <dcterms:modified xsi:type="dcterms:W3CDTF">2026-09-08T06:21:51Z</dcterms:modified>
</cp:coreProperties>
</file>