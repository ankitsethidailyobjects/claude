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Inputs" sheetId="3" state="visible" r:id="rId5"/>
    <sheet name="Site Daily" sheetId="4" state="visible" r:id="rId6"/>
    <sheet name="BYS Daily" sheetId="5" state="visible" r:id="rId7"/>
    <sheet name="CYP Daily" sheetId="6" state="visible" r:id="rId8"/>
    <sheet name="YMAL Daily" sheetId="7" state="visible" r:id="rId9"/>
    <sheet name="Plan by Week" sheetId="8" state="visible" r:id="rId10"/>
    <sheet name="Metric Diction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MoEngage behavior analysis: event add_to_cart, attribute filter referer = identifier (Inputs row 8), granularity day, count = events.</t>
        </r>
      </text>
    </comment>
    <comment ref="J5" authorId="0">
      <text>
        <r>
          <rPr>
            <sz val="10"/>
            <rFont val="Arial"/>
            <family val="2"/>
          </rPr>
          <t xml:space="preserve">Same query with analysis type = users (unique users).</t>
        </r>
      </text>
    </comment>
    <comment ref="O5" authorId="0">
      <text>
        <r>
          <rPr>
            <sz val="10"/>
            <rFont val="Arial"/>
            <family val="2"/>
          </rPr>
          <t xml:space="preserve">MoEngage funnel: step1 add_to_cart (referer filter) -&gt; step2 purchase, window 24h, granularity day, unique users reaching step 2.</t>
        </r>
      </text>
    </comment>
    <comment ref="Q5" authorId="0">
      <text>
        <r>
          <rPr>
            <sz val="10"/>
            <rFont val="Arial"/>
            <family val="2"/>
          </rPr>
          <t xml:space="preserve">MoEngage behavior, analysis type = aggregation, SUM of add_to_cart.value, referer filter.</t>
        </r>
      </text>
    </comment>
    <comment ref="S5" authorId="0">
      <text>
        <r>
          <rPr>
            <sz val="10"/>
            <rFont val="Arial"/>
            <family val="2"/>
          </rPr>
          <t xml:space="preserve">Proxy: converting users x value added per ATC user. Replace with warehouse revenue of order lines added via the widget when available.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MoEngage behavior analysis: event add_to_cart, attribute filter referer = identifier (Inputs row 8), granularity day, count = events.</t>
        </r>
      </text>
    </comment>
    <comment ref="J5" authorId="0">
      <text>
        <r>
          <rPr>
            <sz val="10"/>
            <rFont val="Arial"/>
            <family val="2"/>
          </rPr>
          <t xml:space="preserve">Same query with analysis type = users (unique users).</t>
        </r>
      </text>
    </comment>
    <comment ref="O5" authorId="0">
      <text>
        <r>
          <rPr>
            <sz val="10"/>
            <rFont val="Arial"/>
            <family val="2"/>
          </rPr>
          <t xml:space="preserve">MoEngage funnel: step1 add_to_cart (referer filter) -&gt; step2 purchase, window 24h, granularity day, unique users reaching step 2.</t>
        </r>
      </text>
    </comment>
    <comment ref="Q5" authorId="0">
      <text>
        <r>
          <rPr>
            <sz val="10"/>
            <rFont val="Arial"/>
            <family val="2"/>
          </rPr>
          <t xml:space="preserve">MoEngage behavior, analysis type = aggregation, SUM of add_to_cart.value, referer filter.</t>
        </r>
      </text>
    </comment>
    <comment ref="S5" authorId="0">
      <text>
        <r>
          <rPr>
            <sz val="10"/>
            <rFont val="Arial"/>
            <family val="2"/>
          </rPr>
          <t xml:space="preserve">Proxy: converting users x value added per ATC user. Replace with warehouse revenue of order lines added via the widget when available.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MoEngage behavior analysis: event add_to_cart, attribute filter referer = identifier (Inputs row 8), granularity day, count = events.</t>
        </r>
      </text>
    </comment>
    <comment ref="J5" authorId="0">
      <text>
        <r>
          <rPr>
            <sz val="10"/>
            <rFont val="Arial"/>
            <family val="2"/>
          </rPr>
          <t xml:space="preserve">Same query with analysis type = users (unique users).</t>
        </r>
      </text>
    </comment>
    <comment ref="O5" authorId="0">
      <text>
        <r>
          <rPr>
            <sz val="10"/>
            <rFont val="Arial"/>
            <family val="2"/>
          </rPr>
          <t xml:space="preserve">MoEngage funnel: step1 add_to_cart (referer filter) -&gt; step2 purchase, window 24h, granularity day, unique users reaching step 2.</t>
        </r>
      </text>
    </comment>
    <comment ref="Q5" authorId="0">
      <text>
        <r>
          <rPr>
            <sz val="10"/>
            <rFont val="Arial"/>
            <family val="2"/>
          </rPr>
          <t xml:space="preserve">MoEngage behavior, analysis type = aggregation, SUM of add_to_cart.value, referer filter.</t>
        </r>
      </text>
    </comment>
    <comment ref="S5" authorId="0">
      <text>
        <r>
          <rPr>
            <sz val="10"/>
            <rFont val="Arial"/>
            <family val="2"/>
          </rPr>
          <t xml:space="preserve">Proxy: converting users x value added per ATC user. Replace with warehouse revenue of order lines added via the widget when available.</t>
        </r>
      </text>
    </comment>
  </commentList>
</comments>
</file>

<file path=xl/sharedStrings.xml><?xml version="1.0" encoding="utf-8"?>
<sst xmlns="http://schemas.openxmlformats.org/spreadsheetml/2006/main" count="401" uniqueCount="268">
  <si>
    <t xml:space="preserve">Widget effectiveness tracker - summary</t>
  </si>
  <si>
    <t xml:space="preserve">Cumulative since each widget's go-live, counting only days with actuals filled, so planned and actual cover the same days. % to plan: green ≥100%, amber 80-99%, red &lt;80%.</t>
  </si>
  <si>
    <t xml:space="preserve">Widget</t>
  </si>
  <si>
    <t xml:space="preserve">Placement</t>
  </si>
  <si>
    <t xml:space="preserve">Go-live</t>
  </si>
  <si>
    <t xml:space="preserve">Days live (with actuals)</t>
  </si>
  <si>
    <t xml:space="preserve">ATC events - plan</t>
  </si>
  <si>
    <t xml:space="preserve">ATC events - actual</t>
  </si>
  <si>
    <t xml:space="preserve">% to plan</t>
  </si>
  <si>
    <t xml:space="preserve">ATC users - plan</t>
  </si>
  <si>
    <t xml:space="preserve">ATC users - actual</t>
  </si>
  <si>
    <t xml:space="preserve">Widget orders - plan</t>
  </si>
  <si>
    <t xml:space="preserve">Widget orders - actual</t>
  </si>
  <si>
    <t xml:space="preserve">Attributed rev - plan (₹)</t>
  </si>
  <si>
    <t xml:space="preserve">Attributed rev - actual (₹)</t>
  </si>
  <si>
    <t xml:space="preserve">Net incr rev - plan (₹)</t>
  </si>
  <si>
    <t xml:space="preserve">Net incr rev - actual est. (₹)</t>
  </si>
  <si>
    <t xml:space="preserve">Steady-state net incr rev / day (₹)</t>
  </si>
  <si>
    <t xml:space="preserve">TOTAL</t>
  </si>
  <si>
    <t xml:space="preserve">Site-level read (since first go-live vs baseline)</t>
  </si>
  <si>
    <t xml:space="preserve">Metric</t>
  </si>
  <si>
    <t xml:space="preserve">Baseline / day (30-Sep to 5-Oct)</t>
  </si>
  <si>
    <t xml:space="preserve">Since 6-Oct / day (actual)</t>
  </si>
  <si>
    <t xml:space="preserve">Change</t>
  </si>
  <si>
    <t xml:space="preserve">Plan / day</t>
  </si>
  <si>
    <t xml:space="preserve">Var vs plan</t>
  </si>
  <si>
    <t xml:space="preserve">PDP viewers</t>
  </si>
  <si>
    <t xml:space="preserve">Orders</t>
  </si>
  <si>
    <t xml:space="preserve">Revenue (₹)</t>
  </si>
  <si>
    <t xml:space="preserve">AOV (₹)</t>
  </si>
  <si>
    <t xml:space="preserve">Orders / PDP viewers</t>
  </si>
  <si>
    <t xml:space="preserve">Revenue / PDP viewer (₹)</t>
  </si>
  <si>
    <t xml:space="preserve">Site AOV/revenue moves with traffic mix, offers and Diwali - use it as a sanity check only. Judge each widget on its own sheet (ATC users, orders, attributed revenue) and, ideally, a holdout.</t>
  </si>
  <si>
    <t xml:space="preserve">How to use this tracker</t>
  </si>
  <si>
    <t xml:space="preserve">Purpose</t>
  </si>
  <si>
    <t xml:space="preserve">Track the 3 recommendation widgets - Build Your Stack (BYS), CYP and You May Also Like (YMAL) - daily, planned vs actual, from each go-live date.</t>
  </si>
  <si>
    <t xml:space="preserve">Tabs</t>
  </si>
  <si>
    <t xml:space="preserve">Summary (scorecard) · Inputs (go-live dates, baseline, plan levers, planned impact) · Site Daily · BYS / CYP / YMAL Daily · Plan by Week · Metric Dictionary.</t>
  </si>
  <si>
    <t xml:space="preserve">Daily routine</t>
  </si>
  <si>
    <t xml:space="preserve">Next morning, for the closed day: fill blue cells on Site Daily (D-H, S) and on each live widget sheet (G, J, O, Q). Everything else calculates.</t>
  </si>
  <si>
    <t xml:space="preserve">Colour legend</t>
  </si>
  <si>
    <t xml:space="preserve">Blue text = input · Green text = link to another sheet · Black = formula · Yellow fill = plan lever to agree · Green rows on widget sheets = widget live.</t>
  </si>
  <si>
    <t xml:space="preserve">Changing a go-live</t>
  </si>
  <si>
    <t xml:space="preserve">Edit Inputs row 9. Planned numbers on every sheet shift automatically (with a linear ramp from Inputs row 29).</t>
  </si>
  <si>
    <t xml:space="preserve">Planned numbers</t>
  </si>
  <si>
    <t xml:space="preserve">Built from the 30-Sep to 5-Oct MoEngage baseline x plan levers (Inputs rows 23-29). The earlier per-widget sizing was not available in this session - overwrite the yellow levers with those numbers and the whole tracker updates.</t>
  </si>
  <si>
    <t xml:space="preserve">Baseline caveat</t>
  </si>
  <si>
    <t xml:space="preserve">add_to_cart and begin_checkout tracking changed on 29/30-Sep (events ~3x with flat PDP views). The baseline uses only 30-Sep onwards. Do not compare against older data.</t>
  </si>
  <si>
    <t xml:space="preserve">Open items</t>
  </si>
  <si>
    <t xml:space="preserve">1) CYP needs a unique referer before go-live, or it cannot be measured. 2) Confirm YMAL = dp/cross-sell. 3) Add widget impression/click events. 4) A 10-20% holdout per widget would replace the incrementality assumption with a measured number.</t>
  </si>
  <si>
    <t xml:space="preserve">Data source</t>
  </si>
  <si>
    <t xml:space="preserve">MoEngage (workspace: DailyObjects). Queries for each column are in the header comments on the widget sheets and in the Metric Dictionary.</t>
  </si>
  <si>
    <t xml:space="preserve">Widget plan inputs &amp; planned impact</t>
  </si>
  <si>
    <t xml:space="preserve">Blue = editable input · Green = linked from another sheet · Black = formula. Yellow-filled cells are the plan levers to agree with the team.</t>
  </si>
  <si>
    <t xml:space="preserve">Field</t>
  </si>
  <si>
    <t xml:space="preserve">Unit</t>
  </si>
  <si>
    <t xml:space="preserve">BYS</t>
  </si>
  <si>
    <t xml:space="preserve">CYP</t>
  </si>
  <si>
    <t xml:space="preserve">YMAL</t>
  </si>
  <si>
    <t xml:space="preserve">Source / note</t>
  </si>
  <si>
    <t xml:space="preserve">1. Initiative definition &amp; timeline</t>
  </si>
  <si>
    <t xml:space="preserve">Build Your Stack</t>
  </si>
  <si>
    <t xml:space="preserve">You May Also Like (new logic)</t>
  </si>
  <si>
    <t xml:space="preserve">CYP full name / placement to be confirmed by product.</t>
  </si>
  <si>
    <t xml:space="preserve">PDP</t>
  </si>
  <si>
    <t xml:space="preserve">TBC (assumed cart / pre-checkout)</t>
  </si>
  <si>
    <t xml:space="preserve">MoEngage identifier</t>
  </si>
  <si>
    <t xml:space="preserve">add_to_cart.referer</t>
  </si>
  <si>
    <t xml:space="preserve">dp/quick-sell</t>
  </si>
  <si>
    <t xml:space="preserve">TBC - ask tech to tag a unique referer before go-live</t>
  </si>
  <si>
    <t xml:space="preserve">dp/cross-sell</t>
  </si>
  <si>
    <t xml:space="preserve">BYS identified from today's post-launch spike (only referer that jumped after 1:20 PM). YMAL assumed to be the existing PDP cross-sell rail - confirm.</t>
  </si>
  <si>
    <t xml:space="preserve">Go-live date</t>
  </si>
  <si>
    <t xml:space="preserve">date</t>
  </si>
  <si>
    <t xml:space="preserve">BYS live 6-Oct ~1:20 PM. CYP Thu 8-Oct (Fri 9-Oct fallback - change this cell). YMAL logic mid-Oct. Every planned number on the daily sheets keys off this date.</t>
  </si>
  <si>
    <t xml:space="preserve">What changes at go-live</t>
  </si>
  <si>
    <t xml:space="preserve">SKU recommendations added to BYS for a large share of PDPs (coverage expansion)</t>
  </si>
  <si>
    <t xml:space="preserve">New widget</t>
  </si>
  <si>
    <t xml:space="preserve">Recommendation logic upgrade on the existing rail</t>
  </si>
  <si>
    <t xml:space="preserve">2. Baseline (pre-launch) - links to 30-Sep to 5-Oct rows on each daily sheet</t>
  </si>
  <si>
    <t xml:space="preserve">Widget ATC events / day</t>
  </si>
  <si>
    <t xml:space="preserve">events</t>
  </si>
  <si>
    <t xml:space="preserve">MoEngage behavior: add_to_cart, filter referer = identifier, daily. CYP = 0 (new widget).</t>
  </si>
  <si>
    <t xml:space="preserve">Widget ATC users / day</t>
  </si>
  <si>
    <t xml:space="preserve">users</t>
  </si>
  <si>
    <t xml:space="preserve">MoEngage behavior, analysis type = users, same filter.</t>
  </si>
  <si>
    <t xml:space="preserve">Widget ATC value / day</t>
  </si>
  <si>
    <t xml:space="preserve">₹</t>
  </si>
  <si>
    <t xml:space="preserve">Sum of add_to_cart.value for widget ATCs (₹, item value added to cart).</t>
  </si>
  <si>
    <t xml:space="preserve">Value per widget ATC user</t>
  </si>
  <si>
    <t xml:space="preserve">Widget ATC user → order (24h)</t>
  </si>
  <si>
    <t xml:space="preserve">%</t>
  </si>
  <si>
    <t xml:space="preserve">MoEngage funnel: add_to_cart (referer filter) → purchase, 24h window, unique users.</t>
  </si>
  <si>
    <t xml:space="preserve">Widget-driven orders / day</t>
  </si>
  <si>
    <t xml:space="preserve">orders</t>
  </si>
  <si>
    <t xml:space="preserve">Widget-attributed revenue / day</t>
  </si>
  <si>
    <t xml:space="preserve">Orders x value per ATC user (proxy for revenue of widget-added items in converted carts).</t>
  </si>
  <si>
    <t xml:space="preserve">ATC events per ATC user</t>
  </si>
  <si>
    <t xml:space="preserve">x</t>
  </si>
  <si>
    <t xml:space="preserve">3. Plan levers (steady state, after ramp-up)  - yellow = agree with team</t>
  </si>
  <si>
    <t xml:space="preserve">ATC users multiplier vs baseline</t>
  </si>
  <si>
    <t xml:space="preserve">BYS: coverage expansion; 6-Oct early read was +18% users / 2.3-3x events in first hours. YMAL: better relevance. CYP: n/a (new) - set target users directly in row 24.</t>
  </si>
  <si>
    <t xml:space="preserve">Target widget ATC users / day</t>
  </si>
  <si>
    <t xml:space="preserve">CYP assumption: ~2% of daily ATC users (~12k/day) add from CYP.</t>
  </si>
  <si>
    <t xml:space="preserve">Target ATC events per ATC user</t>
  </si>
  <si>
    <t xml:space="preserve">BYS should lift this (multi-item stacks). Baseline: BYS 1.35, YMAL 1.34.</t>
  </si>
  <si>
    <t xml:space="preserve">Target ATC user → order (24h)</t>
  </si>
  <si>
    <t xml:space="preserve">BYS held at baseline 11.3%. CYP is late-funnel so higher intent (assumed 20%). YMAL 4.6% → 5.5% with better relevance.</t>
  </si>
  <si>
    <t xml:space="preserve">Target value per widget ATC user</t>
  </si>
  <si>
    <t xml:space="preserve">BYS/YMAL ≈ baseline. CYP assumes accessory-led add-ons (~₹700).</t>
  </si>
  <si>
    <t xml:space="preserve">Incrementality (share of uplift that is net new)</t>
  </si>
  <si>
    <t xml:space="preserve">Discount for cannibalisation of items users would have bought anyway. Replace with holdout read when available.</t>
  </si>
  <si>
    <t xml:space="preserve">Ramp-up days to steady state</t>
  </si>
  <si>
    <t xml:space="preserve">days</t>
  </si>
  <si>
    <t xml:space="preserve">Linear ramp from baseline to target over these days after go-live.</t>
  </si>
  <si>
    <t xml:space="preserve">4. Planned impact per day at steady state</t>
  </si>
  <si>
    <t xml:space="preserve">Planned widget ATC events / day</t>
  </si>
  <si>
    <t xml:space="preserve">Planned widget-driven orders / day</t>
  </si>
  <si>
    <t xml:space="preserve">Planned widget-attributed revenue / day</t>
  </si>
  <si>
    <t xml:space="preserve">Uplift in attributed revenue vs baseline / day</t>
  </si>
  <si>
    <t xml:space="preserve">Planned NET incremental revenue / day</t>
  </si>
  <si>
    <t xml:space="preserve">Uplift x incrementality. This is the number to hold each widget to.</t>
  </si>
  <si>
    <t xml:space="preserve">Planned NET incremental revenue / 30 days</t>
  </si>
  <si>
    <t xml:space="preserve">Planned AOV uplift</t>
  </si>
  <si>
    <t xml:space="preserve">₹ per order</t>
  </si>
  <si>
    <t xml:space="preserve">AOV uplift assumes widget items attach to orders that would have happened anyway (no new orders).</t>
  </si>
  <si>
    <t xml:space="preserve">Net incremental revenue as % of site revenue</t>
  </si>
  <si>
    <t xml:space="preserve">Planned widget ATC events vs baseline</t>
  </si>
  <si>
    <t xml:space="preserve">5. Site baseline (30-Sep to 5-Oct, per day) - links to 'Site Daily'</t>
  </si>
  <si>
    <t xml:space="preserve">PDP views / day</t>
  </si>
  <si>
    <t xml:space="preserve">Baseline starts 30-Sep because add_to_cart / begin_checkout tracking changed on 29/30-Sep (ATC events ~3x overnight with flat PDP views). Pre-30-Sep data is not comparable.</t>
  </si>
  <si>
    <t xml:space="preserve">PDP viewers / day</t>
  </si>
  <si>
    <t xml:space="preserve">All ATC users / day</t>
  </si>
  <si>
    <t xml:space="preserve">Orders / day (purchase event)</t>
  </si>
  <si>
    <t xml:space="preserve">Revenue / day (purchase.value)</t>
  </si>
  <si>
    <t xml:space="preserve">AOV (baseline)</t>
  </si>
  <si>
    <t xml:space="preserve">6. Portfolio total (all three widgets at steady state)</t>
  </si>
  <si>
    <t xml:space="preserve">Planned AOV uplift (₹ per order)</t>
  </si>
  <si>
    <t xml:space="preserve">Planned AOV uplift (%)</t>
  </si>
  <si>
    <t xml:space="preserve">Site-level daily view - PDP funnel, revenue, AOV (planned vs actual)</t>
  </si>
  <si>
    <t xml:space="preserve">Fill blue columns daily from MoEngage (day must be closed). Planned = baseline + sum of live widgets' planned net incremental revenue. Planned is flat (no weekday / festive seasonality) - read variance against the widget sheets, not just here. Diwali (8-Nov) will inflate actuals.</t>
  </si>
  <si>
    <t xml:space="preserve">Status</t>
  </si>
  <si>
    <t xml:space="preserve">ACTUALS - site funnel (fill blue)</t>
  </si>
  <si>
    <t xml:space="preserve">PLAN vs ACTUAL</t>
  </si>
  <si>
    <t xml:space="preserve">Guardrail</t>
  </si>
  <si>
    <t xml:space="preserve">Date</t>
  </si>
  <si>
    <t xml:space="preserve">Day</t>
  </si>
  <si>
    <t xml:space="preserve">Widgets live</t>
  </si>
  <si>
    <t xml:space="preserve">PDP views</t>
  </si>
  <si>
    <t xml:space="preserve">All ATC users</t>
  </si>
  <si>
    <t xml:space="preserve">ATC users / PDP viewers</t>
  </si>
  <si>
    <t xml:space="preserve">Planned revenue (₹)</t>
  </si>
  <si>
    <t xml:space="preserve">Revenue var vs plan</t>
  </si>
  <si>
    <t xml:space="preserve">Planned AOV (₹)</t>
  </si>
  <si>
    <t xml:space="preserve">AOV var vs plan</t>
  </si>
  <si>
    <t xml:space="preserve">Widget net incr. rev - planned (₹)</t>
  </si>
  <si>
    <t xml:space="preserve">Widget net incr. rev - actual est. (₹)</t>
  </si>
  <si>
    <t xml:space="preserve">Main PDP ATC events (referer = dp)</t>
  </si>
  <si>
    <t xml:space="preserve">Notes</t>
  </si>
  <si>
    <t xml:space="preserve">BYS - daily planned vs actual</t>
  </si>
  <si>
    <t xml:space="preserve">Fill blue columns G, J, O, Q (and W if removals are tracked) daily from MoEngage once the day closes. Rows before go-live are the baseline. Green rows = widget live.</t>
  </si>
  <si>
    <t xml:space="preserve">Status (auto from go-live date)</t>
  </si>
  <si>
    <t xml:space="preserve">Widget ATC events</t>
  </si>
  <si>
    <t xml:space="preserve">Widget ATC unique users</t>
  </si>
  <si>
    <t xml:space="preserve">Widget-driven orders (ATC user → purchase in 24h)</t>
  </si>
  <si>
    <t xml:space="preserve">Revenue</t>
  </si>
  <si>
    <t xml:space="preserve">Live?</t>
  </si>
  <si>
    <t xml:space="preserve">Day # live</t>
  </si>
  <si>
    <t xml:space="preserve">Ramp factor</t>
  </si>
  <si>
    <t xml:space="preserve">Planned</t>
  </si>
  <si>
    <t xml:space="preserve">Actual</t>
  </si>
  <si>
    <t xml:space="preserve">Items per ATC user</t>
  </si>
  <si>
    <t xml:space="preserve">ATC users per 1k PDP viewers</t>
  </si>
  <si>
    <t xml:space="preserve">ATC user→order %</t>
  </si>
  <si>
    <t xml:space="preserve">Widget ATC value (₹) - actual</t>
  </si>
  <si>
    <t xml:space="preserve">Attributed revenue - planned (₹)</t>
  </si>
  <si>
    <t xml:space="preserve">Attributed revenue - actual (₹)</t>
  </si>
  <si>
    <t xml:space="preserve">NET incremental rev - planned (₹)</t>
  </si>
  <si>
    <t xml:space="preserve">NET incremental rev - actual est. (₹)</t>
  </si>
  <si>
    <t xml:space="preserve">Widget ATC removals (if tracked)</t>
  </si>
  <si>
    <t xml:space="preserve">Removal rate</t>
  </si>
  <si>
    <t xml:space="preserve">CYP - daily planned vs actual</t>
  </si>
  <si>
    <t xml:space="preserve">YMAL - daily planned vs actual</t>
  </si>
  <si>
    <t xml:space="preserve">Planned vs actual by week (Mon-Sun)</t>
  </si>
  <si>
    <t xml:space="preserve">All values are SUMIFS over the daily sheets. Actual columns only sum days that have actuals filled.</t>
  </si>
  <si>
    <t xml:space="preserve">Week starting</t>
  </si>
  <si>
    <t xml:space="preserve">Week ending</t>
  </si>
  <si>
    <t xml:space="preserve">BYS ATC plan</t>
  </si>
  <si>
    <t xml:space="preserve">BYS ATC actual</t>
  </si>
  <si>
    <t xml:space="preserve">BYS net incr rev plan (₹)</t>
  </si>
  <si>
    <t xml:space="preserve">BYS net incr rev actual (₹)</t>
  </si>
  <si>
    <t xml:space="preserve">CYP ATC plan</t>
  </si>
  <si>
    <t xml:space="preserve">CYP ATC actual</t>
  </si>
  <si>
    <t xml:space="preserve">CYP net incr rev plan (₹)</t>
  </si>
  <si>
    <t xml:space="preserve">CYP net incr rev actual (₹)</t>
  </si>
  <si>
    <t xml:space="preserve">YMAL ATC plan</t>
  </si>
  <si>
    <t xml:space="preserve">YMAL ATC actual</t>
  </si>
  <si>
    <t xml:space="preserve">YMAL net incr rev plan (₹)</t>
  </si>
  <si>
    <t xml:space="preserve">YMAL net incr rev actual (₹)</t>
  </si>
  <si>
    <t xml:space="preserve">TOTAL net incr rev plan (₹)</t>
  </si>
  <si>
    <t xml:space="preserve">TOTAL net incr rev actual (₹)</t>
  </si>
  <si>
    <t xml:space="preserve">Site revenue actual (₹)</t>
  </si>
  <si>
    <t xml:space="preserve">Site AOV actual (₹)</t>
  </si>
  <si>
    <t xml:space="preserve">TOTAL (30-Sep to 31-Dec)</t>
  </si>
  <si>
    <t xml:space="preserve">Metric dictionary - what to track and why</t>
  </si>
  <si>
    <t xml:space="preserve">Tier</t>
  </si>
  <si>
    <t xml:space="preserve">Definition</t>
  </si>
  <si>
    <t xml:space="preserve">MoEngage query (event · filter · type)</t>
  </si>
  <si>
    <t xml:space="preserve">Why it matters / target</t>
  </si>
  <si>
    <t xml:space="preserve">1 · Primary</t>
  </si>
  <si>
    <t xml:space="preserve">Add-to-carts fired from the widget</t>
  </si>
  <si>
    <t xml:space="preserve">add_to_cart · referer = identifier · behavior, events, daily</t>
  </si>
  <si>
    <t xml:space="preserve">Volume. Plan in Inputs row 32.</t>
  </si>
  <si>
    <t xml:space="preserve">Widget ATC users</t>
  </si>
  <si>
    <t xml:space="preserve">Unique users who added at least 1 item from the widget</t>
  </si>
  <si>
    <t xml:space="preserve">same · behavior, users</t>
  </si>
  <si>
    <t xml:space="preserve">Reach. Separates 'more people' from 'same people adding more'.</t>
  </si>
  <si>
    <t xml:space="preserve">Widget-driven orders</t>
  </si>
  <si>
    <t xml:space="preserve">Widget ATC users who purchased within 24h</t>
  </si>
  <si>
    <t xml:space="preserve">funnel add_to_cart(referer) → purchase · 24h · users</t>
  </si>
  <si>
    <t xml:space="preserve">Does widget intent convert? Plan in Inputs row 33.</t>
  </si>
  <si>
    <t xml:space="preserve">Attributed revenue</t>
  </si>
  <si>
    <t xml:space="preserve">Converted widget users × value added per user (proxy)</t>
  </si>
  <si>
    <t xml:space="preserve">funnel + aggregation SUM(add_to_cart.value)</t>
  </si>
  <si>
    <t xml:space="preserve">₹ the widget touches. Swap for warehouse order-line revenue when available.</t>
  </si>
  <si>
    <t xml:space="preserve">NET incremental revenue</t>
  </si>
  <si>
    <t xml:space="preserve">(Attributed rev − baseline attributed) × incrementality</t>
  </si>
  <si>
    <t xml:space="preserve">derived</t>
  </si>
  <si>
    <t xml:space="preserve">The number each widget is held to (Inputs row 36).</t>
  </si>
  <si>
    <t xml:space="preserve">AOV uplift</t>
  </si>
  <si>
    <t xml:space="preserve">Net incremental revenue ÷ site orders</t>
  </si>
  <si>
    <t xml:space="preserve">derived; site AOV = SUM(purchase.value)/purchases</t>
  </si>
  <si>
    <t xml:space="preserve">Primary business outcome for attach widgets.</t>
  </si>
  <si>
    <t xml:space="preserve">2 · Diagnostic</t>
  </si>
  <si>
    <t xml:space="preserve">Widget ATC events ÷ widget ATC users</t>
  </si>
  <si>
    <t xml:space="preserve">BYS should push this up (stacks).</t>
  </si>
  <si>
    <t xml:space="preserve">Widget reach normalised for traffic</t>
  </si>
  <si>
    <t xml:space="preserve">view_item · users</t>
  </si>
  <si>
    <t xml:space="preserve">Removes traffic swings from the read.</t>
  </si>
  <si>
    <t xml:space="preserve">ATC user → order %</t>
  </si>
  <si>
    <t xml:space="preserve">Widget-driven orders ÷ widget ATC users</t>
  </si>
  <si>
    <t xml:space="preserve">funnel</t>
  </si>
  <si>
    <t xml:space="preserve">Falling = low-intent adds.</t>
  </si>
  <si>
    <t xml:space="preserve">Widget impressions &amp; CTR</t>
  </si>
  <si>
    <t xml:space="preserve">Times the widget rendered / was clicked</t>
  </si>
  <si>
    <t xml:space="preserve">NOT TRACKED today - ask tech for a widget_view / widget_click event</t>
  </si>
  <si>
    <t xml:space="preserve">Needed to separate coverage from relevance.</t>
  </si>
  <si>
    <t xml:space="preserve">Orders containing a widget SKU / units per order</t>
  </si>
  <si>
    <t xml:space="preserve">Share of orders with ≥1 widget-added item</t>
  </si>
  <si>
    <t xml:space="preserve">Warehouse / OMS (needs line-level source tag)</t>
  </si>
  <si>
    <t xml:space="preserve">Best proof that adds turn into sold units.</t>
  </si>
  <si>
    <t xml:space="preserve">3 · Guardrail</t>
  </si>
  <si>
    <t xml:space="preserve">Main-product ATC (referer = dp)</t>
  </si>
  <si>
    <t xml:space="preserve">PDP primary ATC button</t>
  </si>
  <si>
    <t xml:space="preserve">add_to_cart · referer = dp</t>
  </si>
  <si>
    <t xml:space="preserve">Should not fall - widget must not distract from the main product.</t>
  </si>
  <si>
    <t xml:space="preserve">Widget ATC removal rate</t>
  </si>
  <si>
    <t xml:space="preserve">Removals of widget-added items ÷ widget ATCs</t>
  </si>
  <si>
    <t xml:space="preserve">remove_from_cart (if tracked) with source</t>
  </si>
  <si>
    <t xml:space="preserve">High = accidental / bulk adds (BYS risk).</t>
  </si>
  <si>
    <t xml:space="preserve">Site orders / PDP viewers, checkout completion</t>
  </si>
  <si>
    <t xml:space="preserve">Overall funnel health</t>
  </si>
  <si>
    <t xml:space="preserve">view_item, purchase</t>
  </si>
  <si>
    <t xml:space="preserve">Must not drop after go-live.</t>
  </si>
  <si>
    <t xml:space="preserve">Returns / RTO on widget items</t>
  </si>
  <si>
    <t xml:space="preserve">Returned units from widget-added lines</t>
  </si>
  <si>
    <t xml:space="preserve">Warehouse</t>
  </si>
  <si>
    <t xml:space="preserve">Attach items with high returns erode the gain.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</si>
</sst>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dd\-mmm\-yy"/>
    <numFmt numFmtId="167" formatCode="0.0%;\(0.0%\);\-"/>
    <numFmt numFmtId="168" formatCode="\₹#,##0;&quot;(₹&quot;#,##0\);\-"/>
    <numFmt numFmtId="169" formatCode="\₹#,##0.0"/>
    <numFmt numFmtId="170" formatCode="#,##0.0;\(#,##0.0\);\-"/>
    <numFmt numFmtId="171" formatCode="0.00;\(0.00\);\-"/>
    <numFmt numFmtId="172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F99"/>
        <bgColor rgb="FFFFEB9C"/>
      </patternFill>
    </fill>
    <fill>
      <patternFill patternType="solid">
        <fgColor rgb="FFDDEBF7"/>
        <bgColor rgb="FFD9E1F2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0803C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00803C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EDE7F6"/>
      <rgbColor rgb="FFFCE4D6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19" min="5" style="0" width="12"/>
    <col collapsed="false" customWidth="true" hidden="false" outlineLevel="0" max="20" min="20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8</v>
      </c>
      <c r="K4" s="3" t="s">
        <v>11</v>
      </c>
      <c r="L4" s="3" t="s">
        <v>12</v>
      </c>
      <c r="M4" s="3" t="s">
        <v>8</v>
      </c>
      <c r="N4" s="3" t="s">
        <v>13</v>
      </c>
      <c r="O4" s="3" t="s">
        <v>14</v>
      </c>
      <c r="P4" s="3" t="s">
        <v>8</v>
      </c>
      <c r="Q4" s="3" t="s">
        <v>15</v>
      </c>
      <c r="R4" s="3" t="s">
        <v>16</v>
      </c>
      <c r="S4" s="3" t="s">
        <v>8</v>
      </c>
      <c r="T4" s="3" t="s">
        <v>17</v>
      </c>
    </row>
    <row r="5" customFormat="false" ht="15" hidden="false" customHeight="false" outlineLevel="0" collapsed="false">
      <c r="A5" s="4" t="str">
        <f aca="false">Inputs!C6</f>
        <v>Build Your Stack</v>
      </c>
      <c r="B5" s="4" t="str">
        <f aca="false">Inputs!C7</f>
        <v>PDP</v>
      </c>
      <c r="C5" s="5" t="n">
        <f aca="false">Inputs!C9</f>
        <v>46301</v>
      </c>
      <c r="D5" s="6" t="n">
        <f aca="false">COUNTIFS('BYS Daily'!$C$6:$C$98,1,'BYS Daily'!$G$6:$G$98,"&lt;&gt;")</f>
        <v>0</v>
      </c>
      <c r="E5" s="6" t="n">
        <f aca="false">SUMIFS('BYS Daily'!$F$6:$F$98,'BYS Daily'!$C$6:$C$98,1,'BYS Daily'!$G$6:$G$98,"&lt;&gt;")</f>
        <v>0</v>
      </c>
      <c r="F5" s="6" t="n">
        <f aca="false">SUMIFS('BYS Daily'!$G$6:$G$98,'BYS Daily'!$C$6:$C$98,1,'BYS Daily'!$G$6:$G$98,"&lt;&gt;")</f>
        <v>0</v>
      </c>
      <c r="G5" s="7" t="str">
        <f aca="false">IF(E5=0,"",F5/E5)</f>
        <v/>
      </c>
      <c r="H5" s="6" t="n">
        <f aca="false">SUMIFS('BYS Daily'!$I$6:$I$98,'BYS Daily'!$C$6:$C$98,1,'BYS Daily'!$G$6:$G$98,"&lt;&gt;")</f>
        <v>0</v>
      </c>
      <c r="I5" s="6" t="n">
        <f aca="false">SUMIFS('BYS Daily'!$J$6:$J$98,'BYS Daily'!$C$6:$C$98,1,'BYS Daily'!$G$6:$G$98,"&lt;&gt;")</f>
        <v>0</v>
      </c>
      <c r="J5" s="7" t="str">
        <f aca="false">IF(H5=0,"",I5/H5)</f>
        <v/>
      </c>
      <c r="K5" s="6" t="n">
        <f aca="false">SUMIFS('BYS Daily'!$N$6:$N$98,'BYS Daily'!$C$6:$C$98,1,'BYS Daily'!$G$6:$G$98,"&lt;&gt;")</f>
        <v>0</v>
      </c>
      <c r="L5" s="6" t="n">
        <f aca="false">SUMIFS('BYS Daily'!$O$6:$O$98,'BYS Daily'!$C$6:$C$98,1,'BYS Daily'!$G$6:$G$98,"&lt;&gt;")</f>
        <v>0</v>
      </c>
      <c r="M5" s="7" t="str">
        <f aca="false">IF(K5=0,"",L5/K5)</f>
        <v/>
      </c>
      <c r="N5" s="8" t="n">
        <f aca="false">SUMIFS('BYS Daily'!$R$6:$R$98,'BYS Daily'!$C$6:$C$98,1,'BYS Daily'!$G$6:$G$98,"&lt;&gt;")</f>
        <v>0</v>
      </c>
      <c r="O5" s="8" t="n">
        <f aca="false">SUMIFS('BYS Daily'!$S$6:$S$98,'BYS Daily'!$C$6:$C$98,1,'BYS Daily'!$G$6:$G$98,"&lt;&gt;")</f>
        <v>0</v>
      </c>
      <c r="P5" s="7" t="str">
        <f aca="false">IF(N5=0,"",O5/N5)</f>
        <v/>
      </c>
      <c r="Q5" s="8" t="n">
        <f aca="false">SUMIFS('BYS Daily'!$U$6:$U$98,'BYS Daily'!$C$6:$C$98,1,'BYS Daily'!$G$6:$G$98,"&lt;&gt;")</f>
        <v>0</v>
      </c>
      <c r="R5" s="8" t="n">
        <f aca="false">SUMIFS('BYS Daily'!$V$6:$V$98,'BYS Daily'!$C$6:$C$98,1,'BYS Daily'!$G$6:$G$98,"&lt;&gt;")</f>
        <v>0</v>
      </c>
      <c r="S5" s="7" t="str">
        <f aca="false">IF(Q5=0,"",R5/Q5)</f>
        <v/>
      </c>
      <c r="T5" s="9" t="n">
        <f aca="false">Inputs!C36</f>
        <v>25545.6481444665</v>
      </c>
    </row>
    <row r="6" customFormat="false" ht="15" hidden="false" customHeight="false" outlineLevel="0" collapsed="false">
      <c r="A6" s="4" t="str">
        <f aca="false">Inputs!D6</f>
        <v>CYP</v>
      </c>
      <c r="B6" s="4" t="str">
        <f aca="false">Inputs!D7</f>
        <v>TBC (assumed cart / pre-checkout)</v>
      </c>
      <c r="C6" s="5" t="n">
        <f aca="false">Inputs!D9</f>
        <v>46303</v>
      </c>
      <c r="D6" s="6" t="n">
        <f aca="false">COUNTIFS('CYP Daily'!$C$6:$C$98,1,'CYP Daily'!$G$6:$G$98,"&lt;&gt;")</f>
        <v>0</v>
      </c>
      <c r="E6" s="6" t="n">
        <f aca="false">SUMIFS('CYP Daily'!$F$6:$F$98,'CYP Daily'!$C$6:$C$98,1,'CYP Daily'!$G$6:$G$98,"&lt;&gt;")</f>
        <v>0</v>
      </c>
      <c r="F6" s="6" t="n">
        <f aca="false">SUMIFS('CYP Daily'!$G$6:$G$98,'CYP Daily'!$C$6:$C$98,1,'CYP Daily'!$G$6:$G$98,"&lt;&gt;")</f>
        <v>0</v>
      </c>
      <c r="G6" s="7" t="str">
        <f aca="false">IF(E6=0,"",F6/E6)</f>
        <v/>
      </c>
      <c r="H6" s="6" t="n">
        <f aca="false">SUMIFS('CYP Daily'!$I$6:$I$98,'CYP Daily'!$C$6:$C$98,1,'CYP Daily'!$G$6:$G$98,"&lt;&gt;")</f>
        <v>0</v>
      </c>
      <c r="I6" s="6" t="n">
        <f aca="false">SUMIFS('CYP Daily'!$J$6:$J$98,'CYP Daily'!$C$6:$C$98,1,'CYP Daily'!$G$6:$G$98,"&lt;&gt;")</f>
        <v>0</v>
      </c>
      <c r="J6" s="7" t="str">
        <f aca="false">IF(H6=0,"",I6/H6)</f>
        <v/>
      </c>
      <c r="K6" s="6" t="n">
        <f aca="false">SUMIFS('CYP Daily'!$N$6:$N$98,'CYP Daily'!$C$6:$C$98,1,'CYP Daily'!$G$6:$G$98,"&lt;&gt;")</f>
        <v>0</v>
      </c>
      <c r="L6" s="6" t="n">
        <f aca="false">SUMIFS('CYP Daily'!$O$6:$O$98,'CYP Daily'!$C$6:$C$98,1,'CYP Daily'!$G$6:$G$98,"&lt;&gt;")</f>
        <v>0</v>
      </c>
      <c r="M6" s="7" t="str">
        <f aca="false">IF(K6=0,"",L6/K6)</f>
        <v/>
      </c>
      <c r="N6" s="8" t="n">
        <f aca="false">SUMIFS('CYP Daily'!$R$6:$R$98,'CYP Daily'!$C$6:$C$98,1,'CYP Daily'!$G$6:$G$98,"&lt;&gt;")</f>
        <v>0</v>
      </c>
      <c r="O6" s="8" t="n">
        <f aca="false">SUMIFS('CYP Daily'!$S$6:$S$98,'CYP Daily'!$C$6:$C$98,1,'CYP Daily'!$G$6:$G$98,"&lt;&gt;")</f>
        <v>0</v>
      </c>
      <c r="P6" s="7" t="str">
        <f aca="false">IF(N6=0,"",O6/N6)</f>
        <v/>
      </c>
      <c r="Q6" s="8" t="n">
        <f aca="false">SUMIFS('CYP Daily'!$U$6:$U$98,'CYP Daily'!$C$6:$C$98,1,'CYP Daily'!$G$6:$G$98,"&lt;&gt;")</f>
        <v>0</v>
      </c>
      <c r="R6" s="8" t="n">
        <f aca="false">SUMIFS('CYP Daily'!$V$6:$V$98,'CYP Daily'!$C$6:$C$98,1,'CYP Daily'!$G$6:$G$98,"&lt;&gt;")</f>
        <v>0</v>
      </c>
      <c r="S6" s="7" t="str">
        <f aca="false">IF(Q6=0,"",R6/Q6)</f>
        <v/>
      </c>
      <c r="T6" s="9" t="n">
        <f aca="false">Inputs!D36</f>
        <v>21000</v>
      </c>
    </row>
    <row r="7" customFormat="false" ht="15" hidden="false" customHeight="false" outlineLevel="0" collapsed="false">
      <c r="A7" s="4" t="str">
        <f aca="false">Inputs!E6</f>
        <v>You May Also Like (new logic)</v>
      </c>
      <c r="B7" s="4" t="str">
        <f aca="false">Inputs!E7</f>
        <v>PDP</v>
      </c>
      <c r="C7" s="5" t="n">
        <f aca="false">Inputs!E9</f>
        <v>46310</v>
      </c>
      <c r="D7" s="6" t="n">
        <f aca="false">COUNTIFS('YMAL Daily'!$C$6:$C$98,1,'YMAL Daily'!$G$6:$G$98,"&lt;&gt;")</f>
        <v>0</v>
      </c>
      <c r="E7" s="6" t="n">
        <f aca="false">SUMIFS('YMAL Daily'!$F$6:$F$98,'YMAL Daily'!$C$6:$C$98,1,'YMAL Daily'!$G$6:$G$98,"&lt;&gt;")</f>
        <v>0</v>
      </c>
      <c r="F7" s="6" t="n">
        <f aca="false">SUMIFS('YMAL Daily'!$G$6:$G$98,'YMAL Daily'!$C$6:$C$98,1,'YMAL Daily'!$G$6:$G$98,"&lt;&gt;")</f>
        <v>0</v>
      </c>
      <c r="G7" s="7" t="str">
        <f aca="false">IF(E7=0,"",F7/E7)</f>
        <v/>
      </c>
      <c r="H7" s="6" t="n">
        <f aca="false">SUMIFS('YMAL Daily'!$I$6:$I$98,'YMAL Daily'!$C$6:$C$98,1,'YMAL Daily'!$G$6:$G$98,"&lt;&gt;")</f>
        <v>0</v>
      </c>
      <c r="I7" s="6" t="n">
        <f aca="false">SUMIFS('YMAL Daily'!$J$6:$J$98,'YMAL Daily'!$C$6:$C$98,1,'YMAL Daily'!$G$6:$G$98,"&lt;&gt;")</f>
        <v>0</v>
      </c>
      <c r="J7" s="7" t="str">
        <f aca="false">IF(H7=0,"",I7/H7)</f>
        <v/>
      </c>
      <c r="K7" s="6" t="n">
        <f aca="false">SUMIFS('YMAL Daily'!$N$6:$N$98,'YMAL Daily'!$C$6:$C$98,1,'YMAL Daily'!$G$6:$G$98,"&lt;&gt;")</f>
        <v>0</v>
      </c>
      <c r="L7" s="6" t="n">
        <f aca="false">SUMIFS('YMAL Daily'!$O$6:$O$98,'YMAL Daily'!$C$6:$C$98,1,'YMAL Daily'!$G$6:$G$98,"&lt;&gt;")</f>
        <v>0</v>
      </c>
      <c r="M7" s="7" t="str">
        <f aca="false">IF(K7=0,"",L7/K7)</f>
        <v/>
      </c>
      <c r="N7" s="8" t="n">
        <f aca="false">SUMIFS('YMAL Daily'!$R$6:$R$98,'YMAL Daily'!$C$6:$C$98,1,'YMAL Daily'!$G$6:$G$98,"&lt;&gt;")</f>
        <v>0</v>
      </c>
      <c r="O7" s="8" t="n">
        <f aca="false">SUMIFS('YMAL Daily'!$S$6:$S$98,'YMAL Daily'!$C$6:$C$98,1,'YMAL Daily'!$G$6:$G$98,"&lt;&gt;")</f>
        <v>0</v>
      </c>
      <c r="P7" s="7" t="str">
        <f aca="false">IF(N7=0,"",O7/N7)</f>
        <v/>
      </c>
      <c r="Q7" s="8" t="n">
        <f aca="false">SUMIFS('YMAL Daily'!$U$6:$U$98,'YMAL Daily'!$C$6:$C$98,1,'YMAL Daily'!$G$6:$G$98,"&lt;&gt;")</f>
        <v>0</v>
      </c>
      <c r="R7" s="8" t="n">
        <f aca="false">SUMIFS('YMAL Daily'!$V$6:$V$98,'YMAL Daily'!$C$6:$C$98,1,'YMAL Daily'!$G$6:$G$98,"&lt;&gt;")</f>
        <v>0</v>
      </c>
      <c r="S7" s="7" t="str">
        <f aca="false">IF(Q7=0,"",R7/Q7)</f>
        <v/>
      </c>
      <c r="T7" s="9" t="n">
        <f aca="false">Inputs!E36</f>
        <v>9886.41261109801</v>
      </c>
    </row>
    <row r="8" customFormat="false" ht="15" hidden="false" customHeight="false" outlineLevel="0" collapsed="false">
      <c r="A8" s="10" t="s">
        <v>18</v>
      </c>
      <c r="B8" s="11"/>
      <c r="C8" s="11"/>
      <c r="D8" s="11"/>
      <c r="E8" s="12" t="n">
        <f aca="false">SUM(E5:E7)</f>
        <v>0</v>
      </c>
      <c r="F8" s="12" t="n">
        <f aca="false">SUM(F5:F7)</f>
        <v>0</v>
      </c>
      <c r="G8" s="13" t="str">
        <f aca="false">IF(E8=0,"",F8/E8)</f>
        <v/>
      </c>
      <c r="H8" s="12" t="n">
        <f aca="false">SUM(H5:H7)</f>
        <v>0</v>
      </c>
      <c r="I8" s="12" t="n">
        <f aca="false">SUM(I5:I7)</f>
        <v>0</v>
      </c>
      <c r="J8" s="13" t="str">
        <f aca="false">IF(H8=0,"",I8/H8)</f>
        <v/>
      </c>
      <c r="K8" s="12" t="n">
        <f aca="false">SUM(K5:K7)</f>
        <v>0</v>
      </c>
      <c r="L8" s="12" t="n">
        <f aca="false">SUM(L5:L7)</f>
        <v>0</v>
      </c>
      <c r="M8" s="13" t="str">
        <f aca="false">IF(K8=0,"",L8/K8)</f>
        <v/>
      </c>
      <c r="N8" s="14" t="n">
        <f aca="false">SUM(N5:N7)</f>
        <v>0</v>
      </c>
      <c r="O8" s="14" t="n">
        <f aca="false">SUM(O5:O7)</f>
        <v>0</v>
      </c>
      <c r="P8" s="13" t="str">
        <f aca="false">IF(N8=0,"",O8/N8)</f>
        <v/>
      </c>
      <c r="Q8" s="14" t="n">
        <f aca="false">SUM(Q5:Q7)</f>
        <v>0</v>
      </c>
      <c r="R8" s="14" t="n">
        <f aca="false">SUM(R5:R7)</f>
        <v>0</v>
      </c>
      <c r="S8" s="13" t="str">
        <f aca="false">IF(Q8=0,"",R8/Q8)</f>
        <v/>
      </c>
      <c r="T8" s="14" t="n">
        <f aca="false">SUM(T5:T7)</f>
        <v>56432.0607555646</v>
      </c>
    </row>
    <row r="11" customFormat="false" ht="15" hidden="false" customHeight="false" outlineLevel="0" collapsed="false">
      <c r="A11" s="15" t="s">
        <v>19</v>
      </c>
    </row>
    <row r="12" customFormat="false" ht="31.5" hidden="false" customHeight="true" outlineLevel="0" collapsed="false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</row>
    <row r="13" customFormat="false" ht="15" hidden="false" customHeight="false" outlineLevel="0" collapsed="false">
      <c r="A13" s="6" t="s">
        <v>26</v>
      </c>
      <c r="B13" s="6" t="n">
        <f aca="false">Inputs!C45</f>
        <v>35391.8333333333</v>
      </c>
      <c r="C13" s="6" t="str">
        <f aca="false">IFERROR(AVERAGEIFS('Site Daily'!$E$6:$E$98,'Site Daily'!$A$6:$A$98,"&gt;="&amp;Inputs!$C$9,'Site Daily'!$E$6:$E$98,"&lt;&gt;"),"")</f>
        <v/>
      </c>
      <c r="D13" s="7" t="str">
        <f aca="false">IF(OR(C13="",B13=0),"",C13/B13-1)</f>
        <v/>
      </c>
      <c r="E13" s="6"/>
      <c r="F13" s="7"/>
    </row>
    <row r="14" customFormat="false" ht="15" hidden="false" customHeight="false" outlineLevel="0" collapsed="false">
      <c r="A14" s="6" t="s">
        <v>27</v>
      </c>
      <c r="B14" s="6" t="n">
        <f aca="false">Inputs!C47</f>
        <v>1383.66666666667</v>
      </c>
      <c r="C14" s="6" t="str">
        <f aca="false">IFERROR(AVERAGEIFS('Site Daily'!$G$6:$G$98,'Site Daily'!$A$6:$A$98,"&gt;="&amp;Inputs!$C$9,'Site Daily'!$G$6:$G$98,"&lt;&gt;"),"")</f>
        <v/>
      </c>
      <c r="D14" s="7" t="str">
        <f aca="false">IF(OR(C14="",B14=0),"",C14/B14-1)</f>
        <v/>
      </c>
      <c r="E14" s="6" t="n">
        <f aca="false">Inputs!C47</f>
        <v>1383.66666666667</v>
      </c>
      <c r="F14" s="7" t="str">
        <f aca="false">IF(OR(C14="",E14=0),"",C14/E14-1)</f>
        <v/>
      </c>
    </row>
    <row r="15" customFormat="false" ht="15" hidden="false" customHeight="false" outlineLevel="0" collapsed="false">
      <c r="A15" s="8" t="s">
        <v>28</v>
      </c>
      <c r="B15" s="8" t="n">
        <f aca="false">Inputs!C48</f>
        <v>2792289.655</v>
      </c>
      <c r="C15" s="8" t="str">
        <f aca="false">IFERROR(AVERAGEIFS('Site Daily'!$H$6:$H$98,'Site Daily'!$A$6:$A$98,"&gt;="&amp;Inputs!$C$9,'Site Daily'!$H$6:$H$98,"&lt;&gt;"),"")</f>
        <v/>
      </c>
      <c r="D15" s="7" t="str">
        <f aca="false">IF(OR(C15="",B15=0),"",C15/B15-1)</f>
        <v/>
      </c>
      <c r="E15" s="8" t="n">
        <f aca="false">Inputs!C48+Inputs!C52</f>
        <v>2848721.71575556</v>
      </c>
      <c r="F15" s="7" t="str">
        <f aca="false">IF(OR(C15="",E15=0),"",C15/E15-1)</f>
        <v/>
      </c>
    </row>
    <row r="16" customFormat="false" ht="15" hidden="false" customHeight="false" outlineLevel="0" collapsed="false">
      <c r="A16" s="8" t="s">
        <v>29</v>
      </c>
      <c r="B16" s="8" t="n">
        <f aca="false">Inputs!C49</f>
        <v>2018.03636834498</v>
      </c>
      <c r="C16" s="8" t="str">
        <f aca="false">IFERROR(C15/C14,"")</f>
        <v/>
      </c>
      <c r="D16" s="7" t="str">
        <f aca="false">IF(OR(C16="",B16=0),"",C16/B16-1)</f>
        <v/>
      </c>
      <c r="E16" s="8" t="n">
        <f aca="false">Inputs!C49+Inputs!C54</f>
        <v>2058.82080155786</v>
      </c>
      <c r="F16" s="7" t="str">
        <f aca="false">IF(OR(C16="",E16=0),"",C16/E16-1)</f>
        <v/>
      </c>
    </row>
    <row r="17" customFormat="false" ht="15" hidden="false" customHeight="false" outlineLevel="0" collapsed="false">
      <c r="A17" s="7" t="s">
        <v>30</v>
      </c>
      <c r="B17" s="7" t="n">
        <f aca="false">IFERROR(Inputs!C47/Inputs!C45,0)</f>
        <v>0.0390956482427679</v>
      </c>
      <c r="C17" s="7" t="str">
        <f aca="false">IFERROR(C14/C13,"")</f>
        <v/>
      </c>
      <c r="D17" s="7" t="str">
        <f aca="false">IF(OR(C17="",B17=0),"",C17/B17-1)</f>
        <v/>
      </c>
      <c r="E17" s="7"/>
      <c r="F17" s="7"/>
    </row>
    <row r="18" customFormat="false" ht="15" hidden="false" customHeight="false" outlineLevel="0" collapsed="false">
      <c r="A18" s="16" t="s">
        <v>31</v>
      </c>
      <c r="B18" s="16" t="n">
        <f aca="false">IFERROR(Inputs!C48/Inputs!C45,0)</f>
        <v>78.8964399979279</v>
      </c>
      <c r="C18" s="16" t="str">
        <f aca="false">IFERROR(C15/C13,"")</f>
        <v/>
      </c>
      <c r="D18" s="7" t="str">
        <f aca="false">IF(OR(C18="",B18=0),"",C18/B18-1)</f>
        <v/>
      </c>
      <c r="E18" s="16"/>
      <c r="F18" s="7"/>
    </row>
    <row r="20" customFormat="false" ht="15" hidden="false" customHeight="false" outlineLevel="0" collapsed="false">
      <c r="A20" s="2" t="s">
        <v>32</v>
      </c>
    </row>
  </sheetData>
  <conditionalFormatting sqref="G5:G8">
    <cfRule type="expression" priority="2" aboveAverage="0" equalAverage="0" bottom="0" percent="0" rank="0" text="" dxfId="0">
      <formula>AND(ISNUMBER(G5),G5&gt;=1)</formula>
    </cfRule>
    <cfRule type="expression" priority="3" aboveAverage="0" equalAverage="0" bottom="0" percent="0" rank="0" text="" dxfId="1">
      <formula>AND(ISNUMBER(G5),G5&gt;=0.8,G5&lt;1)</formula>
    </cfRule>
    <cfRule type="expression" priority="4" aboveAverage="0" equalAverage="0" bottom="0" percent="0" rank="0" text="" dxfId="2">
      <formula>AND(ISNUMBER(G5),G5&lt;0.8)</formula>
    </cfRule>
  </conditionalFormatting>
  <conditionalFormatting sqref="J5:J8">
    <cfRule type="expression" priority="5" aboveAverage="0" equalAverage="0" bottom="0" percent="0" rank="0" text="" dxfId="0">
      <formula>AND(ISNUMBER(J5),J5&gt;=1)</formula>
    </cfRule>
    <cfRule type="expression" priority="6" aboveAverage="0" equalAverage="0" bottom="0" percent="0" rank="0" text="" dxfId="1">
      <formula>AND(ISNUMBER(J5),J5&gt;=0.8,J5&lt;1)</formula>
    </cfRule>
    <cfRule type="expression" priority="7" aboveAverage="0" equalAverage="0" bottom="0" percent="0" rank="0" text="" dxfId="2">
      <formula>AND(ISNUMBER(J5),J5&lt;0.8)</formula>
    </cfRule>
  </conditionalFormatting>
  <conditionalFormatting sqref="M5:M8">
    <cfRule type="expression" priority="8" aboveAverage="0" equalAverage="0" bottom="0" percent="0" rank="0" text="" dxfId="0">
      <formula>AND(ISNUMBER(M5),M5&gt;=1)</formula>
    </cfRule>
    <cfRule type="expression" priority="9" aboveAverage="0" equalAverage="0" bottom="0" percent="0" rank="0" text="" dxfId="1">
      <formula>AND(ISNUMBER(M5),M5&gt;=0.8,M5&lt;1)</formula>
    </cfRule>
    <cfRule type="expression" priority="10" aboveAverage="0" equalAverage="0" bottom="0" percent="0" rank="0" text="" dxfId="2">
      <formula>AND(ISNUMBER(M5),M5&lt;0.8)</formula>
    </cfRule>
  </conditionalFormatting>
  <conditionalFormatting sqref="P5:P8">
    <cfRule type="expression" priority="11" aboveAverage="0" equalAverage="0" bottom="0" percent="0" rank="0" text="" dxfId="0">
      <formula>AND(ISNUMBER(P5),P5&gt;=1)</formula>
    </cfRule>
    <cfRule type="expression" priority="12" aboveAverage="0" equalAverage="0" bottom="0" percent="0" rank="0" text="" dxfId="1">
      <formula>AND(ISNUMBER(P5),P5&gt;=0.8,P5&lt;1)</formula>
    </cfRule>
    <cfRule type="expression" priority="13" aboveAverage="0" equalAverage="0" bottom="0" percent="0" rank="0" text="" dxfId="2">
      <formula>AND(ISNUMBER(P5),P5&lt;0.8)</formula>
    </cfRule>
  </conditionalFormatting>
  <conditionalFormatting sqref="S5:S8">
    <cfRule type="expression" priority="14" aboveAverage="0" equalAverage="0" bottom="0" percent="0" rank="0" text="" dxfId="0">
      <formula>AND(ISNUMBER(S5),S5&gt;=1)</formula>
    </cfRule>
    <cfRule type="expression" priority="15" aboveAverage="0" equalAverage="0" bottom="0" percent="0" rank="0" text="" dxfId="1">
      <formula>AND(ISNUMBER(S5),S5&gt;=0.8,S5&lt;1)</formula>
    </cfRule>
    <cfRule type="expression" priority="16" aboveAverage="0" equalAverage="0" bottom="0" percent="0" rank="0" text="" dxfId="2">
      <formula>AND(ISNUMBER(S5),S5&lt;0.8)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33</v>
      </c>
    </row>
    <row r="3" customFormat="false" ht="45" hidden="false" customHeight="true" outlineLevel="0" collapsed="false">
      <c r="A3" s="15" t="s">
        <v>34</v>
      </c>
      <c r="B3" s="17" t="s">
        <v>35</v>
      </c>
    </row>
    <row r="4" customFormat="false" ht="45" hidden="false" customHeight="true" outlineLevel="0" collapsed="false">
      <c r="A4" s="15" t="s">
        <v>36</v>
      </c>
      <c r="B4" s="17" t="s">
        <v>37</v>
      </c>
    </row>
    <row r="5" customFormat="false" ht="45" hidden="false" customHeight="true" outlineLevel="0" collapsed="false">
      <c r="A5" s="15" t="s">
        <v>38</v>
      </c>
      <c r="B5" s="17" t="s">
        <v>39</v>
      </c>
    </row>
    <row r="6" customFormat="false" ht="45" hidden="false" customHeight="true" outlineLevel="0" collapsed="false">
      <c r="A6" s="15" t="s">
        <v>40</v>
      </c>
      <c r="B6" s="17" t="s">
        <v>41</v>
      </c>
    </row>
    <row r="7" customFormat="false" ht="45" hidden="false" customHeight="true" outlineLevel="0" collapsed="false">
      <c r="A7" s="15" t="s">
        <v>42</v>
      </c>
      <c r="B7" s="17" t="s">
        <v>43</v>
      </c>
    </row>
    <row r="8" customFormat="false" ht="45" hidden="false" customHeight="true" outlineLevel="0" collapsed="false">
      <c r="A8" s="15" t="s">
        <v>44</v>
      </c>
      <c r="B8" s="17" t="s">
        <v>45</v>
      </c>
    </row>
    <row r="9" customFormat="false" ht="45" hidden="false" customHeight="true" outlineLevel="0" collapsed="false">
      <c r="A9" s="15" t="s">
        <v>46</v>
      </c>
      <c r="B9" s="17" t="s">
        <v>47</v>
      </c>
    </row>
    <row r="10" customFormat="false" ht="45" hidden="false" customHeight="true" outlineLevel="0" collapsed="false">
      <c r="A10" s="15" t="s">
        <v>48</v>
      </c>
      <c r="B10" s="17" t="s">
        <v>49</v>
      </c>
    </row>
    <row r="11" customFormat="false" ht="45" hidden="false" customHeight="true" outlineLevel="0" collapsed="false">
      <c r="A11" s="15" t="s">
        <v>50</v>
      </c>
      <c r="B11" s="1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</row>
    <row r="5" customFormat="false" ht="15" hidden="false" customHeight="false" outlineLevel="0" collapsed="false">
      <c r="A5" s="18" t="s">
        <v>60</v>
      </c>
      <c r="B5" s="19"/>
      <c r="C5" s="19"/>
      <c r="D5" s="19"/>
      <c r="E5" s="19"/>
      <c r="F5" s="19"/>
    </row>
    <row r="6" customFormat="false" ht="30" hidden="false" customHeight="true" outlineLevel="0" collapsed="false">
      <c r="A6" s="20" t="s">
        <v>2</v>
      </c>
      <c r="B6" s="21"/>
      <c r="C6" s="22" t="s">
        <v>61</v>
      </c>
      <c r="D6" s="22" t="s">
        <v>57</v>
      </c>
      <c r="E6" s="22" t="s">
        <v>62</v>
      </c>
      <c r="F6" s="23" t="s">
        <v>63</v>
      </c>
    </row>
    <row r="7" customFormat="false" ht="30" hidden="false" customHeight="true" outlineLevel="0" collapsed="false">
      <c r="A7" s="20" t="s">
        <v>3</v>
      </c>
      <c r="B7" s="21"/>
      <c r="C7" s="22" t="s">
        <v>64</v>
      </c>
      <c r="D7" s="22" t="s">
        <v>65</v>
      </c>
      <c r="E7" s="22" t="s">
        <v>64</v>
      </c>
      <c r="F7" s="23"/>
    </row>
    <row r="8" customFormat="false" ht="30" hidden="false" customHeight="true" outlineLevel="0" collapsed="false">
      <c r="A8" s="20" t="s">
        <v>66</v>
      </c>
      <c r="B8" s="21" t="s">
        <v>67</v>
      </c>
      <c r="C8" s="22" t="s">
        <v>68</v>
      </c>
      <c r="D8" s="22" t="s">
        <v>69</v>
      </c>
      <c r="E8" s="22" t="s">
        <v>70</v>
      </c>
      <c r="F8" s="23" t="s">
        <v>71</v>
      </c>
    </row>
    <row r="9" customFormat="false" ht="30" hidden="false" customHeight="true" outlineLevel="0" collapsed="false">
      <c r="A9" s="20" t="s">
        <v>72</v>
      </c>
      <c r="B9" s="21" t="s">
        <v>73</v>
      </c>
      <c r="C9" s="24" t="n">
        <v>46301</v>
      </c>
      <c r="D9" s="24" t="n">
        <v>46303</v>
      </c>
      <c r="E9" s="24" t="n">
        <v>46310</v>
      </c>
      <c r="F9" s="23" t="s">
        <v>74</v>
      </c>
    </row>
    <row r="10" customFormat="false" ht="30" hidden="false" customHeight="true" outlineLevel="0" collapsed="false">
      <c r="A10" s="20" t="s">
        <v>75</v>
      </c>
      <c r="B10" s="21"/>
      <c r="C10" s="22" t="s">
        <v>76</v>
      </c>
      <c r="D10" s="22" t="s">
        <v>77</v>
      </c>
      <c r="E10" s="22" t="s">
        <v>78</v>
      </c>
      <c r="F10" s="23"/>
    </row>
    <row r="12" customFormat="false" ht="15" hidden="false" customHeight="false" outlineLevel="0" collapsed="false">
      <c r="A12" s="18" t="s">
        <v>79</v>
      </c>
      <c r="B12" s="19"/>
      <c r="C12" s="19"/>
      <c r="D12" s="19"/>
      <c r="E12" s="19"/>
      <c r="F12" s="19"/>
    </row>
    <row r="13" customFormat="false" ht="23.85" hidden="false" customHeight="false" outlineLevel="0" collapsed="false">
      <c r="A13" s="20" t="s">
        <v>80</v>
      </c>
      <c r="B13" s="21" t="s">
        <v>81</v>
      </c>
      <c r="C13" s="25" t="n">
        <f aca="false">AVERAGE('BYS Daily'!G6:G11)</f>
        <v>566.5</v>
      </c>
      <c r="D13" s="25" t="n">
        <v>0</v>
      </c>
      <c r="E13" s="25" t="n">
        <f aca="false">AVERAGE('YMAL Daily'!G6:G11)</f>
        <v>946.333333333333</v>
      </c>
      <c r="F13" s="23" t="s">
        <v>82</v>
      </c>
    </row>
    <row r="14" customFormat="false" ht="15" hidden="false" customHeight="false" outlineLevel="0" collapsed="false">
      <c r="A14" s="20" t="s">
        <v>83</v>
      </c>
      <c r="B14" s="21" t="s">
        <v>84</v>
      </c>
      <c r="C14" s="25" t="n">
        <f aca="false">AVERAGE('BYS Daily'!J6:J11)</f>
        <v>419.166666666667</v>
      </c>
      <c r="D14" s="25" t="n">
        <v>0</v>
      </c>
      <c r="E14" s="25" t="n">
        <f aca="false">AVERAGE('YMAL Daily'!J6:J11)</f>
        <v>706.333333333333</v>
      </c>
      <c r="F14" s="23" t="s">
        <v>85</v>
      </c>
    </row>
    <row r="15" customFormat="false" ht="15" hidden="false" customHeight="false" outlineLevel="0" collapsed="false">
      <c r="A15" s="20" t="s">
        <v>86</v>
      </c>
      <c r="B15" s="21" t="s">
        <v>87</v>
      </c>
      <c r="C15" s="26" t="n">
        <f aca="false">AVERAGE('BYS Daily'!Q6:Q11)</f>
        <v>752888.833333333</v>
      </c>
      <c r="D15" s="26" t="n">
        <v>0</v>
      </c>
      <c r="E15" s="26" t="n">
        <f aca="false">AVERAGE('YMAL Daily'!Q6:Q11)</f>
        <v>856060.166666667</v>
      </c>
      <c r="F15" s="23" t="s">
        <v>88</v>
      </c>
    </row>
    <row r="16" customFormat="false" ht="15" hidden="false" customHeight="false" outlineLevel="0" collapsed="false">
      <c r="A16" s="20" t="s">
        <v>89</v>
      </c>
      <c r="B16" s="21" t="s">
        <v>87</v>
      </c>
      <c r="C16" s="27" t="n">
        <f aca="false">IFERROR(C15/C14,0)</f>
        <v>1796.15626242545</v>
      </c>
      <c r="D16" s="27" t="n">
        <f aca="false">IFERROR(D15/D14,0)</f>
        <v>0</v>
      </c>
      <c r="E16" s="27" t="n">
        <f aca="false">IFERROR(E15/E14,0)</f>
        <v>1211.97758376593</v>
      </c>
      <c r="F16" s="23"/>
    </row>
    <row r="17" customFormat="false" ht="15" hidden="false" customHeight="false" outlineLevel="0" collapsed="false">
      <c r="A17" s="20" t="s">
        <v>90</v>
      </c>
      <c r="B17" s="21" t="s">
        <v>91</v>
      </c>
      <c r="C17" s="28" t="n">
        <f aca="false">IFERROR(SUM('BYS Daily'!O6:O11)/SUM('BYS Daily'!J6:J11),0)</f>
        <v>0.112524850894632</v>
      </c>
      <c r="D17" s="28" t="n">
        <v>0</v>
      </c>
      <c r="E17" s="28" t="n">
        <f aca="false">IFERROR(SUM('YMAL Daily'!O6:O11)/SUM('YMAL Daily'!J6:J11),0)</f>
        <v>0.0455403492213308</v>
      </c>
      <c r="F17" s="23" t="s">
        <v>92</v>
      </c>
    </row>
    <row r="18" customFormat="false" ht="15" hidden="false" customHeight="false" outlineLevel="0" collapsed="false">
      <c r="A18" s="20" t="s">
        <v>93</v>
      </c>
      <c r="B18" s="21" t="s">
        <v>94</v>
      </c>
      <c r="C18" s="29" t="n">
        <f aca="false">C14*C17</f>
        <v>47.1666666666667</v>
      </c>
      <c r="D18" s="29" t="n">
        <f aca="false">D14*D17</f>
        <v>0</v>
      </c>
      <c r="E18" s="29" t="n">
        <f aca="false">E14*E17</f>
        <v>32.1666666666667</v>
      </c>
      <c r="F18" s="23"/>
    </row>
    <row r="19" customFormat="false" ht="23.85" hidden="false" customHeight="false" outlineLevel="0" collapsed="false">
      <c r="A19" s="20" t="s">
        <v>95</v>
      </c>
      <c r="B19" s="21" t="s">
        <v>87</v>
      </c>
      <c r="C19" s="27" t="n">
        <f aca="false">C18*C16</f>
        <v>84718.7037110669</v>
      </c>
      <c r="D19" s="27" t="n">
        <f aca="false">D18*D16</f>
        <v>0</v>
      </c>
      <c r="E19" s="27" t="n">
        <f aca="false">E18*E16</f>
        <v>38985.2789444707</v>
      </c>
      <c r="F19" s="23" t="s">
        <v>96</v>
      </c>
    </row>
    <row r="20" customFormat="false" ht="15" hidden="false" customHeight="false" outlineLevel="0" collapsed="false">
      <c r="A20" s="20" t="s">
        <v>97</v>
      </c>
      <c r="B20" s="21" t="s">
        <v>98</v>
      </c>
      <c r="C20" s="30" t="n">
        <f aca="false">IFERROR(C13/C14,0)</f>
        <v>1.35149105367793</v>
      </c>
      <c r="D20" s="30" t="n">
        <f aca="false">IFERROR(D13/D14,0)</f>
        <v>0</v>
      </c>
      <c r="E20" s="30" t="n">
        <f aca="false">IFERROR(E13/E14,0)</f>
        <v>1.33978291647003</v>
      </c>
      <c r="F20" s="23"/>
    </row>
    <row r="22" customFormat="false" ht="15" hidden="false" customHeight="false" outlineLevel="0" collapsed="false">
      <c r="A22" s="18" t="s">
        <v>99</v>
      </c>
      <c r="B22" s="19"/>
      <c r="C22" s="19"/>
      <c r="D22" s="19"/>
      <c r="E22" s="19"/>
      <c r="F22" s="19"/>
    </row>
    <row r="23" customFormat="false" ht="23.85" hidden="false" customHeight="false" outlineLevel="0" collapsed="false">
      <c r="A23" s="20" t="s">
        <v>100</v>
      </c>
      <c r="B23" s="21" t="s">
        <v>98</v>
      </c>
      <c r="C23" s="31" t="n">
        <v>1.6</v>
      </c>
      <c r="D23" s="31"/>
      <c r="E23" s="31" t="n">
        <v>1.25</v>
      </c>
      <c r="F23" s="23" t="s">
        <v>101</v>
      </c>
    </row>
    <row r="24" customFormat="false" ht="15" hidden="false" customHeight="false" outlineLevel="0" collapsed="false">
      <c r="A24" s="20" t="s">
        <v>102</v>
      </c>
      <c r="B24" s="21" t="s">
        <v>84</v>
      </c>
      <c r="C24" s="29" t="n">
        <f aca="false">C14*C23</f>
        <v>670.666666666667</v>
      </c>
      <c r="D24" s="32" t="n">
        <v>250</v>
      </c>
      <c r="E24" s="29" t="n">
        <f aca="false">E14*E23</f>
        <v>882.916666666667</v>
      </c>
      <c r="F24" s="23" t="s">
        <v>103</v>
      </c>
    </row>
    <row r="25" customFormat="false" ht="15" hidden="false" customHeight="false" outlineLevel="0" collapsed="false">
      <c r="A25" s="20" t="s">
        <v>104</v>
      </c>
      <c r="B25" s="21" t="s">
        <v>98</v>
      </c>
      <c r="C25" s="31" t="n">
        <v>1.6</v>
      </c>
      <c r="D25" s="31" t="n">
        <v>1.2</v>
      </c>
      <c r="E25" s="31" t="n">
        <v>1.4</v>
      </c>
      <c r="F25" s="23" t="s">
        <v>105</v>
      </c>
    </row>
    <row r="26" customFormat="false" ht="23.85" hidden="false" customHeight="false" outlineLevel="0" collapsed="false">
      <c r="A26" s="20" t="s">
        <v>106</v>
      </c>
      <c r="B26" s="21" t="s">
        <v>91</v>
      </c>
      <c r="C26" s="33" t="n">
        <v>0.1125</v>
      </c>
      <c r="D26" s="33" t="n">
        <v>0.2</v>
      </c>
      <c r="E26" s="33" t="n">
        <v>0.055</v>
      </c>
      <c r="F26" s="23" t="s">
        <v>107</v>
      </c>
    </row>
    <row r="27" customFormat="false" ht="15" hidden="false" customHeight="false" outlineLevel="0" collapsed="false">
      <c r="A27" s="20" t="s">
        <v>108</v>
      </c>
      <c r="B27" s="21" t="s">
        <v>87</v>
      </c>
      <c r="C27" s="34" t="n">
        <v>1800</v>
      </c>
      <c r="D27" s="34" t="n">
        <v>700</v>
      </c>
      <c r="E27" s="34" t="n">
        <v>1210</v>
      </c>
      <c r="F27" s="23" t="s">
        <v>109</v>
      </c>
    </row>
    <row r="28" customFormat="false" ht="23.85" hidden="false" customHeight="false" outlineLevel="0" collapsed="false">
      <c r="A28" s="20" t="s">
        <v>110</v>
      </c>
      <c r="B28" s="21" t="s">
        <v>91</v>
      </c>
      <c r="C28" s="33" t="n">
        <v>0.5</v>
      </c>
      <c r="D28" s="33" t="n">
        <v>0.6</v>
      </c>
      <c r="E28" s="33" t="n">
        <v>0.5</v>
      </c>
      <c r="F28" s="23" t="s">
        <v>111</v>
      </c>
    </row>
    <row r="29" customFormat="false" ht="15" hidden="false" customHeight="false" outlineLevel="0" collapsed="false">
      <c r="A29" s="20" t="s">
        <v>112</v>
      </c>
      <c r="B29" s="21" t="s">
        <v>113</v>
      </c>
      <c r="C29" s="35" t="n">
        <v>3</v>
      </c>
      <c r="D29" s="35" t="n">
        <v>5</v>
      </c>
      <c r="E29" s="35" t="n">
        <v>7</v>
      </c>
      <c r="F29" s="23" t="s">
        <v>114</v>
      </c>
    </row>
    <row r="31" customFormat="false" ht="15" hidden="false" customHeight="false" outlineLevel="0" collapsed="false">
      <c r="A31" s="18" t="s">
        <v>115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20" t="s">
        <v>116</v>
      </c>
      <c r="B32" s="21" t="s">
        <v>81</v>
      </c>
      <c r="C32" s="36" t="n">
        <f aca="false">C24*C25</f>
        <v>1073.06666666667</v>
      </c>
      <c r="D32" s="36" t="n">
        <f aca="false">D24*D25</f>
        <v>300</v>
      </c>
      <c r="E32" s="36" t="n">
        <f aca="false">E24*E25</f>
        <v>1236.08333333333</v>
      </c>
      <c r="F32" s="23"/>
    </row>
    <row r="33" customFormat="false" ht="15" hidden="false" customHeight="false" outlineLevel="0" collapsed="false">
      <c r="A33" s="20" t="s">
        <v>117</v>
      </c>
      <c r="B33" s="21" t="s">
        <v>94</v>
      </c>
      <c r="C33" s="29" t="n">
        <f aca="false">C24*C26</f>
        <v>75.45</v>
      </c>
      <c r="D33" s="29" t="n">
        <f aca="false">D24*D26</f>
        <v>50</v>
      </c>
      <c r="E33" s="29" t="n">
        <f aca="false">E24*E26</f>
        <v>48.5604166666667</v>
      </c>
      <c r="F33" s="23"/>
    </row>
    <row r="34" customFormat="false" ht="15" hidden="false" customHeight="false" outlineLevel="0" collapsed="false">
      <c r="A34" s="20" t="s">
        <v>118</v>
      </c>
      <c r="B34" s="21" t="s">
        <v>87</v>
      </c>
      <c r="C34" s="27" t="n">
        <f aca="false">C33*C27</f>
        <v>135810</v>
      </c>
      <c r="D34" s="27" t="n">
        <f aca="false">D33*D27</f>
        <v>35000</v>
      </c>
      <c r="E34" s="27" t="n">
        <f aca="false">E33*E27</f>
        <v>58758.1041666667</v>
      </c>
      <c r="F34" s="23"/>
    </row>
    <row r="35" customFormat="false" ht="15" hidden="false" customHeight="false" outlineLevel="0" collapsed="false">
      <c r="A35" s="20" t="s">
        <v>119</v>
      </c>
      <c r="B35" s="21" t="s">
        <v>87</v>
      </c>
      <c r="C35" s="27" t="n">
        <f aca="false">C34-C19</f>
        <v>51091.2962889331</v>
      </c>
      <c r="D35" s="27" t="n">
        <f aca="false">D34-D19</f>
        <v>35000</v>
      </c>
      <c r="E35" s="27" t="n">
        <f aca="false">E34-E19</f>
        <v>19772.825222196</v>
      </c>
      <c r="F35" s="23"/>
    </row>
    <row r="36" customFormat="false" ht="15" hidden="false" customHeight="false" outlineLevel="0" collapsed="false">
      <c r="A36" s="20" t="s">
        <v>120</v>
      </c>
      <c r="B36" s="21" t="s">
        <v>87</v>
      </c>
      <c r="C36" s="27" t="n">
        <f aca="false">C35*C28</f>
        <v>25545.6481444665</v>
      </c>
      <c r="D36" s="27" t="n">
        <f aca="false">D35*D28</f>
        <v>21000</v>
      </c>
      <c r="E36" s="27" t="n">
        <f aca="false">E35*E28</f>
        <v>9886.41261109801</v>
      </c>
      <c r="F36" s="23" t="s">
        <v>121</v>
      </c>
    </row>
    <row r="37" customFormat="false" ht="15" hidden="false" customHeight="false" outlineLevel="0" collapsed="false">
      <c r="A37" s="20" t="s">
        <v>122</v>
      </c>
      <c r="B37" s="21" t="s">
        <v>87</v>
      </c>
      <c r="C37" s="27" t="n">
        <f aca="false">C36*30</f>
        <v>766369.444333996</v>
      </c>
      <c r="D37" s="27" t="n">
        <f aca="false">D36*30</f>
        <v>630000</v>
      </c>
      <c r="E37" s="27" t="n">
        <f aca="false">E36*30</f>
        <v>296592.37833294</v>
      </c>
      <c r="F37" s="23"/>
    </row>
    <row r="38" customFormat="false" ht="23.85" hidden="false" customHeight="false" outlineLevel="0" collapsed="false">
      <c r="A38" s="20" t="s">
        <v>123</v>
      </c>
      <c r="B38" s="21" t="s">
        <v>124</v>
      </c>
      <c r="C38" s="27" t="n">
        <f aca="false">IFERROR(C36/$C$47,0)</f>
        <v>18.462284855071</v>
      </c>
      <c r="D38" s="27" t="n">
        <f aca="false">IFERROR(D36/$C$47,0)</f>
        <v>15.177065767285</v>
      </c>
      <c r="E38" s="27" t="n">
        <f aca="false">IFERROR(E36/$C$47,0)</f>
        <v>7.14508259053096</v>
      </c>
      <c r="F38" s="23" t="s">
        <v>125</v>
      </c>
    </row>
    <row r="39" customFormat="false" ht="15" hidden="false" customHeight="false" outlineLevel="0" collapsed="false">
      <c r="A39" s="20" t="s">
        <v>123</v>
      </c>
      <c r="B39" s="21" t="s">
        <v>91</v>
      </c>
      <c r="C39" s="37" t="n">
        <f aca="false">IFERROR(C38/$C$49,0)</f>
        <v>0.00914863832221824</v>
      </c>
      <c r="D39" s="37" t="n">
        <f aca="false">IFERROR(D38/$C$49,0)</f>
        <v>0.00752070973811634</v>
      </c>
      <c r="E39" s="37" t="n">
        <f aca="false">IFERROR(E38/$C$49,0)</f>
        <v>0.00354061140949147</v>
      </c>
      <c r="F39" s="23"/>
    </row>
    <row r="40" customFormat="false" ht="15" hidden="false" customHeight="false" outlineLevel="0" collapsed="false">
      <c r="A40" s="20" t="s">
        <v>126</v>
      </c>
      <c r="B40" s="21" t="s">
        <v>91</v>
      </c>
      <c r="C40" s="37" t="n">
        <f aca="false">IFERROR(C36/$C$48,0)</f>
        <v>0.00914863832221824</v>
      </c>
      <c r="D40" s="37" t="n">
        <f aca="false">IFERROR(D36/$C$48,0)</f>
        <v>0.00752070973811634</v>
      </c>
      <c r="E40" s="37" t="n">
        <f aca="false">IFERROR(E36/$C$48,0)</f>
        <v>0.00354061140949147</v>
      </c>
      <c r="F40" s="23"/>
    </row>
    <row r="41" customFormat="false" ht="15" hidden="false" customHeight="false" outlineLevel="0" collapsed="false">
      <c r="A41" s="20" t="s">
        <v>127</v>
      </c>
      <c r="B41" s="21" t="s">
        <v>91</v>
      </c>
      <c r="C41" s="37" t="n">
        <f aca="false">IFERROR(C32/C13-1,0)</f>
        <v>0.894204177699324</v>
      </c>
      <c r="D41" s="37" t="str">
        <f aca="false">"new"</f>
        <v>new</v>
      </c>
      <c r="E41" s="37" t="n">
        <f aca="false">IFERROR(E32/E13-1,0)</f>
        <v>0.306181754138781</v>
      </c>
      <c r="F41" s="23"/>
    </row>
    <row r="43" customFormat="false" ht="15" hidden="false" customHeight="false" outlineLevel="0" collapsed="false">
      <c r="A43" s="18" t="s">
        <v>128</v>
      </c>
      <c r="B43" s="19"/>
      <c r="C43" s="19"/>
      <c r="D43" s="19"/>
      <c r="E43" s="19"/>
      <c r="F43" s="19"/>
    </row>
    <row r="44" customFormat="false" ht="15" hidden="false" customHeight="true" outlineLevel="0" collapsed="false">
      <c r="A44" s="20" t="s">
        <v>129</v>
      </c>
      <c r="B44" s="21" t="s">
        <v>81</v>
      </c>
      <c r="C44" s="4" t="n">
        <f aca="false">AVERAGE('Site Daily'!D6:D11)</f>
        <v>129515.5</v>
      </c>
      <c r="F44" s="38" t="s">
        <v>130</v>
      </c>
    </row>
    <row r="45" customFormat="false" ht="15" hidden="false" customHeight="false" outlineLevel="0" collapsed="false">
      <c r="A45" s="20" t="s">
        <v>131</v>
      </c>
      <c r="B45" s="21" t="s">
        <v>84</v>
      </c>
      <c r="C45" s="4" t="n">
        <f aca="false">AVERAGE('Site Daily'!E6:E11)</f>
        <v>35391.8333333333</v>
      </c>
      <c r="F45" s="38"/>
    </row>
    <row r="46" customFormat="false" ht="15" hidden="false" customHeight="false" outlineLevel="0" collapsed="false">
      <c r="A46" s="20" t="s">
        <v>132</v>
      </c>
      <c r="B46" s="21" t="s">
        <v>84</v>
      </c>
      <c r="C46" s="4" t="n">
        <f aca="false">AVERAGE('Site Daily'!F6:F11)</f>
        <v>12280.8333333333</v>
      </c>
      <c r="F46" s="38"/>
    </row>
    <row r="47" customFormat="false" ht="15" hidden="false" customHeight="false" outlineLevel="0" collapsed="false">
      <c r="A47" s="20" t="s">
        <v>133</v>
      </c>
      <c r="B47" s="21" t="s">
        <v>94</v>
      </c>
      <c r="C47" s="4" t="n">
        <f aca="false">AVERAGE('Site Daily'!G6:G11)</f>
        <v>1383.66666666667</v>
      </c>
      <c r="F47" s="38"/>
    </row>
    <row r="48" customFormat="false" ht="15" hidden="false" customHeight="false" outlineLevel="0" collapsed="false">
      <c r="A48" s="20" t="s">
        <v>134</v>
      </c>
      <c r="B48" s="21" t="s">
        <v>87</v>
      </c>
      <c r="C48" s="9" t="n">
        <f aca="false">AVERAGE('Site Daily'!H6:H11)</f>
        <v>2792289.655</v>
      </c>
      <c r="F48" s="38"/>
    </row>
    <row r="49" customFormat="false" ht="15" hidden="false" customHeight="false" outlineLevel="0" collapsed="false">
      <c r="A49" s="20" t="s">
        <v>135</v>
      </c>
      <c r="B49" s="21" t="s">
        <v>87</v>
      </c>
      <c r="C49" s="39" t="n">
        <f aca="false">IFERROR(C48/C47,0)</f>
        <v>2018.03636834498</v>
      </c>
      <c r="F49" s="38"/>
    </row>
    <row r="51" customFormat="false" ht="15" hidden="false" customHeight="false" outlineLevel="0" collapsed="false">
      <c r="A51" s="18" t="s">
        <v>136</v>
      </c>
      <c r="B51" s="19"/>
      <c r="C51" s="19"/>
      <c r="D51" s="19"/>
      <c r="E51" s="19"/>
      <c r="F51" s="19"/>
    </row>
    <row r="52" customFormat="false" ht="15" hidden="false" customHeight="false" outlineLevel="0" collapsed="false">
      <c r="A52" s="10" t="s">
        <v>120</v>
      </c>
      <c r="B52" s="11"/>
      <c r="C52" s="14" t="n">
        <f aca="false">SUM(C36:E36)</f>
        <v>56432.0607555646</v>
      </c>
    </row>
    <row r="53" customFormat="false" ht="15" hidden="false" customHeight="false" outlineLevel="0" collapsed="false">
      <c r="A53" s="10" t="s">
        <v>122</v>
      </c>
      <c r="B53" s="11"/>
      <c r="C53" s="14" t="n">
        <f aca="false">SUM(C37:E37)</f>
        <v>1692961.82266694</v>
      </c>
    </row>
    <row r="54" customFormat="false" ht="15" hidden="false" customHeight="false" outlineLevel="0" collapsed="false">
      <c r="A54" s="10" t="s">
        <v>137</v>
      </c>
      <c r="B54" s="11"/>
      <c r="C54" s="14" t="n">
        <f aca="false">SUM(C38:E38)</f>
        <v>40.7844332128869</v>
      </c>
    </row>
    <row r="55" customFormat="false" ht="15" hidden="false" customHeight="false" outlineLevel="0" collapsed="false">
      <c r="A55" s="10" t="s">
        <v>138</v>
      </c>
      <c r="B55" s="11"/>
      <c r="C55" s="13" t="n">
        <f aca="false">IFERROR(C54/C49,0)</f>
        <v>0.0202099594698261</v>
      </c>
    </row>
    <row r="56" customFormat="false" ht="15" hidden="false" customHeight="false" outlineLevel="0" collapsed="false">
      <c r="A56" s="10" t="s">
        <v>126</v>
      </c>
      <c r="B56" s="11"/>
      <c r="C56" s="13" t="n">
        <f aca="false">IFERROR(C52/C48,0)</f>
        <v>0.0202099594698261</v>
      </c>
    </row>
  </sheetData>
  <mergeCells count="1">
    <mergeCell ref="F44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0" min="20" style="0" width="30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true" outlineLevel="0" collapsed="false">
      <c r="A4" s="40" t="s">
        <v>141</v>
      </c>
      <c r="B4" s="40"/>
      <c r="C4" s="40"/>
      <c r="D4" s="41" t="s">
        <v>142</v>
      </c>
      <c r="E4" s="41"/>
      <c r="F4" s="41"/>
      <c r="G4" s="41"/>
      <c r="H4" s="41"/>
      <c r="I4" s="41"/>
      <c r="J4" s="41"/>
      <c r="K4" s="41"/>
      <c r="L4" s="41"/>
      <c r="M4" s="42" t="s">
        <v>143</v>
      </c>
      <c r="N4" s="42"/>
      <c r="O4" s="42"/>
      <c r="P4" s="42"/>
      <c r="Q4" s="42"/>
      <c r="R4" s="42"/>
      <c r="S4" s="43" t="s">
        <v>144</v>
      </c>
      <c r="T4" s="43"/>
    </row>
    <row r="5" customFormat="false" ht="45" hidden="false" customHeight="true" outlineLevel="0" collapsed="false">
      <c r="A5" s="3" t="s">
        <v>145</v>
      </c>
      <c r="B5" s="3" t="s">
        <v>146</v>
      </c>
      <c r="C5" s="3" t="s">
        <v>147</v>
      </c>
      <c r="D5" s="3" t="s">
        <v>148</v>
      </c>
      <c r="E5" s="3" t="s">
        <v>26</v>
      </c>
      <c r="F5" s="3" t="s">
        <v>149</v>
      </c>
      <c r="G5" s="3" t="s">
        <v>27</v>
      </c>
      <c r="H5" s="3" t="s">
        <v>28</v>
      </c>
      <c r="I5" s="3" t="s">
        <v>29</v>
      </c>
      <c r="J5" s="3" t="s">
        <v>150</v>
      </c>
      <c r="K5" s="3" t="s">
        <v>30</v>
      </c>
      <c r="L5" s="3" t="s">
        <v>31</v>
      </c>
      <c r="M5" s="3" t="s">
        <v>151</v>
      </c>
      <c r="N5" s="3" t="s">
        <v>152</v>
      </c>
      <c r="O5" s="3" t="s">
        <v>153</v>
      </c>
      <c r="P5" s="3" t="s">
        <v>154</v>
      </c>
      <c r="Q5" s="3" t="s">
        <v>155</v>
      </c>
      <c r="R5" s="3" t="s">
        <v>156</v>
      </c>
      <c r="S5" s="3" t="s">
        <v>157</v>
      </c>
      <c r="T5" s="3" t="s">
        <v>158</v>
      </c>
    </row>
    <row r="6" customFormat="false" ht="15" hidden="false" customHeight="false" outlineLevel="0" collapsed="false">
      <c r="A6" s="44" t="n">
        <v>46295</v>
      </c>
      <c r="B6" s="20" t="str">
        <f aca="false">TEXT(A6,"ddd")</f>
        <v>Wed</v>
      </c>
      <c r="C6" s="4" t="n">
        <f aca="false">('BYS Daily'!C6=1)+('CYP Daily'!C6=1)+('YMAL Daily'!C6=1)</f>
        <v>0</v>
      </c>
      <c r="D6" s="45" t="n">
        <v>119492</v>
      </c>
      <c r="E6" s="45" t="n">
        <v>34505</v>
      </c>
      <c r="F6" s="45" t="n">
        <v>12602</v>
      </c>
      <c r="G6" s="45" t="n">
        <v>1379</v>
      </c>
      <c r="H6" s="46" t="n">
        <v>2644422.9</v>
      </c>
      <c r="I6" s="8" t="n">
        <f aca="false">IF(G6="","",IFERROR(H6/G6,""))</f>
        <v>1917.63807106599</v>
      </c>
      <c r="J6" s="7" t="n">
        <f aca="false">IF(E6="","",IFERROR(F6/E6,""))</f>
        <v>0.365222431531662</v>
      </c>
      <c r="K6" s="7" t="n">
        <f aca="false">IF(E6="","",IFERROR(G6/E6,""))</f>
        <v>0.0399652224315317</v>
      </c>
      <c r="L6" s="16" t="n">
        <f aca="false">IF(E6="","",IFERROR(H6/E6,""))</f>
        <v>76.6388320533256</v>
      </c>
      <c r="M6" s="8" t="n">
        <f aca="false">Inputs!$C$48+Q6</f>
        <v>2792289.655</v>
      </c>
      <c r="N6" s="7" t="n">
        <f aca="false">IF(H6="","",IFERROR(H6/M6-1,""))</f>
        <v>-0.0529553782986744</v>
      </c>
      <c r="O6" s="8" t="n">
        <f aca="false">IFERROR(M6/Inputs!$C$47,0)</f>
        <v>2018.03636834498</v>
      </c>
      <c r="P6" s="7" t="n">
        <f aca="false">IF(I6="","",IFERROR(I6/O6-1,""))</f>
        <v>-0.0497504895619524</v>
      </c>
      <c r="Q6" s="9" t="n">
        <f aca="false">'BYS Daily'!U6+'CYP Daily'!U6+'YMAL Daily'!U6</f>
        <v>0</v>
      </c>
      <c r="R6" s="9" t="str">
        <f aca="false">IF(AND('BYS Daily'!V6="",'CYP Daily'!V6="",'YMAL Daily'!V6=""),"",N('BYS Daily'!V6)+N('CYP Daily'!V6)+N('YMAL Daily'!V6))</f>
        <v/>
      </c>
      <c r="S6" s="45" t="n">
        <v>18963</v>
      </c>
      <c r="T6" s="47"/>
    </row>
    <row r="7" customFormat="false" ht="15" hidden="false" customHeight="false" outlineLevel="0" collapsed="false">
      <c r="A7" s="44" t="n">
        <v>46296</v>
      </c>
      <c r="B7" s="20" t="str">
        <f aca="false">TEXT(A7,"ddd")</f>
        <v>Thu</v>
      </c>
      <c r="C7" s="4" t="n">
        <f aca="false">('BYS Daily'!C7=1)+('CYP Daily'!C7=1)+('YMAL Daily'!C7=1)</f>
        <v>0</v>
      </c>
      <c r="D7" s="45" t="n">
        <v>120770</v>
      </c>
      <c r="E7" s="45" t="n">
        <v>34173</v>
      </c>
      <c r="F7" s="45" t="n">
        <v>12240</v>
      </c>
      <c r="G7" s="45" t="n">
        <v>1276</v>
      </c>
      <c r="H7" s="46" t="n">
        <v>2404727.29</v>
      </c>
      <c r="I7" s="8" t="n">
        <f aca="false">IF(G7="","",IFERROR(H7/G7,""))</f>
        <v>1884.58251567398</v>
      </c>
      <c r="J7" s="7" t="n">
        <f aca="false">IF(E7="","",IFERROR(F7/E7,""))</f>
        <v>0.358177508559389</v>
      </c>
      <c r="K7" s="7" t="n">
        <f aca="false">IF(E7="","",IFERROR(G7/E7,""))</f>
        <v>0.0373394200099494</v>
      </c>
      <c r="L7" s="16" t="n">
        <f aca="false">IF(E7="","",IFERROR(H7/E7,""))</f>
        <v>70.3692180961578</v>
      </c>
      <c r="M7" s="8" t="n">
        <f aca="false">Inputs!$C$48+Q7</f>
        <v>2792289.655</v>
      </c>
      <c r="N7" s="7" t="n">
        <f aca="false">IF(H7="","",IFERROR(H7/M7-1,""))</f>
        <v>-0.138797335837281</v>
      </c>
      <c r="O7" s="8" t="n">
        <f aca="false">IFERROR(M7/Inputs!$C$47,0)</f>
        <v>2018.03636834498</v>
      </c>
      <c r="P7" s="7" t="n">
        <f aca="false">IF(I7="","",IFERROR(I7/O7-1,""))</f>
        <v>-0.0661305488663929</v>
      </c>
      <c r="Q7" s="9" t="n">
        <f aca="false">'BYS Daily'!U7+'CYP Daily'!U7+'YMAL Daily'!U7</f>
        <v>0</v>
      </c>
      <c r="R7" s="9" t="str">
        <f aca="false">IF(AND('BYS Daily'!V7="",'CYP Daily'!V7="",'YMAL Daily'!V7=""),"",N('BYS Daily'!V7)+N('CYP Daily'!V7)+N('YMAL Daily'!V7))</f>
        <v/>
      </c>
      <c r="S7" s="45" t="n">
        <v>17733</v>
      </c>
      <c r="T7" s="47"/>
    </row>
    <row r="8" customFormat="false" ht="15" hidden="false" customHeight="false" outlineLevel="0" collapsed="false">
      <c r="A8" s="44" t="n">
        <v>46297</v>
      </c>
      <c r="B8" s="20" t="str">
        <f aca="false">TEXT(A8,"ddd")</f>
        <v>Fri</v>
      </c>
      <c r="C8" s="4" t="n">
        <f aca="false">('BYS Daily'!C8=1)+('CYP Daily'!C8=1)+('YMAL Daily'!C8=1)</f>
        <v>0</v>
      </c>
      <c r="D8" s="45" t="n">
        <v>138639</v>
      </c>
      <c r="E8" s="45" t="n">
        <v>38042</v>
      </c>
      <c r="F8" s="45" t="n">
        <v>14006</v>
      </c>
      <c r="G8" s="45" t="n">
        <v>1508</v>
      </c>
      <c r="H8" s="46" t="n">
        <v>3166751.02</v>
      </c>
      <c r="I8" s="8" t="n">
        <f aca="false">IF(G8="","",IFERROR(H8/G8,""))</f>
        <v>2099.9675198939</v>
      </c>
      <c r="J8" s="7" t="n">
        <f aca="false">IF(E8="","",IFERROR(F8/E8,""))</f>
        <v>0.368172020398507</v>
      </c>
      <c r="K8" s="7" t="n">
        <f aca="false">IF(E8="","",IFERROR(G8/E8,""))</f>
        <v>0.039640397455444</v>
      </c>
      <c r="L8" s="16" t="n">
        <f aca="false">IF(E8="","",IFERROR(H8/E8,""))</f>
        <v>83.2435471321171</v>
      </c>
      <c r="M8" s="8" t="n">
        <f aca="false">Inputs!$C$48+Q8</f>
        <v>2792289.655</v>
      </c>
      <c r="N8" s="7" t="n">
        <f aca="false">IF(H8="","",IFERROR(H8/M8-1,""))</f>
        <v>0.134105487347802</v>
      </c>
      <c r="O8" s="8" t="n">
        <f aca="false">IFERROR(M8/Inputs!$C$47,0)</f>
        <v>2018.03636834498</v>
      </c>
      <c r="P8" s="7" t="n">
        <f aca="false">IF(I8="","",IFERROR(I8/O8-1,""))</f>
        <v>0.0405994425244751</v>
      </c>
      <c r="Q8" s="9" t="n">
        <f aca="false">'BYS Daily'!U8+'CYP Daily'!U8+'YMAL Daily'!U8</f>
        <v>0</v>
      </c>
      <c r="R8" s="9" t="str">
        <f aca="false">IF(AND('BYS Daily'!V8="",'CYP Daily'!V8="",'YMAL Daily'!V8=""),"",N('BYS Daily'!V8)+N('CYP Daily'!V8)+N('YMAL Daily'!V8))</f>
        <v/>
      </c>
      <c r="S8" s="45" t="n">
        <v>20592</v>
      </c>
      <c r="T8" s="47"/>
    </row>
    <row r="9" customFormat="false" ht="15" hidden="false" customHeight="false" outlineLevel="0" collapsed="false">
      <c r="A9" s="44" t="n">
        <v>46298</v>
      </c>
      <c r="B9" s="20" t="str">
        <f aca="false">TEXT(A9,"ddd")</f>
        <v>Sat</v>
      </c>
      <c r="C9" s="4" t="n">
        <f aca="false">('BYS Daily'!C9=1)+('CYP Daily'!C9=1)+('YMAL Daily'!C9=1)</f>
        <v>0</v>
      </c>
      <c r="D9" s="45" t="n">
        <v>131730</v>
      </c>
      <c r="E9" s="45" t="n">
        <v>34527</v>
      </c>
      <c r="F9" s="45" t="n">
        <v>11229</v>
      </c>
      <c r="G9" s="45" t="n">
        <v>1346</v>
      </c>
      <c r="H9" s="46" t="n">
        <v>2880679.67</v>
      </c>
      <c r="I9" s="8" t="n">
        <f aca="false">IF(G9="","",IFERROR(H9/G9,""))</f>
        <v>2140.17806092125</v>
      </c>
      <c r="J9" s="7" t="n">
        <f aca="false">IF(E9="","",IFERROR(F9/E9,""))</f>
        <v>0.325223737944218</v>
      </c>
      <c r="K9" s="7" t="n">
        <f aca="false">IF(E9="","",IFERROR(G9/E9,""))</f>
        <v>0.0389839835491065</v>
      </c>
      <c r="L9" s="16" t="n">
        <f aca="false">IF(E9="","",IFERROR(H9/E9,""))</f>
        <v>83.4326663191126</v>
      </c>
      <c r="M9" s="8" t="n">
        <f aca="false">Inputs!$C$48+Q9</f>
        <v>2792289.655</v>
      </c>
      <c r="N9" s="7" t="n">
        <f aca="false">IF(H9="","",IFERROR(H9/M9-1,""))</f>
        <v>0.0316550307887025</v>
      </c>
      <c r="O9" s="8" t="n">
        <f aca="false">IFERROR(M9/Inputs!$C$47,0)</f>
        <v>2018.03636834498</v>
      </c>
      <c r="P9" s="7" t="n">
        <f aca="false">IF(I9="","",IFERROR(I9/O9-1,""))</f>
        <v>0.0605250205061674</v>
      </c>
      <c r="Q9" s="9" t="n">
        <f aca="false">'BYS Daily'!U9+'CYP Daily'!U9+'YMAL Daily'!U9</f>
        <v>0</v>
      </c>
      <c r="R9" s="9" t="str">
        <f aca="false">IF(AND('BYS Daily'!V9="",'CYP Daily'!V9="",'YMAL Daily'!V9=""),"",N('BYS Daily'!V9)+N('CYP Daily'!V9)+N('YMAL Daily'!V9))</f>
        <v/>
      </c>
      <c r="S9" s="45" t="n">
        <v>16637</v>
      </c>
      <c r="T9" s="47"/>
    </row>
    <row r="10" customFormat="false" ht="15" hidden="false" customHeight="false" outlineLevel="0" collapsed="false">
      <c r="A10" s="44" t="n">
        <v>46299</v>
      </c>
      <c r="B10" s="20" t="str">
        <f aca="false">TEXT(A10,"ddd")</f>
        <v>Sun</v>
      </c>
      <c r="C10" s="4" t="n">
        <f aca="false">('BYS Daily'!C10=1)+('CYP Daily'!C10=1)+('YMAL Daily'!C10=1)</f>
        <v>0</v>
      </c>
      <c r="D10" s="45" t="n">
        <v>142710</v>
      </c>
      <c r="E10" s="45" t="n">
        <v>36847</v>
      </c>
      <c r="F10" s="45" t="n">
        <v>11940</v>
      </c>
      <c r="G10" s="45" t="n">
        <v>1417</v>
      </c>
      <c r="H10" s="46" t="n">
        <v>2913660.77</v>
      </c>
      <c r="I10" s="8" t="n">
        <f aca="false">IF(G10="","",IFERROR(H10/G10,""))</f>
        <v>2056.21790402258</v>
      </c>
      <c r="J10" s="7" t="n">
        <f aca="false">IF(E10="","",IFERROR(F10/E10,""))</f>
        <v>0.324042662903357</v>
      </c>
      <c r="K10" s="7" t="n">
        <f aca="false">IF(E10="","",IFERROR(G10/E10,""))</f>
        <v>0.0384563193747116</v>
      </c>
      <c r="L10" s="16" t="n">
        <f aca="false">IF(E10="","",IFERROR(H10/E10,""))</f>
        <v>79.0745724210926</v>
      </c>
      <c r="M10" s="8" t="n">
        <f aca="false">Inputs!$C$48+Q10</f>
        <v>2792289.655</v>
      </c>
      <c r="N10" s="7" t="n">
        <f aca="false">IF(H10="","",IFERROR(H10/M10-1,""))</f>
        <v>0.0434665203098352</v>
      </c>
      <c r="O10" s="8" t="n">
        <f aca="false">IFERROR(M10/Inputs!$C$47,0)</f>
        <v>2018.03636834498</v>
      </c>
      <c r="P10" s="7" t="n">
        <f aca="false">IF(I10="","",IFERROR(I10/O10-1,""))</f>
        <v>0.0189201425090864</v>
      </c>
      <c r="Q10" s="9" t="n">
        <f aca="false">'BYS Daily'!U10+'CYP Daily'!U10+'YMAL Daily'!U10</f>
        <v>0</v>
      </c>
      <c r="R10" s="9" t="str">
        <f aca="false">IF(AND('BYS Daily'!V10="",'CYP Daily'!V10="",'YMAL Daily'!V10=""),"",N('BYS Daily'!V10)+N('CYP Daily'!V10)+N('YMAL Daily'!V10))</f>
        <v/>
      </c>
      <c r="S10" s="45" t="n">
        <v>17774</v>
      </c>
      <c r="T10" s="47"/>
    </row>
    <row r="11" customFormat="false" ht="15" hidden="false" customHeight="false" outlineLevel="0" collapsed="false">
      <c r="A11" s="44" t="n">
        <v>46300</v>
      </c>
      <c r="B11" s="20" t="str">
        <f aca="false">TEXT(A11,"ddd")</f>
        <v>Mon</v>
      </c>
      <c r="C11" s="4" t="n">
        <f aca="false">('BYS Daily'!C11=1)+('CYP Daily'!C11=1)+('YMAL Daily'!C11=1)</f>
        <v>0</v>
      </c>
      <c r="D11" s="45" t="n">
        <v>123752</v>
      </c>
      <c r="E11" s="45" t="n">
        <v>34257</v>
      </c>
      <c r="F11" s="45" t="n">
        <v>11668</v>
      </c>
      <c r="G11" s="45" t="n">
        <v>1376</v>
      </c>
      <c r="H11" s="46" t="n">
        <v>2743496.28</v>
      </c>
      <c r="I11" s="8" t="n">
        <f aca="false">IF(G11="","",IFERROR(H11/G11,""))</f>
        <v>1993.81997093023</v>
      </c>
      <c r="J11" s="7" t="n">
        <f aca="false">IF(E11="","",IFERROR(F11/E11,""))</f>
        <v>0.340601920775316</v>
      </c>
      <c r="K11" s="7" t="n">
        <f aca="false">IF(E11="","",IFERROR(G11/E11,""))</f>
        <v>0.040166973173366</v>
      </c>
      <c r="L11" s="16" t="n">
        <f aca="false">IF(E11="","",IFERROR(H11/E11,""))</f>
        <v>80.0857132848761</v>
      </c>
      <c r="M11" s="8" t="n">
        <f aca="false">Inputs!$C$48+Q11</f>
        <v>2792289.655</v>
      </c>
      <c r="N11" s="7" t="n">
        <f aca="false">IF(H11="","",IFERROR(H11/M11-1,""))</f>
        <v>-0.0174743243103839</v>
      </c>
      <c r="O11" s="8" t="n">
        <f aca="false">IFERROR(M11/Inputs!$C$47,0)</f>
        <v>2018.03636834498</v>
      </c>
      <c r="P11" s="7" t="n">
        <f aca="false">IF(I11="","",IFERROR(I11/O11-1,""))</f>
        <v>-0.0119999806716093</v>
      </c>
      <c r="Q11" s="9" t="n">
        <f aca="false">'BYS Daily'!U11+'CYP Daily'!U11+'YMAL Daily'!U11</f>
        <v>0</v>
      </c>
      <c r="R11" s="9" t="str">
        <f aca="false">IF(AND('BYS Daily'!V11="",'CYP Daily'!V11="",'YMAL Daily'!V11=""),"",N('BYS Daily'!V11)+N('CYP Daily'!V11)+N('YMAL Daily'!V11))</f>
        <v/>
      </c>
      <c r="S11" s="45" t="n">
        <v>16430</v>
      </c>
      <c r="T11" s="47"/>
    </row>
    <row r="12" customFormat="false" ht="15" hidden="false" customHeight="false" outlineLevel="0" collapsed="false">
      <c r="A12" s="44" t="n">
        <v>46301</v>
      </c>
      <c r="B12" s="20" t="str">
        <f aca="false">TEXT(A12,"ddd")</f>
        <v>Tue</v>
      </c>
      <c r="C12" s="4" t="n">
        <f aca="false">('BYS Daily'!C12=1)+('CYP Daily'!C12=1)+('YMAL Daily'!C12=1)</f>
        <v>1</v>
      </c>
      <c r="D12" s="45"/>
      <c r="E12" s="45"/>
      <c r="F12" s="45"/>
      <c r="G12" s="45"/>
      <c r="H12" s="46"/>
      <c r="I12" s="8" t="str">
        <f aca="false">IF(G12="","",IFERROR(H12/G12,""))</f>
        <v/>
      </c>
      <c r="J12" s="7" t="str">
        <f aca="false">IF(E12="","",IFERROR(F12/E12,""))</f>
        <v/>
      </c>
      <c r="K12" s="7" t="str">
        <f aca="false">IF(E12="","",IFERROR(G12/E12,""))</f>
        <v/>
      </c>
      <c r="L12" s="16" t="str">
        <f aca="false">IF(E12="","",IFERROR(H12/E12,""))</f>
        <v/>
      </c>
      <c r="M12" s="8" t="n">
        <f aca="false">Inputs!$C$48+Q12</f>
        <v>2800794.03996742</v>
      </c>
      <c r="N12" s="7" t="str">
        <f aca="false">IF(H12="","",IFERROR(H12/M12-1,""))</f>
        <v/>
      </c>
      <c r="O12" s="8" t="n">
        <f aca="false">IFERROR(M12/Inputs!$C$47,0)</f>
        <v>2024.18263548597</v>
      </c>
      <c r="P12" s="7" t="str">
        <f aca="false">IF(I12="","",IFERROR(I12/O12-1,""))</f>
        <v/>
      </c>
      <c r="Q12" s="9" t="n">
        <f aca="false">'BYS Daily'!U12+'CYP Daily'!U12+'YMAL Daily'!U12</f>
        <v>8504.38496741772</v>
      </c>
      <c r="R12" s="9" t="str">
        <f aca="false">IF(AND('BYS Daily'!V12="",'CYP Daily'!V12="",'YMAL Daily'!V12=""),"",N('BYS Daily'!V12)+N('CYP Daily'!V12)+N('YMAL Daily'!V12))</f>
        <v/>
      </c>
      <c r="S12" s="45"/>
      <c r="T12" s="47"/>
    </row>
    <row r="13" customFormat="false" ht="15" hidden="false" customHeight="false" outlineLevel="0" collapsed="false">
      <c r="A13" s="44" t="n">
        <v>46302</v>
      </c>
      <c r="B13" s="20" t="str">
        <f aca="false">TEXT(A13,"ddd")</f>
        <v>Wed</v>
      </c>
      <c r="C13" s="4" t="n">
        <f aca="false">('BYS Daily'!C13=1)+('CYP Daily'!C13=1)+('YMAL Daily'!C13=1)</f>
        <v>1</v>
      </c>
      <c r="D13" s="45"/>
      <c r="E13" s="45"/>
      <c r="F13" s="45"/>
      <c r="G13" s="45"/>
      <c r="H13" s="46"/>
      <c r="I13" s="8" t="str">
        <f aca="false">IF(G13="","",IFERROR(H13/G13,""))</f>
        <v/>
      </c>
      <c r="J13" s="7" t="str">
        <f aca="false">IF(E13="","",IFERROR(F13/E13,""))</f>
        <v/>
      </c>
      <c r="K13" s="7" t="str">
        <f aca="false">IF(E13="","",IFERROR(G13/E13,""))</f>
        <v/>
      </c>
      <c r="L13" s="16" t="str">
        <f aca="false">IF(E13="","",IFERROR(H13/E13,""))</f>
        <v/>
      </c>
      <c r="M13" s="8" t="n">
        <f aca="false">Inputs!$C$48+Q13</f>
        <v>2809309.25690533</v>
      </c>
      <c r="N13" s="7" t="str">
        <f aca="false">IF(H13="","",IFERROR(H13/M13-1,""))</f>
        <v/>
      </c>
      <c r="O13" s="8" t="n">
        <f aca="false">IFERROR(M13/Inputs!$C$47,0)</f>
        <v>2030.3367310807</v>
      </c>
      <c r="P13" s="7" t="str">
        <f aca="false">IF(I13="","",IFERROR(I13/O13-1,""))</f>
        <v/>
      </c>
      <c r="Q13" s="9" t="n">
        <f aca="false">'BYS Daily'!U13+'CYP Daily'!U13+'YMAL Daily'!U13</f>
        <v>17019.6019053273</v>
      </c>
      <c r="R13" s="9" t="str">
        <f aca="false">IF(AND('BYS Daily'!V13="",'CYP Daily'!V13="",'YMAL Daily'!V13=""),"",N('BYS Daily'!V13)+N('CYP Daily'!V13)+N('YMAL Daily'!V13))</f>
        <v/>
      </c>
      <c r="S13" s="45"/>
      <c r="T13" s="47"/>
    </row>
    <row r="14" customFormat="false" ht="15" hidden="false" customHeight="false" outlineLevel="0" collapsed="false">
      <c r="A14" s="44" t="n">
        <v>46303</v>
      </c>
      <c r="B14" s="20" t="str">
        <f aca="false">TEXT(A14,"ddd")</f>
        <v>Thu</v>
      </c>
      <c r="C14" s="4" t="n">
        <f aca="false">('BYS Daily'!C14=1)+('CYP Daily'!C14=1)+('YMAL Daily'!C14=1)</f>
        <v>2</v>
      </c>
      <c r="D14" s="45"/>
      <c r="E14" s="45"/>
      <c r="F14" s="45"/>
      <c r="G14" s="45"/>
      <c r="H14" s="46"/>
      <c r="I14" s="8" t="str">
        <f aca="false">IF(G14="","",IFERROR(H14/G14,""))</f>
        <v/>
      </c>
      <c r="J14" s="7" t="str">
        <f aca="false">IF(E14="","",IFERROR(F14/E14,""))</f>
        <v/>
      </c>
      <c r="K14" s="7" t="str">
        <f aca="false">IF(E14="","",IFERROR(G14/E14,""))</f>
        <v/>
      </c>
      <c r="L14" s="16" t="str">
        <f aca="false">IF(E14="","",IFERROR(H14/E14,""))</f>
        <v/>
      </c>
      <c r="M14" s="8" t="n">
        <f aca="false">Inputs!$C$48+Q14</f>
        <v>2818003.30314447</v>
      </c>
      <c r="N14" s="7" t="str">
        <f aca="false">IF(H14="","",IFERROR(H14/M14-1,""))</f>
        <v/>
      </c>
      <c r="O14" s="8" t="n">
        <f aca="false">IFERROR(M14/Inputs!$C$47,0)</f>
        <v>2036.62006972619</v>
      </c>
      <c r="P14" s="7" t="str">
        <f aca="false">IF(I14="","",IFERROR(I14/O14-1,""))</f>
        <v/>
      </c>
      <c r="Q14" s="9" t="n">
        <f aca="false">'BYS Daily'!U14+'CYP Daily'!U14+'YMAL Daily'!U14</f>
        <v>25713.6481444665</v>
      </c>
      <c r="R14" s="9" t="str">
        <f aca="false">IF(AND('BYS Daily'!V14="",'CYP Daily'!V14="",'YMAL Daily'!V14=""),"",N('BYS Daily'!V14)+N('CYP Daily'!V14)+N('YMAL Daily'!V14))</f>
        <v/>
      </c>
      <c r="S14" s="45"/>
      <c r="T14" s="47"/>
    </row>
    <row r="15" customFormat="false" ht="15" hidden="false" customHeight="false" outlineLevel="0" collapsed="false">
      <c r="A15" s="44" t="n">
        <v>46304</v>
      </c>
      <c r="B15" s="20" t="str">
        <f aca="false">TEXT(A15,"ddd")</f>
        <v>Fri</v>
      </c>
      <c r="C15" s="4" t="n">
        <f aca="false">('BYS Daily'!C15=1)+('CYP Daily'!C15=1)+('YMAL Daily'!C15=1)</f>
        <v>2</v>
      </c>
      <c r="D15" s="45"/>
      <c r="E15" s="45"/>
      <c r="F15" s="45"/>
      <c r="G15" s="45"/>
      <c r="H15" s="46"/>
      <c r="I15" s="8" t="str">
        <f aca="false">IF(G15="","",IFERROR(H15/G15,""))</f>
        <v/>
      </c>
      <c r="J15" s="7" t="str">
        <f aca="false">IF(E15="","",IFERROR(F15/E15,""))</f>
        <v/>
      </c>
      <c r="K15" s="7" t="str">
        <f aca="false">IF(E15="","",IFERROR(G15/E15,""))</f>
        <v/>
      </c>
      <c r="L15" s="16" t="str">
        <f aca="false">IF(E15="","",IFERROR(H15/E15,""))</f>
        <v/>
      </c>
      <c r="M15" s="8" t="n">
        <f aca="false">Inputs!$C$48+Q15</f>
        <v>2819179.30314447</v>
      </c>
      <c r="N15" s="7" t="str">
        <f aca="false">IF(H15="","",IFERROR(H15/M15-1,""))</f>
        <v/>
      </c>
      <c r="O15" s="8" t="n">
        <f aca="false">IFERROR(M15/Inputs!$C$47,0)</f>
        <v>2037.46998540915</v>
      </c>
      <c r="P15" s="7" t="str">
        <f aca="false">IF(I15="","",IFERROR(I15/O15-1,""))</f>
        <v/>
      </c>
      <c r="Q15" s="9" t="n">
        <f aca="false">'BYS Daily'!U15+'CYP Daily'!U15+'YMAL Daily'!U15</f>
        <v>26889.6481444665</v>
      </c>
      <c r="R15" s="9" t="str">
        <f aca="false">IF(AND('BYS Daily'!V15="",'CYP Daily'!V15="",'YMAL Daily'!V15=""),"",N('BYS Daily'!V15)+N('CYP Daily'!V15)+N('YMAL Daily'!V15))</f>
        <v/>
      </c>
      <c r="S15" s="45"/>
      <c r="T15" s="47"/>
    </row>
    <row r="16" customFormat="false" ht="15" hidden="false" customHeight="false" outlineLevel="0" collapsed="false">
      <c r="A16" s="44" t="n">
        <v>46305</v>
      </c>
      <c r="B16" s="20" t="str">
        <f aca="false">TEXT(A16,"ddd")</f>
        <v>Sat</v>
      </c>
      <c r="C16" s="4" t="n">
        <f aca="false">('BYS Daily'!C16=1)+('CYP Daily'!C16=1)+('YMAL Daily'!C16=1)</f>
        <v>2</v>
      </c>
      <c r="D16" s="45"/>
      <c r="E16" s="45"/>
      <c r="F16" s="45"/>
      <c r="G16" s="45"/>
      <c r="H16" s="46"/>
      <c r="I16" s="8" t="str">
        <f aca="false">IF(G16="","",IFERROR(H16/G16,""))</f>
        <v/>
      </c>
      <c r="J16" s="7" t="str">
        <f aca="false">IF(E16="","",IFERROR(F16/E16,""))</f>
        <v/>
      </c>
      <c r="K16" s="7" t="str">
        <f aca="false">IF(E16="","",IFERROR(G16/E16,""))</f>
        <v/>
      </c>
      <c r="L16" s="16" t="str">
        <f aca="false">IF(E16="","",IFERROR(H16/E16,""))</f>
        <v/>
      </c>
      <c r="M16" s="8" t="n">
        <f aca="false">Inputs!$C$48+Q16</f>
        <v>2822371.30314447</v>
      </c>
      <c r="N16" s="7" t="str">
        <f aca="false">IF(H16="","",IFERROR(H16/M16-1,""))</f>
        <v/>
      </c>
      <c r="O16" s="8" t="n">
        <f aca="false">IFERROR(M16/Inputs!$C$47,0)</f>
        <v>2039.77689940578</v>
      </c>
      <c r="P16" s="7" t="str">
        <f aca="false">IF(I16="","",IFERROR(I16/O16-1,""))</f>
        <v/>
      </c>
      <c r="Q16" s="9" t="n">
        <f aca="false">'BYS Daily'!U16+'CYP Daily'!U16+'YMAL Daily'!U16</f>
        <v>30081.6481444665</v>
      </c>
      <c r="R16" s="9" t="str">
        <f aca="false">IF(AND('BYS Daily'!V16="",'CYP Daily'!V16="",'YMAL Daily'!V16=""),"",N('BYS Daily'!V16)+N('CYP Daily'!V16)+N('YMAL Daily'!V16))</f>
        <v/>
      </c>
      <c r="S16" s="45"/>
      <c r="T16" s="47"/>
    </row>
    <row r="17" customFormat="false" ht="15" hidden="false" customHeight="false" outlineLevel="0" collapsed="false">
      <c r="A17" s="44" t="n">
        <v>46306</v>
      </c>
      <c r="B17" s="20" t="str">
        <f aca="false">TEXT(A17,"ddd")</f>
        <v>Sun</v>
      </c>
      <c r="C17" s="4" t="n">
        <f aca="false">('BYS Daily'!C17=1)+('CYP Daily'!C17=1)+('YMAL Daily'!C17=1)</f>
        <v>2</v>
      </c>
      <c r="D17" s="45"/>
      <c r="E17" s="45"/>
      <c r="F17" s="45"/>
      <c r="G17" s="45"/>
      <c r="H17" s="46"/>
      <c r="I17" s="8" t="str">
        <f aca="false">IF(G17="","",IFERROR(H17/G17,""))</f>
        <v/>
      </c>
      <c r="J17" s="7" t="str">
        <f aca="false">IF(E17="","",IFERROR(F17/E17,""))</f>
        <v/>
      </c>
      <c r="K17" s="7" t="str">
        <f aca="false">IF(E17="","",IFERROR(G17/E17,""))</f>
        <v/>
      </c>
      <c r="L17" s="16" t="str">
        <f aca="false">IF(E17="","",IFERROR(H17/E17,""))</f>
        <v/>
      </c>
      <c r="M17" s="8" t="n">
        <f aca="false">Inputs!$C$48+Q17</f>
        <v>2828587.30314447</v>
      </c>
      <c r="N17" s="7" t="str">
        <f aca="false">IF(H17="","",IFERROR(H17/M17-1,""))</f>
        <v/>
      </c>
      <c r="O17" s="8" t="n">
        <f aca="false">IFERROR(M17/Inputs!$C$47,0)</f>
        <v>2044.2693108729</v>
      </c>
      <c r="P17" s="7" t="str">
        <f aca="false">IF(I17="","",IFERROR(I17/O17-1,""))</f>
        <v/>
      </c>
      <c r="Q17" s="9" t="n">
        <f aca="false">'BYS Daily'!U17+'CYP Daily'!U17+'YMAL Daily'!U17</f>
        <v>36297.6481444666</v>
      </c>
      <c r="R17" s="9" t="str">
        <f aca="false">IF(AND('BYS Daily'!V17="",'CYP Daily'!V17="",'YMAL Daily'!V17=""),"",N('BYS Daily'!V17)+N('CYP Daily'!V17)+N('YMAL Daily'!V17))</f>
        <v/>
      </c>
      <c r="S17" s="45"/>
      <c r="T17" s="47"/>
    </row>
    <row r="18" customFormat="false" ht="15" hidden="false" customHeight="false" outlineLevel="0" collapsed="false">
      <c r="A18" s="44" t="n">
        <v>46307</v>
      </c>
      <c r="B18" s="20" t="str">
        <f aca="false">TEXT(A18,"ddd")</f>
        <v>Mon</v>
      </c>
      <c r="C18" s="4" t="n">
        <f aca="false">('BYS Daily'!C18=1)+('CYP Daily'!C18=1)+('YMAL Daily'!C18=1)</f>
        <v>2</v>
      </c>
      <c r="D18" s="45"/>
      <c r="E18" s="45"/>
      <c r="F18" s="45"/>
      <c r="G18" s="45"/>
      <c r="H18" s="46"/>
      <c r="I18" s="8" t="str">
        <f aca="false">IF(G18="","",IFERROR(H18/G18,""))</f>
        <v/>
      </c>
      <c r="J18" s="7" t="str">
        <f aca="false">IF(E18="","",IFERROR(F18/E18,""))</f>
        <v/>
      </c>
      <c r="K18" s="7" t="str">
        <f aca="false">IF(E18="","",IFERROR(G18/E18,""))</f>
        <v/>
      </c>
      <c r="L18" s="16" t="str">
        <f aca="false">IF(E18="","",IFERROR(H18/E18,""))</f>
        <v/>
      </c>
      <c r="M18" s="8" t="n">
        <f aca="false">Inputs!$C$48+Q18</f>
        <v>2838835.30314447</v>
      </c>
      <c r="N18" s="7" t="str">
        <f aca="false">IF(H18="","",IFERROR(H18/M18-1,""))</f>
        <v/>
      </c>
      <c r="O18" s="8" t="n">
        <f aca="false">IFERROR(M18/Inputs!$C$47,0)</f>
        <v>2051.67571896733</v>
      </c>
      <c r="P18" s="7" t="str">
        <f aca="false">IF(I18="","",IFERROR(I18/O18-1,""))</f>
        <v/>
      </c>
      <c r="Q18" s="9" t="n">
        <f aca="false">'BYS Daily'!U18+'CYP Daily'!U18+'YMAL Daily'!U18</f>
        <v>46545.6481444666</v>
      </c>
      <c r="R18" s="9" t="str">
        <f aca="false">IF(AND('BYS Daily'!V18="",'CYP Daily'!V18="",'YMAL Daily'!V18=""),"",N('BYS Daily'!V18)+N('CYP Daily'!V18)+N('YMAL Daily'!V18))</f>
        <v/>
      </c>
      <c r="S18" s="45"/>
      <c r="T18" s="47"/>
    </row>
    <row r="19" customFormat="false" ht="15" hidden="false" customHeight="false" outlineLevel="0" collapsed="false">
      <c r="A19" s="44" t="n">
        <v>46308</v>
      </c>
      <c r="B19" s="20" t="str">
        <f aca="false">TEXT(A19,"ddd")</f>
        <v>Tue</v>
      </c>
      <c r="C19" s="4" t="n">
        <f aca="false">('BYS Daily'!C19=1)+('CYP Daily'!C19=1)+('YMAL Daily'!C19=1)</f>
        <v>2</v>
      </c>
      <c r="D19" s="45"/>
      <c r="E19" s="45"/>
      <c r="F19" s="45"/>
      <c r="G19" s="45"/>
      <c r="H19" s="46"/>
      <c r="I19" s="8" t="str">
        <f aca="false">IF(G19="","",IFERROR(H19/G19,""))</f>
        <v/>
      </c>
      <c r="J19" s="7" t="str">
        <f aca="false">IF(E19="","",IFERROR(F19/E19,""))</f>
        <v/>
      </c>
      <c r="K19" s="7" t="str">
        <f aca="false">IF(E19="","",IFERROR(G19/E19,""))</f>
        <v/>
      </c>
      <c r="L19" s="16" t="str">
        <f aca="false">IF(E19="","",IFERROR(H19/E19,""))</f>
        <v/>
      </c>
      <c r="M19" s="8" t="n">
        <f aca="false">Inputs!$C$48+Q19</f>
        <v>2838835.30314447</v>
      </c>
      <c r="N19" s="7" t="str">
        <f aca="false">IF(H19="","",IFERROR(H19/M19-1,""))</f>
        <v/>
      </c>
      <c r="O19" s="8" t="n">
        <f aca="false">IFERROR(M19/Inputs!$C$47,0)</f>
        <v>2051.67571896733</v>
      </c>
      <c r="P19" s="7" t="str">
        <f aca="false">IF(I19="","",IFERROR(I19/O19-1,""))</f>
        <v/>
      </c>
      <c r="Q19" s="9" t="n">
        <f aca="false">'BYS Daily'!U19+'CYP Daily'!U19+'YMAL Daily'!U19</f>
        <v>46545.6481444666</v>
      </c>
      <c r="R19" s="9" t="str">
        <f aca="false">IF(AND('BYS Daily'!V19="",'CYP Daily'!V19="",'YMAL Daily'!V19=""),"",N('BYS Daily'!V19)+N('CYP Daily'!V19)+N('YMAL Daily'!V19))</f>
        <v/>
      </c>
      <c r="S19" s="45"/>
      <c r="T19" s="47"/>
    </row>
    <row r="20" customFormat="false" ht="15" hidden="false" customHeight="false" outlineLevel="0" collapsed="false">
      <c r="A20" s="44" t="n">
        <v>46309</v>
      </c>
      <c r="B20" s="20" t="str">
        <f aca="false">TEXT(A20,"ddd")</f>
        <v>Wed</v>
      </c>
      <c r="C20" s="4" t="n">
        <f aca="false">('BYS Daily'!C20=1)+('CYP Daily'!C20=1)+('YMAL Daily'!C20=1)</f>
        <v>2</v>
      </c>
      <c r="D20" s="45"/>
      <c r="E20" s="45"/>
      <c r="F20" s="45"/>
      <c r="G20" s="45"/>
      <c r="H20" s="46"/>
      <c r="I20" s="8" t="str">
        <f aca="false">IF(G20="","",IFERROR(H20/G20,""))</f>
        <v/>
      </c>
      <c r="J20" s="7" t="str">
        <f aca="false">IF(E20="","",IFERROR(F20/E20,""))</f>
        <v/>
      </c>
      <c r="K20" s="7" t="str">
        <f aca="false">IF(E20="","",IFERROR(G20/E20,""))</f>
        <v/>
      </c>
      <c r="L20" s="16" t="str">
        <f aca="false">IF(E20="","",IFERROR(H20/E20,""))</f>
        <v/>
      </c>
      <c r="M20" s="8" t="n">
        <f aca="false">Inputs!$C$48+Q20</f>
        <v>2838835.30314447</v>
      </c>
      <c r="N20" s="7" t="str">
        <f aca="false">IF(H20="","",IFERROR(H20/M20-1,""))</f>
        <v/>
      </c>
      <c r="O20" s="8" t="n">
        <f aca="false">IFERROR(M20/Inputs!$C$47,0)</f>
        <v>2051.67571896733</v>
      </c>
      <c r="P20" s="7" t="str">
        <f aca="false">IF(I20="","",IFERROR(I20/O20-1,""))</f>
        <v/>
      </c>
      <c r="Q20" s="9" t="n">
        <f aca="false">'BYS Daily'!U20+'CYP Daily'!U20+'YMAL Daily'!U20</f>
        <v>46545.6481444666</v>
      </c>
      <c r="R20" s="9" t="str">
        <f aca="false">IF(AND('BYS Daily'!V20="",'CYP Daily'!V20="",'YMAL Daily'!V20=""),"",N('BYS Daily'!V20)+N('CYP Daily'!V20)+N('YMAL Daily'!V20))</f>
        <v/>
      </c>
      <c r="S20" s="45"/>
      <c r="T20" s="47"/>
    </row>
    <row r="21" customFormat="false" ht="15" hidden="false" customHeight="false" outlineLevel="0" collapsed="false">
      <c r="A21" s="44" t="n">
        <v>46310</v>
      </c>
      <c r="B21" s="20" t="str">
        <f aca="false">TEXT(A21,"ddd")</f>
        <v>Thu</v>
      </c>
      <c r="C21" s="4" t="n">
        <f aca="false">('BYS Daily'!C21=1)+('CYP Daily'!C21=1)+('YMAL Daily'!C21=1)</f>
        <v>3</v>
      </c>
      <c r="D21" s="45"/>
      <c r="E21" s="45"/>
      <c r="F21" s="45"/>
      <c r="G21" s="45"/>
      <c r="H21" s="46"/>
      <c r="I21" s="8" t="str">
        <f aca="false">IF(G21="","",IFERROR(H21/G21,""))</f>
        <v/>
      </c>
      <c r="J21" s="7" t="str">
        <f aca="false">IF(E21="","",IFERROR(F21/E21,""))</f>
        <v/>
      </c>
      <c r="K21" s="7" t="str">
        <f aca="false">IF(E21="","",IFERROR(G21/E21,""))</f>
        <v/>
      </c>
      <c r="L21" s="16" t="str">
        <f aca="false">IF(E21="","",IFERROR(H21/E21,""))</f>
        <v/>
      </c>
      <c r="M21" s="8" t="n">
        <f aca="false">Inputs!$C$48+Q21</f>
        <v>2840125.71215244</v>
      </c>
      <c r="N21" s="7" t="str">
        <f aca="false">IF(H21="","",IFERROR(H21/M21-1,""))</f>
        <v/>
      </c>
      <c r="O21" s="8" t="n">
        <f aca="false">IFERROR(M21/Inputs!$C$47,0)</f>
        <v>2052.60832003308</v>
      </c>
      <c r="P21" s="7" t="str">
        <f aca="false">IF(I21="","",IFERROR(I21/O21-1,""))</f>
        <v/>
      </c>
      <c r="Q21" s="9" t="n">
        <f aca="false">'BYS Daily'!U21+'CYP Daily'!U21+'YMAL Daily'!U21</f>
        <v>47836.0571524404</v>
      </c>
      <c r="R21" s="9" t="str">
        <f aca="false">IF(AND('BYS Daily'!V21="",'CYP Daily'!V21="",'YMAL Daily'!V21=""),"",N('BYS Daily'!V21)+N('CYP Daily'!V21)+N('YMAL Daily'!V21))</f>
        <v/>
      </c>
      <c r="S21" s="45"/>
      <c r="T21" s="47"/>
    </row>
    <row r="22" customFormat="false" ht="15" hidden="false" customHeight="false" outlineLevel="0" collapsed="false">
      <c r="A22" s="44" t="n">
        <v>46311</v>
      </c>
      <c r="B22" s="20" t="str">
        <f aca="false">TEXT(A22,"ddd")</f>
        <v>Fri</v>
      </c>
      <c r="C22" s="4" t="n">
        <f aca="false">('BYS Daily'!C22=1)+('CYP Daily'!C22=1)+('YMAL Daily'!C22=1)</f>
        <v>3</v>
      </c>
      <c r="D22" s="45"/>
      <c r="E22" s="45"/>
      <c r="F22" s="45"/>
      <c r="G22" s="45"/>
      <c r="H22" s="46"/>
      <c r="I22" s="8" t="str">
        <f aca="false">IF(G22="","",IFERROR(H22/G22,""))</f>
        <v/>
      </c>
      <c r="J22" s="7" t="str">
        <f aca="false">IF(E22="","",IFERROR(F22/E22,""))</f>
        <v/>
      </c>
      <c r="K22" s="7" t="str">
        <f aca="false">IF(E22="","",IFERROR(G22/E22,""))</f>
        <v/>
      </c>
      <c r="L22" s="16" t="str">
        <f aca="false">IF(E22="","",IFERROR(H22/E22,""))</f>
        <v/>
      </c>
      <c r="M22" s="8" t="n">
        <f aca="false">Inputs!$C$48+Q22</f>
        <v>2841456.81453169</v>
      </c>
      <c r="N22" s="7" t="str">
        <f aca="false">IF(H22="","",IFERROR(H22/M22-1,""))</f>
        <v/>
      </c>
      <c r="O22" s="8" t="n">
        <f aca="false">IFERROR(M22/Inputs!$C$47,0)</f>
        <v>2053.57033090703</v>
      </c>
      <c r="P22" s="7" t="str">
        <f aca="false">IF(I22="","",IFERROR(I22/O22-1,""))</f>
        <v/>
      </c>
      <c r="Q22" s="9" t="n">
        <f aca="false">'BYS Daily'!U22+'CYP Daily'!U22+'YMAL Daily'!U22</f>
        <v>49167.1595316893</v>
      </c>
      <c r="R22" s="9" t="str">
        <f aca="false">IF(AND('BYS Daily'!V22="",'CYP Daily'!V22="",'YMAL Daily'!V22=""),"",N('BYS Daily'!V22)+N('CYP Daily'!V22)+N('YMAL Daily'!V22))</f>
        <v/>
      </c>
      <c r="S22" s="45"/>
      <c r="T22" s="47"/>
    </row>
    <row r="23" customFormat="false" ht="15" hidden="false" customHeight="false" outlineLevel="0" collapsed="false">
      <c r="A23" s="44" t="n">
        <v>46312</v>
      </c>
      <c r="B23" s="20" t="str">
        <f aca="false">TEXT(A23,"ddd")</f>
        <v>Sat</v>
      </c>
      <c r="C23" s="4" t="n">
        <f aca="false">('BYS Daily'!C23=1)+('CYP Daily'!C23=1)+('YMAL Daily'!C23=1)</f>
        <v>3</v>
      </c>
      <c r="D23" s="45"/>
      <c r="E23" s="45"/>
      <c r="F23" s="45"/>
      <c r="G23" s="45"/>
      <c r="H23" s="46"/>
      <c r="I23" s="8" t="str">
        <f aca="false">IF(G23="","",IFERROR(H23/G23,""))</f>
        <v/>
      </c>
      <c r="J23" s="7" t="str">
        <f aca="false">IF(E23="","",IFERROR(F23/E23,""))</f>
        <v/>
      </c>
      <c r="K23" s="7" t="str">
        <f aca="false">IF(E23="","",IFERROR(G23/E23,""))</f>
        <v/>
      </c>
      <c r="L23" s="16" t="str">
        <f aca="false">IF(E23="","",IFERROR(H23/E23,""))</f>
        <v/>
      </c>
      <c r="M23" s="8" t="n">
        <f aca="false">Inputs!$C$48+Q23</f>
        <v>2842828.5813896</v>
      </c>
      <c r="N23" s="7" t="str">
        <f aca="false">IF(H23="","",IFERROR(H23/M23-1,""))</f>
        <v/>
      </c>
      <c r="O23" s="8" t="n">
        <f aca="false">IFERROR(M23/Inputs!$C$47,0)</f>
        <v>2054.56173070797</v>
      </c>
      <c r="P23" s="7" t="str">
        <f aca="false">IF(I23="","",IFERROR(I23/O23-1,""))</f>
        <v/>
      </c>
      <c r="Q23" s="9" t="n">
        <f aca="false">'BYS Daily'!U23+'CYP Daily'!U23+'YMAL Daily'!U23</f>
        <v>50538.9263895991</v>
      </c>
      <c r="R23" s="9" t="str">
        <f aca="false">IF(AND('BYS Daily'!V23="",'CYP Daily'!V23="",'YMAL Daily'!V23=""),"",N('BYS Daily'!V23)+N('CYP Daily'!V23)+N('YMAL Daily'!V23))</f>
        <v/>
      </c>
      <c r="S23" s="45"/>
      <c r="T23" s="47"/>
    </row>
    <row r="24" customFormat="false" ht="15" hidden="false" customHeight="false" outlineLevel="0" collapsed="false">
      <c r="A24" s="44" t="n">
        <v>46313</v>
      </c>
      <c r="B24" s="20" t="str">
        <f aca="false">TEXT(A24,"ddd")</f>
        <v>Sun</v>
      </c>
      <c r="C24" s="4" t="n">
        <f aca="false">('BYS Daily'!C24=1)+('CYP Daily'!C24=1)+('YMAL Daily'!C24=1)</f>
        <v>3</v>
      </c>
      <c r="D24" s="45"/>
      <c r="E24" s="45"/>
      <c r="F24" s="45"/>
      <c r="G24" s="45"/>
      <c r="H24" s="46"/>
      <c r="I24" s="8" t="str">
        <f aca="false">IF(G24="","",IFERROR(H24/G24,""))</f>
        <v/>
      </c>
      <c r="J24" s="7" t="str">
        <f aca="false">IF(E24="","",IFERROR(F24/E24,""))</f>
        <v/>
      </c>
      <c r="K24" s="7" t="str">
        <f aca="false">IF(E24="","",IFERROR(G24/E24,""))</f>
        <v/>
      </c>
      <c r="L24" s="16" t="str">
        <f aca="false">IF(E24="","",IFERROR(H24/E24,""))</f>
        <v/>
      </c>
      <c r="M24" s="8" t="n">
        <f aca="false">Inputs!$C$48+Q24</f>
        <v>2844240.98383356</v>
      </c>
      <c r="N24" s="7" t="str">
        <f aca="false">IF(H24="","",IFERROR(H24/M24-1,""))</f>
        <v/>
      </c>
      <c r="O24" s="8" t="n">
        <f aca="false">IFERROR(M24/Inputs!$C$47,0)</f>
        <v>2055.58249855473</v>
      </c>
      <c r="P24" s="7" t="str">
        <f aca="false">IF(I24="","",IFERROR(I24/O24-1,""))</f>
        <v/>
      </c>
      <c r="Q24" s="9" t="n">
        <f aca="false">'BYS Daily'!U24+'CYP Daily'!U24+'YMAL Daily'!U24</f>
        <v>51951.3288335556</v>
      </c>
      <c r="R24" s="9" t="str">
        <f aca="false">IF(AND('BYS Daily'!V24="",'CYP Daily'!V24="",'YMAL Daily'!V24=""),"",N('BYS Daily'!V24)+N('CYP Daily'!V24)+N('YMAL Daily'!V24))</f>
        <v/>
      </c>
      <c r="S24" s="45"/>
      <c r="T24" s="47"/>
    </row>
    <row r="25" customFormat="false" ht="15" hidden="false" customHeight="false" outlineLevel="0" collapsed="false">
      <c r="A25" s="44" t="n">
        <v>46314</v>
      </c>
      <c r="B25" s="20" t="str">
        <f aca="false">TEXT(A25,"ddd")</f>
        <v>Mon</v>
      </c>
      <c r="C25" s="4" t="n">
        <f aca="false">('BYS Daily'!C25=1)+('CYP Daily'!C25=1)+('YMAL Daily'!C25=1)</f>
        <v>3</v>
      </c>
      <c r="D25" s="45"/>
      <c r="E25" s="45"/>
      <c r="F25" s="45"/>
      <c r="G25" s="45"/>
      <c r="H25" s="46"/>
      <c r="I25" s="8" t="str">
        <f aca="false">IF(G25="","",IFERROR(H25/G25,""))</f>
        <v/>
      </c>
      <c r="J25" s="7" t="str">
        <f aca="false">IF(E25="","",IFERROR(F25/E25,""))</f>
        <v/>
      </c>
      <c r="K25" s="7" t="str">
        <f aca="false">IF(E25="","",IFERROR(G25/E25,""))</f>
        <v/>
      </c>
      <c r="L25" s="16" t="str">
        <f aca="false">IF(E25="","",IFERROR(H25/E25,""))</f>
        <v/>
      </c>
      <c r="M25" s="8" t="n">
        <f aca="false">Inputs!$C$48+Q25</f>
        <v>2845693.99297094</v>
      </c>
      <c r="N25" s="7" t="str">
        <f aca="false">IF(H25="","",IFERROR(H25/M25-1,""))</f>
        <v/>
      </c>
      <c r="O25" s="8" t="n">
        <f aca="false">IFERROR(M25/Inputs!$C$47,0)</f>
        <v>2056.63261356609</v>
      </c>
      <c r="P25" s="7" t="str">
        <f aca="false">IF(I25="","",IFERROR(I25/O25-1,""))</f>
        <v/>
      </c>
      <c r="Q25" s="9" t="n">
        <f aca="false">'BYS Daily'!U25+'CYP Daily'!U25+'YMAL Daily'!U25</f>
        <v>53404.3379709448</v>
      </c>
      <c r="R25" s="9" t="str">
        <f aca="false">IF(AND('BYS Daily'!V25="",'CYP Daily'!V25="",'YMAL Daily'!V25=""),"",N('BYS Daily'!V25)+N('CYP Daily'!V25)+N('YMAL Daily'!V25))</f>
        <v/>
      </c>
      <c r="S25" s="45"/>
      <c r="T25" s="47"/>
    </row>
    <row r="26" customFormat="false" ht="15" hidden="false" customHeight="false" outlineLevel="0" collapsed="false">
      <c r="A26" s="44" t="n">
        <v>46315</v>
      </c>
      <c r="B26" s="20" t="str">
        <f aca="false">TEXT(A26,"ddd")</f>
        <v>Tue</v>
      </c>
      <c r="C26" s="4" t="n">
        <f aca="false">('BYS Daily'!C26=1)+('CYP Daily'!C26=1)+('YMAL Daily'!C26=1)</f>
        <v>3</v>
      </c>
      <c r="D26" s="45"/>
      <c r="E26" s="45"/>
      <c r="F26" s="45"/>
      <c r="G26" s="45"/>
      <c r="H26" s="46"/>
      <c r="I26" s="8" t="str">
        <f aca="false">IF(G26="","",IFERROR(H26/G26,""))</f>
        <v/>
      </c>
      <c r="J26" s="7" t="str">
        <f aca="false">IF(E26="","",IFERROR(F26/E26,""))</f>
        <v/>
      </c>
      <c r="K26" s="7" t="str">
        <f aca="false">IF(E26="","",IFERROR(G26/E26,""))</f>
        <v/>
      </c>
      <c r="L26" s="16" t="str">
        <f aca="false">IF(E26="","",IFERROR(H26/E26,""))</f>
        <v/>
      </c>
      <c r="M26" s="8" t="n">
        <f aca="false">Inputs!$C$48+Q26</f>
        <v>2847187.57990915</v>
      </c>
      <c r="N26" s="7" t="str">
        <f aca="false">IF(H26="","",IFERROR(H26/M26-1,""))</f>
        <v/>
      </c>
      <c r="O26" s="8" t="n">
        <f aca="false">IFERROR(M26/Inputs!$C$47,0)</f>
        <v>2057.71205486087</v>
      </c>
      <c r="P26" s="7" t="str">
        <f aca="false">IF(I26="","",IFERROR(I26/O26-1,""))</f>
        <v/>
      </c>
      <c r="Q26" s="9" t="n">
        <f aca="false">'BYS Daily'!U26+'CYP Daily'!U26+'YMAL Daily'!U26</f>
        <v>54897.9249091525</v>
      </c>
      <c r="R26" s="9" t="str">
        <f aca="false">IF(AND('BYS Daily'!V26="",'CYP Daily'!V26="",'YMAL Daily'!V26=""),"",N('BYS Daily'!V26)+N('CYP Daily'!V26)+N('YMAL Daily'!V26))</f>
        <v/>
      </c>
      <c r="S26" s="45"/>
      <c r="T26" s="47"/>
    </row>
    <row r="27" customFormat="false" ht="15" hidden="false" customHeight="false" outlineLevel="0" collapsed="false">
      <c r="A27" s="44" t="n">
        <v>46316</v>
      </c>
      <c r="B27" s="20" t="str">
        <f aca="false">TEXT(A27,"ddd")</f>
        <v>Wed</v>
      </c>
      <c r="C27" s="4" t="n">
        <f aca="false">('BYS Daily'!C27=1)+('CYP Daily'!C27=1)+('YMAL Daily'!C27=1)</f>
        <v>3</v>
      </c>
      <c r="D27" s="45"/>
      <c r="E27" s="45"/>
      <c r="F27" s="45"/>
      <c r="G27" s="45"/>
      <c r="H27" s="46"/>
      <c r="I27" s="8" t="str">
        <f aca="false">IF(G27="","",IFERROR(H27/G27,""))</f>
        <v/>
      </c>
      <c r="J27" s="7" t="str">
        <f aca="false">IF(E27="","",IFERROR(F27/E27,""))</f>
        <v/>
      </c>
      <c r="K27" s="7" t="str">
        <f aca="false">IF(E27="","",IFERROR(G27/E27,""))</f>
        <v/>
      </c>
      <c r="L27" s="16" t="str">
        <f aca="false">IF(E27="","",IFERROR(H27/E27,""))</f>
        <v/>
      </c>
      <c r="M27" s="8" t="n">
        <f aca="false">Inputs!$C$48+Q27</f>
        <v>2848721.71575556</v>
      </c>
      <c r="N27" s="7" t="str">
        <f aca="false">IF(H27="","",IFERROR(H27/M27-1,""))</f>
        <v/>
      </c>
      <c r="O27" s="8" t="n">
        <f aca="false">IFERROR(M27/Inputs!$C$47,0)</f>
        <v>2058.82080155786</v>
      </c>
      <c r="P27" s="7" t="str">
        <f aca="false">IF(I27="","",IFERROR(I27/O27-1,""))</f>
        <v/>
      </c>
      <c r="Q27" s="9" t="n">
        <f aca="false">'BYS Daily'!U27+'CYP Daily'!U27+'YMAL Daily'!U27</f>
        <v>56432.0607555646</v>
      </c>
      <c r="R27" s="9" t="str">
        <f aca="false">IF(AND('BYS Daily'!V27="",'CYP Daily'!V27="",'YMAL Daily'!V27=""),"",N('BYS Daily'!V27)+N('CYP Daily'!V27)+N('YMAL Daily'!V27))</f>
        <v/>
      </c>
      <c r="S27" s="45"/>
      <c r="T27" s="47"/>
    </row>
    <row r="28" customFormat="false" ht="15" hidden="false" customHeight="false" outlineLevel="0" collapsed="false">
      <c r="A28" s="44" t="n">
        <v>46317</v>
      </c>
      <c r="B28" s="20" t="str">
        <f aca="false">TEXT(A28,"ddd")</f>
        <v>Thu</v>
      </c>
      <c r="C28" s="4" t="n">
        <f aca="false">('BYS Daily'!C28=1)+('CYP Daily'!C28=1)+('YMAL Daily'!C28=1)</f>
        <v>3</v>
      </c>
      <c r="D28" s="45"/>
      <c r="E28" s="45"/>
      <c r="F28" s="45"/>
      <c r="G28" s="45"/>
      <c r="H28" s="46"/>
      <c r="I28" s="8" t="str">
        <f aca="false">IF(G28="","",IFERROR(H28/G28,""))</f>
        <v/>
      </c>
      <c r="J28" s="7" t="str">
        <f aca="false">IF(E28="","",IFERROR(F28/E28,""))</f>
        <v/>
      </c>
      <c r="K28" s="7" t="str">
        <f aca="false">IF(E28="","",IFERROR(G28/E28,""))</f>
        <v/>
      </c>
      <c r="L28" s="16" t="str">
        <f aca="false">IF(E28="","",IFERROR(H28/E28,""))</f>
        <v/>
      </c>
      <c r="M28" s="8" t="n">
        <f aca="false">Inputs!$C$48+Q28</f>
        <v>2848721.71575556</v>
      </c>
      <c r="N28" s="7" t="str">
        <f aca="false">IF(H28="","",IFERROR(H28/M28-1,""))</f>
        <v/>
      </c>
      <c r="O28" s="8" t="n">
        <f aca="false">IFERROR(M28/Inputs!$C$47,0)</f>
        <v>2058.82080155786</v>
      </c>
      <c r="P28" s="7" t="str">
        <f aca="false">IF(I28="","",IFERROR(I28/O28-1,""))</f>
        <v/>
      </c>
      <c r="Q28" s="9" t="n">
        <f aca="false">'BYS Daily'!U28+'CYP Daily'!U28+'YMAL Daily'!U28</f>
        <v>56432.0607555646</v>
      </c>
      <c r="R28" s="9" t="str">
        <f aca="false">IF(AND('BYS Daily'!V28="",'CYP Daily'!V28="",'YMAL Daily'!V28=""),"",N('BYS Daily'!V28)+N('CYP Daily'!V28)+N('YMAL Daily'!V28))</f>
        <v/>
      </c>
      <c r="S28" s="45"/>
      <c r="T28" s="47"/>
    </row>
    <row r="29" customFormat="false" ht="15" hidden="false" customHeight="false" outlineLevel="0" collapsed="false">
      <c r="A29" s="44" t="n">
        <v>46318</v>
      </c>
      <c r="B29" s="20" t="str">
        <f aca="false">TEXT(A29,"ddd")</f>
        <v>Fri</v>
      </c>
      <c r="C29" s="4" t="n">
        <f aca="false">('BYS Daily'!C29=1)+('CYP Daily'!C29=1)+('YMAL Daily'!C29=1)</f>
        <v>3</v>
      </c>
      <c r="D29" s="45"/>
      <c r="E29" s="45"/>
      <c r="F29" s="45"/>
      <c r="G29" s="45"/>
      <c r="H29" s="46"/>
      <c r="I29" s="8" t="str">
        <f aca="false">IF(G29="","",IFERROR(H29/G29,""))</f>
        <v/>
      </c>
      <c r="J29" s="7" t="str">
        <f aca="false">IF(E29="","",IFERROR(F29/E29,""))</f>
        <v/>
      </c>
      <c r="K29" s="7" t="str">
        <f aca="false">IF(E29="","",IFERROR(G29/E29,""))</f>
        <v/>
      </c>
      <c r="L29" s="16" t="str">
        <f aca="false">IF(E29="","",IFERROR(H29/E29,""))</f>
        <v/>
      </c>
      <c r="M29" s="8" t="n">
        <f aca="false">Inputs!$C$48+Q29</f>
        <v>2848721.71575556</v>
      </c>
      <c r="N29" s="7" t="str">
        <f aca="false">IF(H29="","",IFERROR(H29/M29-1,""))</f>
        <v/>
      </c>
      <c r="O29" s="8" t="n">
        <f aca="false">IFERROR(M29/Inputs!$C$47,0)</f>
        <v>2058.82080155786</v>
      </c>
      <c r="P29" s="7" t="str">
        <f aca="false">IF(I29="","",IFERROR(I29/O29-1,""))</f>
        <v/>
      </c>
      <c r="Q29" s="9" t="n">
        <f aca="false">'BYS Daily'!U29+'CYP Daily'!U29+'YMAL Daily'!U29</f>
        <v>56432.0607555646</v>
      </c>
      <c r="R29" s="9" t="str">
        <f aca="false">IF(AND('BYS Daily'!V29="",'CYP Daily'!V29="",'YMAL Daily'!V29=""),"",N('BYS Daily'!V29)+N('CYP Daily'!V29)+N('YMAL Daily'!V29))</f>
        <v/>
      </c>
      <c r="S29" s="45"/>
      <c r="T29" s="47"/>
    </row>
    <row r="30" customFormat="false" ht="15" hidden="false" customHeight="false" outlineLevel="0" collapsed="false">
      <c r="A30" s="44" t="n">
        <v>46319</v>
      </c>
      <c r="B30" s="20" t="str">
        <f aca="false">TEXT(A30,"ddd")</f>
        <v>Sat</v>
      </c>
      <c r="C30" s="4" t="n">
        <f aca="false">('BYS Daily'!C30=1)+('CYP Daily'!C30=1)+('YMAL Daily'!C30=1)</f>
        <v>3</v>
      </c>
      <c r="D30" s="45"/>
      <c r="E30" s="45"/>
      <c r="F30" s="45"/>
      <c r="G30" s="45"/>
      <c r="H30" s="46"/>
      <c r="I30" s="8" t="str">
        <f aca="false">IF(G30="","",IFERROR(H30/G30,""))</f>
        <v/>
      </c>
      <c r="J30" s="7" t="str">
        <f aca="false">IF(E30="","",IFERROR(F30/E30,""))</f>
        <v/>
      </c>
      <c r="K30" s="7" t="str">
        <f aca="false">IF(E30="","",IFERROR(G30/E30,""))</f>
        <v/>
      </c>
      <c r="L30" s="16" t="str">
        <f aca="false">IF(E30="","",IFERROR(H30/E30,""))</f>
        <v/>
      </c>
      <c r="M30" s="8" t="n">
        <f aca="false">Inputs!$C$48+Q30</f>
        <v>2848721.71575556</v>
      </c>
      <c r="N30" s="7" t="str">
        <f aca="false">IF(H30="","",IFERROR(H30/M30-1,""))</f>
        <v/>
      </c>
      <c r="O30" s="8" t="n">
        <f aca="false">IFERROR(M30/Inputs!$C$47,0)</f>
        <v>2058.82080155786</v>
      </c>
      <c r="P30" s="7" t="str">
        <f aca="false">IF(I30="","",IFERROR(I30/O30-1,""))</f>
        <v/>
      </c>
      <c r="Q30" s="9" t="n">
        <f aca="false">'BYS Daily'!U30+'CYP Daily'!U30+'YMAL Daily'!U30</f>
        <v>56432.0607555646</v>
      </c>
      <c r="R30" s="9" t="str">
        <f aca="false">IF(AND('BYS Daily'!V30="",'CYP Daily'!V30="",'YMAL Daily'!V30=""),"",N('BYS Daily'!V30)+N('CYP Daily'!V30)+N('YMAL Daily'!V30))</f>
        <v/>
      </c>
      <c r="S30" s="45"/>
      <c r="T30" s="47"/>
    </row>
    <row r="31" customFormat="false" ht="15" hidden="false" customHeight="false" outlineLevel="0" collapsed="false">
      <c r="A31" s="44" t="n">
        <v>46320</v>
      </c>
      <c r="B31" s="20" t="str">
        <f aca="false">TEXT(A31,"ddd")</f>
        <v>Sun</v>
      </c>
      <c r="C31" s="4" t="n">
        <f aca="false">('BYS Daily'!C31=1)+('CYP Daily'!C31=1)+('YMAL Daily'!C31=1)</f>
        <v>3</v>
      </c>
      <c r="D31" s="45"/>
      <c r="E31" s="45"/>
      <c r="F31" s="45"/>
      <c r="G31" s="45"/>
      <c r="H31" s="46"/>
      <c r="I31" s="8" t="str">
        <f aca="false">IF(G31="","",IFERROR(H31/G31,""))</f>
        <v/>
      </c>
      <c r="J31" s="7" t="str">
        <f aca="false">IF(E31="","",IFERROR(F31/E31,""))</f>
        <v/>
      </c>
      <c r="K31" s="7" t="str">
        <f aca="false">IF(E31="","",IFERROR(G31/E31,""))</f>
        <v/>
      </c>
      <c r="L31" s="16" t="str">
        <f aca="false">IF(E31="","",IFERROR(H31/E31,""))</f>
        <v/>
      </c>
      <c r="M31" s="8" t="n">
        <f aca="false">Inputs!$C$48+Q31</f>
        <v>2848721.71575556</v>
      </c>
      <c r="N31" s="7" t="str">
        <f aca="false">IF(H31="","",IFERROR(H31/M31-1,""))</f>
        <v/>
      </c>
      <c r="O31" s="8" t="n">
        <f aca="false">IFERROR(M31/Inputs!$C$47,0)</f>
        <v>2058.82080155786</v>
      </c>
      <c r="P31" s="7" t="str">
        <f aca="false">IF(I31="","",IFERROR(I31/O31-1,""))</f>
        <v/>
      </c>
      <c r="Q31" s="9" t="n">
        <f aca="false">'BYS Daily'!U31+'CYP Daily'!U31+'YMAL Daily'!U31</f>
        <v>56432.0607555646</v>
      </c>
      <c r="R31" s="9" t="str">
        <f aca="false">IF(AND('BYS Daily'!V31="",'CYP Daily'!V31="",'YMAL Daily'!V31=""),"",N('BYS Daily'!V31)+N('CYP Daily'!V31)+N('YMAL Daily'!V31))</f>
        <v/>
      </c>
      <c r="S31" s="45"/>
      <c r="T31" s="47"/>
    </row>
    <row r="32" customFormat="false" ht="15" hidden="false" customHeight="false" outlineLevel="0" collapsed="false">
      <c r="A32" s="44" t="n">
        <v>46321</v>
      </c>
      <c r="B32" s="20" t="str">
        <f aca="false">TEXT(A32,"ddd")</f>
        <v>Mon</v>
      </c>
      <c r="C32" s="4" t="n">
        <f aca="false">('BYS Daily'!C32=1)+('CYP Daily'!C32=1)+('YMAL Daily'!C32=1)</f>
        <v>3</v>
      </c>
      <c r="D32" s="45"/>
      <c r="E32" s="45"/>
      <c r="F32" s="45"/>
      <c r="G32" s="45"/>
      <c r="H32" s="46"/>
      <c r="I32" s="8" t="str">
        <f aca="false">IF(G32="","",IFERROR(H32/G32,""))</f>
        <v/>
      </c>
      <c r="J32" s="7" t="str">
        <f aca="false">IF(E32="","",IFERROR(F32/E32,""))</f>
        <v/>
      </c>
      <c r="K32" s="7" t="str">
        <f aca="false">IF(E32="","",IFERROR(G32/E32,""))</f>
        <v/>
      </c>
      <c r="L32" s="16" t="str">
        <f aca="false">IF(E32="","",IFERROR(H32/E32,""))</f>
        <v/>
      </c>
      <c r="M32" s="8" t="n">
        <f aca="false">Inputs!$C$48+Q32</f>
        <v>2848721.71575556</v>
      </c>
      <c r="N32" s="7" t="str">
        <f aca="false">IF(H32="","",IFERROR(H32/M32-1,""))</f>
        <v/>
      </c>
      <c r="O32" s="8" t="n">
        <f aca="false">IFERROR(M32/Inputs!$C$47,0)</f>
        <v>2058.82080155786</v>
      </c>
      <c r="P32" s="7" t="str">
        <f aca="false">IF(I32="","",IFERROR(I32/O32-1,""))</f>
        <v/>
      </c>
      <c r="Q32" s="9" t="n">
        <f aca="false">'BYS Daily'!U32+'CYP Daily'!U32+'YMAL Daily'!U32</f>
        <v>56432.0607555646</v>
      </c>
      <c r="R32" s="9" t="str">
        <f aca="false">IF(AND('BYS Daily'!V32="",'CYP Daily'!V32="",'YMAL Daily'!V32=""),"",N('BYS Daily'!V32)+N('CYP Daily'!V32)+N('YMAL Daily'!V32))</f>
        <v/>
      </c>
      <c r="S32" s="45"/>
      <c r="T32" s="47"/>
    </row>
    <row r="33" customFormat="false" ht="15" hidden="false" customHeight="false" outlineLevel="0" collapsed="false">
      <c r="A33" s="44" t="n">
        <v>46322</v>
      </c>
      <c r="B33" s="20" t="str">
        <f aca="false">TEXT(A33,"ddd")</f>
        <v>Tue</v>
      </c>
      <c r="C33" s="4" t="n">
        <f aca="false">('BYS Daily'!C33=1)+('CYP Daily'!C33=1)+('YMAL Daily'!C33=1)</f>
        <v>3</v>
      </c>
      <c r="D33" s="45"/>
      <c r="E33" s="45"/>
      <c r="F33" s="45"/>
      <c r="G33" s="45"/>
      <c r="H33" s="46"/>
      <c r="I33" s="8" t="str">
        <f aca="false">IF(G33="","",IFERROR(H33/G33,""))</f>
        <v/>
      </c>
      <c r="J33" s="7" t="str">
        <f aca="false">IF(E33="","",IFERROR(F33/E33,""))</f>
        <v/>
      </c>
      <c r="K33" s="7" t="str">
        <f aca="false">IF(E33="","",IFERROR(G33/E33,""))</f>
        <v/>
      </c>
      <c r="L33" s="16" t="str">
        <f aca="false">IF(E33="","",IFERROR(H33/E33,""))</f>
        <v/>
      </c>
      <c r="M33" s="8" t="n">
        <f aca="false">Inputs!$C$48+Q33</f>
        <v>2848721.71575556</v>
      </c>
      <c r="N33" s="7" t="str">
        <f aca="false">IF(H33="","",IFERROR(H33/M33-1,""))</f>
        <v/>
      </c>
      <c r="O33" s="8" t="n">
        <f aca="false">IFERROR(M33/Inputs!$C$47,0)</f>
        <v>2058.82080155786</v>
      </c>
      <c r="P33" s="7" t="str">
        <f aca="false">IF(I33="","",IFERROR(I33/O33-1,""))</f>
        <v/>
      </c>
      <c r="Q33" s="9" t="n">
        <f aca="false">'BYS Daily'!U33+'CYP Daily'!U33+'YMAL Daily'!U33</f>
        <v>56432.0607555646</v>
      </c>
      <c r="R33" s="9" t="str">
        <f aca="false">IF(AND('BYS Daily'!V33="",'CYP Daily'!V33="",'YMAL Daily'!V33=""),"",N('BYS Daily'!V33)+N('CYP Daily'!V33)+N('YMAL Daily'!V33))</f>
        <v/>
      </c>
      <c r="S33" s="45"/>
      <c r="T33" s="47"/>
    </row>
    <row r="34" customFormat="false" ht="15" hidden="false" customHeight="false" outlineLevel="0" collapsed="false">
      <c r="A34" s="44" t="n">
        <v>46323</v>
      </c>
      <c r="B34" s="20" t="str">
        <f aca="false">TEXT(A34,"ddd")</f>
        <v>Wed</v>
      </c>
      <c r="C34" s="4" t="n">
        <f aca="false">('BYS Daily'!C34=1)+('CYP Daily'!C34=1)+('YMAL Daily'!C34=1)</f>
        <v>3</v>
      </c>
      <c r="D34" s="45"/>
      <c r="E34" s="45"/>
      <c r="F34" s="45"/>
      <c r="G34" s="45"/>
      <c r="H34" s="46"/>
      <c r="I34" s="8" t="str">
        <f aca="false">IF(G34="","",IFERROR(H34/G34,""))</f>
        <v/>
      </c>
      <c r="J34" s="7" t="str">
        <f aca="false">IF(E34="","",IFERROR(F34/E34,""))</f>
        <v/>
      </c>
      <c r="K34" s="7" t="str">
        <f aca="false">IF(E34="","",IFERROR(G34/E34,""))</f>
        <v/>
      </c>
      <c r="L34" s="16" t="str">
        <f aca="false">IF(E34="","",IFERROR(H34/E34,""))</f>
        <v/>
      </c>
      <c r="M34" s="8" t="n">
        <f aca="false">Inputs!$C$48+Q34</f>
        <v>2848721.71575556</v>
      </c>
      <c r="N34" s="7" t="str">
        <f aca="false">IF(H34="","",IFERROR(H34/M34-1,""))</f>
        <v/>
      </c>
      <c r="O34" s="8" t="n">
        <f aca="false">IFERROR(M34/Inputs!$C$47,0)</f>
        <v>2058.82080155786</v>
      </c>
      <c r="P34" s="7" t="str">
        <f aca="false">IF(I34="","",IFERROR(I34/O34-1,""))</f>
        <v/>
      </c>
      <c r="Q34" s="9" t="n">
        <f aca="false">'BYS Daily'!U34+'CYP Daily'!U34+'YMAL Daily'!U34</f>
        <v>56432.0607555646</v>
      </c>
      <c r="R34" s="9" t="str">
        <f aca="false">IF(AND('BYS Daily'!V34="",'CYP Daily'!V34="",'YMAL Daily'!V34=""),"",N('BYS Daily'!V34)+N('CYP Daily'!V34)+N('YMAL Daily'!V34))</f>
        <v/>
      </c>
      <c r="S34" s="45"/>
      <c r="T34" s="47"/>
    </row>
    <row r="35" customFormat="false" ht="15" hidden="false" customHeight="false" outlineLevel="0" collapsed="false">
      <c r="A35" s="44" t="n">
        <v>46324</v>
      </c>
      <c r="B35" s="20" t="str">
        <f aca="false">TEXT(A35,"ddd")</f>
        <v>Thu</v>
      </c>
      <c r="C35" s="4" t="n">
        <f aca="false">('BYS Daily'!C35=1)+('CYP Daily'!C35=1)+('YMAL Daily'!C35=1)</f>
        <v>3</v>
      </c>
      <c r="D35" s="45"/>
      <c r="E35" s="45"/>
      <c r="F35" s="45"/>
      <c r="G35" s="45"/>
      <c r="H35" s="46"/>
      <c r="I35" s="8" t="str">
        <f aca="false">IF(G35="","",IFERROR(H35/G35,""))</f>
        <v/>
      </c>
      <c r="J35" s="7" t="str">
        <f aca="false">IF(E35="","",IFERROR(F35/E35,""))</f>
        <v/>
      </c>
      <c r="K35" s="7" t="str">
        <f aca="false">IF(E35="","",IFERROR(G35/E35,""))</f>
        <v/>
      </c>
      <c r="L35" s="16" t="str">
        <f aca="false">IF(E35="","",IFERROR(H35/E35,""))</f>
        <v/>
      </c>
      <c r="M35" s="8" t="n">
        <f aca="false">Inputs!$C$48+Q35</f>
        <v>2848721.71575556</v>
      </c>
      <c r="N35" s="7" t="str">
        <f aca="false">IF(H35="","",IFERROR(H35/M35-1,""))</f>
        <v/>
      </c>
      <c r="O35" s="8" t="n">
        <f aca="false">IFERROR(M35/Inputs!$C$47,0)</f>
        <v>2058.82080155786</v>
      </c>
      <c r="P35" s="7" t="str">
        <f aca="false">IF(I35="","",IFERROR(I35/O35-1,""))</f>
        <v/>
      </c>
      <c r="Q35" s="9" t="n">
        <f aca="false">'BYS Daily'!U35+'CYP Daily'!U35+'YMAL Daily'!U35</f>
        <v>56432.0607555646</v>
      </c>
      <c r="R35" s="9" t="str">
        <f aca="false">IF(AND('BYS Daily'!V35="",'CYP Daily'!V35="",'YMAL Daily'!V35=""),"",N('BYS Daily'!V35)+N('CYP Daily'!V35)+N('YMAL Daily'!V35))</f>
        <v/>
      </c>
      <c r="S35" s="45"/>
      <c r="T35" s="47"/>
    </row>
    <row r="36" customFormat="false" ht="15" hidden="false" customHeight="false" outlineLevel="0" collapsed="false">
      <c r="A36" s="44" t="n">
        <v>46325</v>
      </c>
      <c r="B36" s="20" t="str">
        <f aca="false">TEXT(A36,"ddd")</f>
        <v>Fri</v>
      </c>
      <c r="C36" s="4" t="n">
        <f aca="false">('BYS Daily'!C36=1)+('CYP Daily'!C36=1)+('YMAL Daily'!C36=1)</f>
        <v>3</v>
      </c>
      <c r="D36" s="45"/>
      <c r="E36" s="45"/>
      <c r="F36" s="45"/>
      <c r="G36" s="45"/>
      <c r="H36" s="46"/>
      <c r="I36" s="8" t="str">
        <f aca="false">IF(G36="","",IFERROR(H36/G36,""))</f>
        <v/>
      </c>
      <c r="J36" s="7" t="str">
        <f aca="false">IF(E36="","",IFERROR(F36/E36,""))</f>
        <v/>
      </c>
      <c r="K36" s="7" t="str">
        <f aca="false">IF(E36="","",IFERROR(G36/E36,""))</f>
        <v/>
      </c>
      <c r="L36" s="16" t="str">
        <f aca="false">IF(E36="","",IFERROR(H36/E36,""))</f>
        <v/>
      </c>
      <c r="M36" s="8" t="n">
        <f aca="false">Inputs!$C$48+Q36</f>
        <v>2848721.71575556</v>
      </c>
      <c r="N36" s="7" t="str">
        <f aca="false">IF(H36="","",IFERROR(H36/M36-1,""))</f>
        <v/>
      </c>
      <c r="O36" s="8" t="n">
        <f aca="false">IFERROR(M36/Inputs!$C$47,0)</f>
        <v>2058.82080155786</v>
      </c>
      <c r="P36" s="7" t="str">
        <f aca="false">IF(I36="","",IFERROR(I36/O36-1,""))</f>
        <v/>
      </c>
      <c r="Q36" s="9" t="n">
        <f aca="false">'BYS Daily'!U36+'CYP Daily'!U36+'YMAL Daily'!U36</f>
        <v>56432.0607555646</v>
      </c>
      <c r="R36" s="9" t="str">
        <f aca="false">IF(AND('BYS Daily'!V36="",'CYP Daily'!V36="",'YMAL Daily'!V36=""),"",N('BYS Daily'!V36)+N('CYP Daily'!V36)+N('YMAL Daily'!V36))</f>
        <v/>
      </c>
      <c r="S36" s="45"/>
      <c r="T36" s="47"/>
    </row>
    <row r="37" customFormat="false" ht="15" hidden="false" customHeight="false" outlineLevel="0" collapsed="false">
      <c r="A37" s="44" t="n">
        <v>46326</v>
      </c>
      <c r="B37" s="20" t="str">
        <f aca="false">TEXT(A37,"ddd")</f>
        <v>Sat</v>
      </c>
      <c r="C37" s="4" t="n">
        <f aca="false">('BYS Daily'!C37=1)+('CYP Daily'!C37=1)+('YMAL Daily'!C37=1)</f>
        <v>3</v>
      </c>
      <c r="D37" s="45"/>
      <c r="E37" s="45"/>
      <c r="F37" s="45"/>
      <c r="G37" s="45"/>
      <c r="H37" s="46"/>
      <c r="I37" s="8" t="str">
        <f aca="false">IF(G37="","",IFERROR(H37/G37,""))</f>
        <v/>
      </c>
      <c r="J37" s="7" t="str">
        <f aca="false">IF(E37="","",IFERROR(F37/E37,""))</f>
        <v/>
      </c>
      <c r="K37" s="7" t="str">
        <f aca="false">IF(E37="","",IFERROR(G37/E37,""))</f>
        <v/>
      </c>
      <c r="L37" s="16" t="str">
        <f aca="false">IF(E37="","",IFERROR(H37/E37,""))</f>
        <v/>
      </c>
      <c r="M37" s="8" t="n">
        <f aca="false">Inputs!$C$48+Q37</f>
        <v>2848721.71575556</v>
      </c>
      <c r="N37" s="7" t="str">
        <f aca="false">IF(H37="","",IFERROR(H37/M37-1,""))</f>
        <v/>
      </c>
      <c r="O37" s="8" t="n">
        <f aca="false">IFERROR(M37/Inputs!$C$47,0)</f>
        <v>2058.82080155786</v>
      </c>
      <c r="P37" s="7" t="str">
        <f aca="false">IF(I37="","",IFERROR(I37/O37-1,""))</f>
        <v/>
      </c>
      <c r="Q37" s="9" t="n">
        <f aca="false">'BYS Daily'!U37+'CYP Daily'!U37+'YMAL Daily'!U37</f>
        <v>56432.0607555646</v>
      </c>
      <c r="R37" s="9" t="str">
        <f aca="false">IF(AND('BYS Daily'!V37="",'CYP Daily'!V37="",'YMAL Daily'!V37=""),"",N('BYS Daily'!V37)+N('CYP Daily'!V37)+N('YMAL Daily'!V37))</f>
        <v/>
      </c>
      <c r="S37" s="45"/>
      <c r="T37" s="47"/>
    </row>
    <row r="38" customFormat="false" ht="15" hidden="false" customHeight="false" outlineLevel="0" collapsed="false">
      <c r="A38" s="44" t="n">
        <v>46327</v>
      </c>
      <c r="B38" s="20" t="str">
        <f aca="false">TEXT(A38,"ddd")</f>
        <v>Sun</v>
      </c>
      <c r="C38" s="4" t="n">
        <f aca="false">('BYS Daily'!C38=1)+('CYP Daily'!C38=1)+('YMAL Daily'!C38=1)</f>
        <v>3</v>
      </c>
      <c r="D38" s="45"/>
      <c r="E38" s="45"/>
      <c r="F38" s="45"/>
      <c r="G38" s="45"/>
      <c r="H38" s="46"/>
      <c r="I38" s="8" t="str">
        <f aca="false">IF(G38="","",IFERROR(H38/G38,""))</f>
        <v/>
      </c>
      <c r="J38" s="7" t="str">
        <f aca="false">IF(E38="","",IFERROR(F38/E38,""))</f>
        <v/>
      </c>
      <c r="K38" s="7" t="str">
        <f aca="false">IF(E38="","",IFERROR(G38/E38,""))</f>
        <v/>
      </c>
      <c r="L38" s="16" t="str">
        <f aca="false">IF(E38="","",IFERROR(H38/E38,""))</f>
        <v/>
      </c>
      <c r="M38" s="8" t="n">
        <f aca="false">Inputs!$C$48+Q38</f>
        <v>2848721.71575556</v>
      </c>
      <c r="N38" s="7" t="str">
        <f aca="false">IF(H38="","",IFERROR(H38/M38-1,""))</f>
        <v/>
      </c>
      <c r="O38" s="8" t="n">
        <f aca="false">IFERROR(M38/Inputs!$C$47,0)</f>
        <v>2058.82080155786</v>
      </c>
      <c r="P38" s="7" t="str">
        <f aca="false">IF(I38="","",IFERROR(I38/O38-1,""))</f>
        <v/>
      </c>
      <c r="Q38" s="9" t="n">
        <f aca="false">'BYS Daily'!U38+'CYP Daily'!U38+'YMAL Daily'!U38</f>
        <v>56432.0607555646</v>
      </c>
      <c r="R38" s="9" t="str">
        <f aca="false">IF(AND('BYS Daily'!V38="",'CYP Daily'!V38="",'YMAL Daily'!V38=""),"",N('BYS Daily'!V38)+N('CYP Daily'!V38)+N('YMAL Daily'!V38))</f>
        <v/>
      </c>
      <c r="S38" s="45"/>
      <c r="T38" s="47"/>
    </row>
    <row r="39" customFormat="false" ht="15" hidden="false" customHeight="false" outlineLevel="0" collapsed="false">
      <c r="A39" s="44" t="n">
        <v>46328</v>
      </c>
      <c r="B39" s="20" t="str">
        <f aca="false">TEXT(A39,"ddd")</f>
        <v>Mon</v>
      </c>
      <c r="C39" s="4" t="n">
        <f aca="false">('BYS Daily'!C39=1)+('CYP Daily'!C39=1)+('YMAL Daily'!C39=1)</f>
        <v>3</v>
      </c>
      <c r="D39" s="45"/>
      <c r="E39" s="45"/>
      <c r="F39" s="45"/>
      <c r="G39" s="45"/>
      <c r="H39" s="46"/>
      <c r="I39" s="8" t="str">
        <f aca="false">IF(G39="","",IFERROR(H39/G39,""))</f>
        <v/>
      </c>
      <c r="J39" s="7" t="str">
        <f aca="false">IF(E39="","",IFERROR(F39/E39,""))</f>
        <v/>
      </c>
      <c r="K39" s="7" t="str">
        <f aca="false">IF(E39="","",IFERROR(G39/E39,""))</f>
        <v/>
      </c>
      <c r="L39" s="16" t="str">
        <f aca="false">IF(E39="","",IFERROR(H39/E39,""))</f>
        <v/>
      </c>
      <c r="M39" s="8" t="n">
        <f aca="false">Inputs!$C$48+Q39</f>
        <v>2848721.71575556</v>
      </c>
      <c r="N39" s="7" t="str">
        <f aca="false">IF(H39="","",IFERROR(H39/M39-1,""))</f>
        <v/>
      </c>
      <c r="O39" s="8" t="n">
        <f aca="false">IFERROR(M39/Inputs!$C$47,0)</f>
        <v>2058.82080155786</v>
      </c>
      <c r="P39" s="7" t="str">
        <f aca="false">IF(I39="","",IFERROR(I39/O39-1,""))</f>
        <v/>
      </c>
      <c r="Q39" s="9" t="n">
        <f aca="false">'BYS Daily'!U39+'CYP Daily'!U39+'YMAL Daily'!U39</f>
        <v>56432.0607555646</v>
      </c>
      <c r="R39" s="9" t="str">
        <f aca="false">IF(AND('BYS Daily'!V39="",'CYP Daily'!V39="",'YMAL Daily'!V39=""),"",N('BYS Daily'!V39)+N('CYP Daily'!V39)+N('YMAL Daily'!V39))</f>
        <v/>
      </c>
      <c r="S39" s="45"/>
      <c r="T39" s="47"/>
    </row>
    <row r="40" customFormat="false" ht="15" hidden="false" customHeight="false" outlineLevel="0" collapsed="false">
      <c r="A40" s="44" t="n">
        <v>46329</v>
      </c>
      <c r="B40" s="20" t="str">
        <f aca="false">TEXT(A40,"ddd")</f>
        <v>Tue</v>
      </c>
      <c r="C40" s="4" t="n">
        <f aca="false">('BYS Daily'!C40=1)+('CYP Daily'!C40=1)+('YMAL Daily'!C40=1)</f>
        <v>3</v>
      </c>
      <c r="D40" s="45"/>
      <c r="E40" s="45"/>
      <c r="F40" s="45"/>
      <c r="G40" s="45"/>
      <c r="H40" s="46"/>
      <c r="I40" s="8" t="str">
        <f aca="false">IF(G40="","",IFERROR(H40/G40,""))</f>
        <v/>
      </c>
      <c r="J40" s="7" t="str">
        <f aca="false">IF(E40="","",IFERROR(F40/E40,""))</f>
        <v/>
      </c>
      <c r="K40" s="7" t="str">
        <f aca="false">IF(E40="","",IFERROR(G40/E40,""))</f>
        <v/>
      </c>
      <c r="L40" s="16" t="str">
        <f aca="false">IF(E40="","",IFERROR(H40/E40,""))</f>
        <v/>
      </c>
      <c r="M40" s="8" t="n">
        <f aca="false">Inputs!$C$48+Q40</f>
        <v>2848721.71575556</v>
      </c>
      <c r="N40" s="7" t="str">
        <f aca="false">IF(H40="","",IFERROR(H40/M40-1,""))</f>
        <v/>
      </c>
      <c r="O40" s="8" t="n">
        <f aca="false">IFERROR(M40/Inputs!$C$47,0)</f>
        <v>2058.82080155786</v>
      </c>
      <c r="P40" s="7" t="str">
        <f aca="false">IF(I40="","",IFERROR(I40/O40-1,""))</f>
        <v/>
      </c>
      <c r="Q40" s="9" t="n">
        <f aca="false">'BYS Daily'!U40+'CYP Daily'!U40+'YMAL Daily'!U40</f>
        <v>56432.0607555646</v>
      </c>
      <c r="R40" s="9" t="str">
        <f aca="false">IF(AND('BYS Daily'!V40="",'CYP Daily'!V40="",'YMAL Daily'!V40=""),"",N('BYS Daily'!V40)+N('CYP Daily'!V40)+N('YMAL Daily'!V40))</f>
        <v/>
      </c>
      <c r="S40" s="45"/>
      <c r="T40" s="47"/>
    </row>
    <row r="41" customFormat="false" ht="15" hidden="false" customHeight="false" outlineLevel="0" collapsed="false">
      <c r="A41" s="44" t="n">
        <v>46330</v>
      </c>
      <c r="B41" s="20" t="str">
        <f aca="false">TEXT(A41,"ddd")</f>
        <v>Wed</v>
      </c>
      <c r="C41" s="4" t="n">
        <f aca="false">('BYS Daily'!C41=1)+('CYP Daily'!C41=1)+('YMAL Daily'!C41=1)</f>
        <v>3</v>
      </c>
      <c r="D41" s="45"/>
      <c r="E41" s="45"/>
      <c r="F41" s="45"/>
      <c r="G41" s="45"/>
      <c r="H41" s="46"/>
      <c r="I41" s="8" t="str">
        <f aca="false">IF(G41="","",IFERROR(H41/G41,""))</f>
        <v/>
      </c>
      <c r="J41" s="7" t="str">
        <f aca="false">IF(E41="","",IFERROR(F41/E41,""))</f>
        <v/>
      </c>
      <c r="K41" s="7" t="str">
        <f aca="false">IF(E41="","",IFERROR(G41/E41,""))</f>
        <v/>
      </c>
      <c r="L41" s="16" t="str">
        <f aca="false">IF(E41="","",IFERROR(H41/E41,""))</f>
        <v/>
      </c>
      <c r="M41" s="8" t="n">
        <f aca="false">Inputs!$C$48+Q41</f>
        <v>2848721.71575556</v>
      </c>
      <c r="N41" s="7" t="str">
        <f aca="false">IF(H41="","",IFERROR(H41/M41-1,""))</f>
        <v/>
      </c>
      <c r="O41" s="8" t="n">
        <f aca="false">IFERROR(M41/Inputs!$C$47,0)</f>
        <v>2058.82080155786</v>
      </c>
      <c r="P41" s="7" t="str">
        <f aca="false">IF(I41="","",IFERROR(I41/O41-1,""))</f>
        <v/>
      </c>
      <c r="Q41" s="9" t="n">
        <f aca="false">'BYS Daily'!U41+'CYP Daily'!U41+'YMAL Daily'!U41</f>
        <v>56432.0607555646</v>
      </c>
      <c r="R41" s="9" t="str">
        <f aca="false">IF(AND('BYS Daily'!V41="",'CYP Daily'!V41="",'YMAL Daily'!V41=""),"",N('BYS Daily'!V41)+N('CYP Daily'!V41)+N('YMAL Daily'!V41))</f>
        <v/>
      </c>
      <c r="S41" s="45"/>
      <c r="T41" s="47"/>
    </row>
    <row r="42" customFormat="false" ht="15" hidden="false" customHeight="false" outlineLevel="0" collapsed="false">
      <c r="A42" s="44" t="n">
        <v>46331</v>
      </c>
      <c r="B42" s="20" t="str">
        <f aca="false">TEXT(A42,"ddd")</f>
        <v>Thu</v>
      </c>
      <c r="C42" s="4" t="n">
        <f aca="false">('BYS Daily'!C42=1)+('CYP Daily'!C42=1)+('YMAL Daily'!C42=1)</f>
        <v>3</v>
      </c>
      <c r="D42" s="45"/>
      <c r="E42" s="45"/>
      <c r="F42" s="45"/>
      <c r="G42" s="45"/>
      <c r="H42" s="46"/>
      <c r="I42" s="8" t="str">
        <f aca="false">IF(G42="","",IFERROR(H42/G42,""))</f>
        <v/>
      </c>
      <c r="J42" s="7" t="str">
        <f aca="false">IF(E42="","",IFERROR(F42/E42,""))</f>
        <v/>
      </c>
      <c r="K42" s="7" t="str">
        <f aca="false">IF(E42="","",IFERROR(G42/E42,""))</f>
        <v/>
      </c>
      <c r="L42" s="16" t="str">
        <f aca="false">IF(E42="","",IFERROR(H42/E42,""))</f>
        <v/>
      </c>
      <c r="M42" s="8" t="n">
        <f aca="false">Inputs!$C$48+Q42</f>
        <v>2848721.71575556</v>
      </c>
      <c r="N42" s="7" t="str">
        <f aca="false">IF(H42="","",IFERROR(H42/M42-1,""))</f>
        <v/>
      </c>
      <c r="O42" s="8" t="n">
        <f aca="false">IFERROR(M42/Inputs!$C$47,0)</f>
        <v>2058.82080155786</v>
      </c>
      <c r="P42" s="7" t="str">
        <f aca="false">IF(I42="","",IFERROR(I42/O42-1,""))</f>
        <v/>
      </c>
      <c r="Q42" s="9" t="n">
        <f aca="false">'BYS Daily'!U42+'CYP Daily'!U42+'YMAL Daily'!U42</f>
        <v>56432.0607555646</v>
      </c>
      <c r="R42" s="9" t="str">
        <f aca="false">IF(AND('BYS Daily'!V42="",'CYP Daily'!V42="",'YMAL Daily'!V42=""),"",N('BYS Daily'!V42)+N('CYP Daily'!V42)+N('YMAL Daily'!V42))</f>
        <v/>
      </c>
      <c r="S42" s="45"/>
      <c r="T42" s="47"/>
    </row>
    <row r="43" customFormat="false" ht="15" hidden="false" customHeight="false" outlineLevel="0" collapsed="false">
      <c r="A43" s="44" t="n">
        <v>46332</v>
      </c>
      <c r="B43" s="20" t="str">
        <f aca="false">TEXT(A43,"ddd")</f>
        <v>Fri</v>
      </c>
      <c r="C43" s="4" t="n">
        <f aca="false">('BYS Daily'!C43=1)+('CYP Daily'!C43=1)+('YMAL Daily'!C43=1)</f>
        <v>3</v>
      </c>
      <c r="D43" s="45"/>
      <c r="E43" s="45"/>
      <c r="F43" s="45"/>
      <c r="G43" s="45"/>
      <c r="H43" s="46"/>
      <c r="I43" s="8" t="str">
        <f aca="false">IF(G43="","",IFERROR(H43/G43,""))</f>
        <v/>
      </c>
      <c r="J43" s="7" t="str">
        <f aca="false">IF(E43="","",IFERROR(F43/E43,""))</f>
        <v/>
      </c>
      <c r="K43" s="7" t="str">
        <f aca="false">IF(E43="","",IFERROR(G43/E43,""))</f>
        <v/>
      </c>
      <c r="L43" s="16" t="str">
        <f aca="false">IF(E43="","",IFERROR(H43/E43,""))</f>
        <v/>
      </c>
      <c r="M43" s="8" t="n">
        <f aca="false">Inputs!$C$48+Q43</f>
        <v>2848721.71575556</v>
      </c>
      <c r="N43" s="7" t="str">
        <f aca="false">IF(H43="","",IFERROR(H43/M43-1,""))</f>
        <v/>
      </c>
      <c r="O43" s="8" t="n">
        <f aca="false">IFERROR(M43/Inputs!$C$47,0)</f>
        <v>2058.82080155786</v>
      </c>
      <c r="P43" s="7" t="str">
        <f aca="false">IF(I43="","",IFERROR(I43/O43-1,""))</f>
        <v/>
      </c>
      <c r="Q43" s="9" t="n">
        <f aca="false">'BYS Daily'!U43+'CYP Daily'!U43+'YMAL Daily'!U43</f>
        <v>56432.0607555646</v>
      </c>
      <c r="R43" s="9" t="str">
        <f aca="false">IF(AND('BYS Daily'!V43="",'CYP Daily'!V43="",'YMAL Daily'!V43=""),"",N('BYS Daily'!V43)+N('CYP Daily'!V43)+N('YMAL Daily'!V43))</f>
        <v/>
      </c>
      <c r="S43" s="45"/>
      <c r="T43" s="47"/>
    </row>
    <row r="44" customFormat="false" ht="15" hidden="false" customHeight="false" outlineLevel="0" collapsed="false">
      <c r="A44" s="44" t="n">
        <v>46333</v>
      </c>
      <c r="B44" s="20" t="str">
        <f aca="false">TEXT(A44,"ddd")</f>
        <v>Sat</v>
      </c>
      <c r="C44" s="4" t="n">
        <f aca="false">('BYS Daily'!C44=1)+('CYP Daily'!C44=1)+('YMAL Daily'!C44=1)</f>
        <v>3</v>
      </c>
      <c r="D44" s="45"/>
      <c r="E44" s="45"/>
      <c r="F44" s="45"/>
      <c r="G44" s="45"/>
      <c r="H44" s="46"/>
      <c r="I44" s="8" t="str">
        <f aca="false">IF(G44="","",IFERROR(H44/G44,""))</f>
        <v/>
      </c>
      <c r="J44" s="7" t="str">
        <f aca="false">IF(E44="","",IFERROR(F44/E44,""))</f>
        <v/>
      </c>
      <c r="K44" s="7" t="str">
        <f aca="false">IF(E44="","",IFERROR(G44/E44,""))</f>
        <v/>
      </c>
      <c r="L44" s="16" t="str">
        <f aca="false">IF(E44="","",IFERROR(H44/E44,""))</f>
        <v/>
      </c>
      <c r="M44" s="8" t="n">
        <f aca="false">Inputs!$C$48+Q44</f>
        <v>2848721.71575556</v>
      </c>
      <c r="N44" s="7" t="str">
        <f aca="false">IF(H44="","",IFERROR(H44/M44-1,""))</f>
        <v/>
      </c>
      <c r="O44" s="8" t="n">
        <f aca="false">IFERROR(M44/Inputs!$C$47,0)</f>
        <v>2058.82080155786</v>
      </c>
      <c r="P44" s="7" t="str">
        <f aca="false">IF(I44="","",IFERROR(I44/O44-1,""))</f>
        <v/>
      </c>
      <c r="Q44" s="9" t="n">
        <f aca="false">'BYS Daily'!U44+'CYP Daily'!U44+'YMAL Daily'!U44</f>
        <v>56432.0607555646</v>
      </c>
      <c r="R44" s="9" t="str">
        <f aca="false">IF(AND('BYS Daily'!V44="",'CYP Daily'!V44="",'YMAL Daily'!V44=""),"",N('BYS Daily'!V44)+N('CYP Daily'!V44)+N('YMAL Daily'!V44))</f>
        <v/>
      </c>
      <c r="S44" s="45"/>
      <c r="T44" s="47"/>
    </row>
    <row r="45" customFormat="false" ht="15" hidden="false" customHeight="false" outlineLevel="0" collapsed="false">
      <c r="A45" s="44" t="n">
        <v>46334</v>
      </c>
      <c r="B45" s="20" t="str">
        <f aca="false">TEXT(A45,"ddd")</f>
        <v>Sun</v>
      </c>
      <c r="C45" s="4" t="n">
        <f aca="false">('BYS Daily'!C45=1)+('CYP Daily'!C45=1)+('YMAL Daily'!C45=1)</f>
        <v>3</v>
      </c>
      <c r="D45" s="45"/>
      <c r="E45" s="45"/>
      <c r="F45" s="45"/>
      <c r="G45" s="45"/>
      <c r="H45" s="46"/>
      <c r="I45" s="8" t="str">
        <f aca="false">IF(G45="","",IFERROR(H45/G45,""))</f>
        <v/>
      </c>
      <c r="J45" s="7" t="str">
        <f aca="false">IF(E45="","",IFERROR(F45/E45,""))</f>
        <v/>
      </c>
      <c r="K45" s="7" t="str">
        <f aca="false">IF(E45="","",IFERROR(G45/E45,""))</f>
        <v/>
      </c>
      <c r="L45" s="16" t="str">
        <f aca="false">IF(E45="","",IFERROR(H45/E45,""))</f>
        <v/>
      </c>
      <c r="M45" s="8" t="n">
        <f aca="false">Inputs!$C$48+Q45</f>
        <v>2848721.71575556</v>
      </c>
      <c r="N45" s="7" t="str">
        <f aca="false">IF(H45="","",IFERROR(H45/M45-1,""))</f>
        <v/>
      </c>
      <c r="O45" s="8" t="n">
        <f aca="false">IFERROR(M45/Inputs!$C$47,0)</f>
        <v>2058.82080155786</v>
      </c>
      <c r="P45" s="7" t="str">
        <f aca="false">IF(I45="","",IFERROR(I45/O45-1,""))</f>
        <v/>
      </c>
      <c r="Q45" s="9" t="n">
        <f aca="false">'BYS Daily'!U45+'CYP Daily'!U45+'YMAL Daily'!U45</f>
        <v>56432.0607555646</v>
      </c>
      <c r="R45" s="9" t="str">
        <f aca="false">IF(AND('BYS Daily'!V45="",'CYP Daily'!V45="",'YMAL Daily'!V45=""),"",N('BYS Daily'!V45)+N('CYP Daily'!V45)+N('YMAL Daily'!V45))</f>
        <v/>
      </c>
      <c r="S45" s="45"/>
      <c r="T45" s="47"/>
    </row>
    <row r="46" customFormat="false" ht="15" hidden="false" customHeight="false" outlineLevel="0" collapsed="false">
      <c r="A46" s="44" t="n">
        <v>46335</v>
      </c>
      <c r="B46" s="20" t="str">
        <f aca="false">TEXT(A46,"ddd")</f>
        <v>Mon</v>
      </c>
      <c r="C46" s="4" t="n">
        <f aca="false">('BYS Daily'!C46=1)+('CYP Daily'!C46=1)+('YMAL Daily'!C46=1)</f>
        <v>3</v>
      </c>
      <c r="D46" s="45"/>
      <c r="E46" s="45"/>
      <c r="F46" s="45"/>
      <c r="G46" s="45"/>
      <c r="H46" s="46"/>
      <c r="I46" s="8" t="str">
        <f aca="false">IF(G46="","",IFERROR(H46/G46,""))</f>
        <v/>
      </c>
      <c r="J46" s="7" t="str">
        <f aca="false">IF(E46="","",IFERROR(F46/E46,""))</f>
        <v/>
      </c>
      <c r="K46" s="7" t="str">
        <f aca="false">IF(E46="","",IFERROR(G46/E46,""))</f>
        <v/>
      </c>
      <c r="L46" s="16" t="str">
        <f aca="false">IF(E46="","",IFERROR(H46/E46,""))</f>
        <v/>
      </c>
      <c r="M46" s="8" t="n">
        <f aca="false">Inputs!$C$48+Q46</f>
        <v>2848721.71575556</v>
      </c>
      <c r="N46" s="7" t="str">
        <f aca="false">IF(H46="","",IFERROR(H46/M46-1,""))</f>
        <v/>
      </c>
      <c r="O46" s="8" t="n">
        <f aca="false">IFERROR(M46/Inputs!$C$47,0)</f>
        <v>2058.82080155786</v>
      </c>
      <c r="P46" s="7" t="str">
        <f aca="false">IF(I46="","",IFERROR(I46/O46-1,""))</f>
        <v/>
      </c>
      <c r="Q46" s="9" t="n">
        <f aca="false">'BYS Daily'!U46+'CYP Daily'!U46+'YMAL Daily'!U46</f>
        <v>56432.0607555646</v>
      </c>
      <c r="R46" s="9" t="str">
        <f aca="false">IF(AND('BYS Daily'!V46="",'CYP Daily'!V46="",'YMAL Daily'!V46=""),"",N('BYS Daily'!V46)+N('CYP Daily'!V46)+N('YMAL Daily'!V46))</f>
        <v/>
      </c>
      <c r="S46" s="45"/>
      <c r="T46" s="47"/>
    </row>
    <row r="47" customFormat="false" ht="15" hidden="false" customHeight="false" outlineLevel="0" collapsed="false">
      <c r="A47" s="44" t="n">
        <v>46336</v>
      </c>
      <c r="B47" s="20" t="str">
        <f aca="false">TEXT(A47,"ddd")</f>
        <v>Tue</v>
      </c>
      <c r="C47" s="4" t="n">
        <f aca="false">('BYS Daily'!C47=1)+('CYP Daily'!C47=1)+('YMAL Daily'!C47=1)</f>
        <v>3</v>
      </c>
      <c r="D47" s="45"/>
      <c r="E47" s="45"/>
      <c r="F47" s="45"/>
      <c r="G47" s="45"/>
      <c r="H47" s="46"/>
      <c r="I47" s="8" t="str">
        <f aca="false">IF(G47="","",IFERROR(H47/G47,""))</f>
        <v/>
      </c>
      <c r="J47" s="7" t="str">
        <f aca="false">IF(E47="","",IFERROR(F47/E47,""))</f>
        <v/>
      </c>
      <c r="K47" s="7" t="str">
        <f aca="false">IF(E47="","",IFERROR(G47/E47,""))</f>
        <v/>
      </c>
      <c r="L47" s="16" t="str">
        <f aca="false">IF(E47="","",IFERROR(H47/E47,""))</f>
        <v/>
      </c>
      <c r="M47" s="8" t="n">
        <f aca="false">Inputs!$C$48+Q47</f>
        <v>2848721.71575556</v>
      </c>
      <c r="N47" s="7" t="str">
        <f aca="false">IF(H47="","",IFERROR(H47/M47-1,""))</f>
        <v/>
      </c>
      <c r="O47" s="8" t="n">
        <f aca="false">IFERROR(M47/Inputs!$C$47,0)</f>
        <v>2058.82080155786</v>
      </c>
      <c r="P47" s="7" t="str">
        <f aca="false">IF(I47="","",IFERROR(I47/O47-1,""))</f>
        <v/>
      </c>
      <c r="Q47" s="9" t="n">
        <f aca="false">'BYS Daily'!U47+'CYP Daily'!U47+'YMAL Daily'!U47</f>
        <v>56432.0607555646</v>
      </c>
      <c r="R47" s="9" t="str">
        <f aca="false">IF(AND('BYS Daily'!V47="",'CYP Daily'!V47="",'YMAL Daily'!V47=""),"",N('BYS Daily'!V47)+N('CYP Daily'!V47)+N('YMAL Daily'!V47))</f>
        <v/>
      </c>
      <c r="S47" s="45"/>
      <c r="T47" s="47"/>
    </row>
    <row r="48" customFormat="false" ht="15" hidden="false" customHeight="false" outlineLevel="0" collapsed="false">
      <c r="A48" s="44" t="n">
        <v>46337</v>
      </c>
      <c r="B48" s="20" t="str">
        <f aca="false">TEXT(A48,"ddd")</f>
        <v>Wed</v>
      </c>
      <c r="C48" s="4" t="n">
        <f aca="false">('BYS Daily'!C48=1)+('CYP Daily'!C48=1)+('YMAL Daily'!C48=1)</f>
        <v>3</v>
      </c>
      <c r="D48" s="45"/>
      <c r="E48" s="45"/>
      <c r="F48" s="45"/>
      <c r="G48" s="45"/>
      <c r="H48" s="46"/>
      <c r="I48" s="8" t="str">
        <f aca="false">IF(G48="","",IFERROR(H48/G48,""))</f>
        <v/>
      </c>
      <c r="J48" s="7" t="str">
        <f aca="false">IF(E48="","",IFERROR(F48/E48,""))</f>
        <v/>
      </c>
      <c r="K48" s="7" t="str">
        <f aca="false">IF(E48="","",IFERROR(G48/E48,""))</f>
        <v/>
      </c>
      <c r="L48" s="16" t="str">
        <f aca="false">IF(E48="","",IFERROR(H48/E48,""))</f>
        <v/>
      </c>
      <c r="M48" s="8" t="n">
        <f aca="false">Inputs!$C$48+Q48</f>
        <v>2848721.71575556</v>
      </c>
      <c r="N48" s="7" t="str">
        <f aca="false">IF(H48="","",IFERROR(H48/M48-1,""))</f>
        <v/>
      </c>
      <c r="O48" s="8" t="n">
        <f aca="false">IFERROR(M48/Inputs!$C$47,0)</f>
        <v>2058.82080155786</v>
      </c>
      <c r="P48" s="7" t="str">
        <f aca="false">IF(I48="","",IFERROR(I48/O48-1,""))</f>
        <v/>
      </c>
      <c r="Q48" s="9" t="n">
        <f aca="false">'BYS Daily'!U48+'CYP Daily'!U48+'YMAL Daily'!U48</f>
        <v>56432.0607555646</v>
      </c>
      <c r="R48" s="9" t="str">
        <f aca="false">IF(AND('BYS Daily'!V48="",'CYP Daily'!V48="",'YMAL Daily'!V48=""),"",N('BYS Daily'!V48)+N('CYP Daily'!V48)+N('YMAL Daily'!V48))</f>
        <v/>
      </c>
      <c r="S48" s="45"/>
      <c r="T48" s="47"/>
    </row>
    <row r="49" customFormat="false" ht="15" hidden="false" customHeight="false" outlineLevel="0" collapsed="false">
      <c r="A49" s="44" t="n">
        <v>46338</v>
      </c>
      <c r="B49" s="20" t="str">
        <f aca="false">TEXT(A49,"ddd")</f>
        <v>Thu</v>
      </c>
      <c r="C49" s="4" t="n">
        <f aca="false">('BYS Daily'!C49=1)+('CYP Daily'!C49=1)+('YMAL Daily'!C49=1)</f>
        <v>3</v>
      </c>
      <c r="D49" s="45"/>
      <c r="E49" s="45"/>
      <c r="F49" s="45"/>
      <c r="G49" s="45"/>
      <c r="H49" s="46"/>
      <c r="I49" s="8" t="str">
        <f aca="false">IF(G49="","",IFERROR(H49/G49,""))</f>
        <v/>
      </c>
      <c r="J49" s="7" t="str">
        <f aca="false">IF(E49="","",IFERROR(F49/E49,""))</f>
        <v/>
      </c>
      <c r="K49" s="7" t="str">
        <f aca="false">IF(E49="","",IFERROR(G49/E49,""))</f>
        <v/>
      </c>
      <c r="L49" s="16" t="str">
        <f aca="false">IF(E49="","",IFERROR(H49/E49,""))</f>
        <v/>
      </c>
      <c r="M49" s="8" t="n">
        <f aca="false">Inputs!$C$48+Q49</f>
        <v>2848721.71575556</v>
      </c>
      <c r="N49" s="7" t="str">
        <f aca="false">IF(H49="","",IFERROR(H49/M49-1,""))</f>
        <v/>
      </c>
      <c r="O49" s="8" t="n">
        <f aca="false">IFERROR(M49/Inputs!$C$47,0)</f>
        <v>2058.82080155786</v>
      </c>
      <c r="P49" s="7" t="str">
        <f aca="false">IF(I49="","",IFERROR(I49/O49-1,""))</f>
        <v/>
      </c>
      <c r="Q49" s="9" t="n">
        <f aca="false">'BYS Daily'!U49+'CYP Daily'!U49+'YMAL Daily'!U49</f>
        <v>56432.0607555646</v>
      </c>
      <c r="R49" s="9" t="str">
        <f aca="false">IF(AND('BYS Daily'!V49="",'CYP Daily'!V49="",'YMAL Daily'!V49=""),"",N('BYS Daily'!V49)+N('CYP Daily'!V49)+N('YMAL Daily'!V49))</f>
        <v/>
      </c>
      <c r="S49" s="45"/>
      <c r="T49" s="47"/>
    </row>
    <row r="50" customFormat="false" ht="15" hidden="false" customHeight="false" outlineLevel="0" collapsed="false">
      <c r="A50" s="44" t="n">
        <v>46339</v>
      </c>
      <c r="B50" s="20" t="str">
        <f aca="false">TEXT(A50,"ddd")</f>
        <v>Fri</v>
      </c>
      <c r="C50" s="4" t="n">
        <f aca="false">('BYS Daily'!C50=1)+('CYP Daily'!C50=1)+('YMAL Daily'!C50=1)</f>
        <v>3</v>
      </c>
      <c r="D50" s="45"/>
      <c r="E50" s="45"/>
      <c r="F50" s="45"/>
      <c r="G50" s="45"/>
      <c r="H50" s="46"/>
      <c r="I50" s="8" t="str">
        <f aca="false">IF(G50="","",IFERROR(H50/G50,""))</f>
        <v/>
      </c>
      <c r="J50" s="7" t="str">
        <f aca="false">IF(E50="","",IFERROR(F50/E50,""))</f>
        <v/>
      </c>
      <c r="K50" s="7" t="str">
        <f aca="false">IF(E50="","",IFERROR(G50/E50,""))</f>
        <v/>
      </c>
      <c r="L50" s="16" t="str">
        <f aca="false">IF(E50="","",IFERROR(H50/E50,""))</f>
        <v/>
      </c>
      <c r="M50" s="8" t="n">
        <f aca="false">Inputs!$C$48+Q50</f>
        <v>2848721.71575556</v>
      </c>
      <c r="N50" s="7" t="str">
        <f aca="false">IF(H50="","",IFERROR(H50/M50-1,""))</f>
        <v/>
      </c>
      <c r="O50" s="8" t="n">
        <f aca="false">IFERROR(M50/Inputs!$C$47,0)</f>
        <v>2058.82080155786</v>
      </c>
      <c r="P50" s="7" t="str">
        <f aca="false">IF(I50="","",IFERROR(I50/O50-1,""))</f>
        <v/>
      </c>
      <c r="Q50" s="9" t="n">
        <f aca="false">'BYS Daily'!U50+'CYP Daily'!U50+'YMAL Daily'!U50</f>
        <v>56432.0607555646</v>
      </c>
      <c r="R50" s="9" t="str">
        <f aca="false">IF(AND('BYS Daily'!V50="",'CYP Daily'!V50="",'YMAL Daily'!V50=""),"",N('BYS Daily'!V50)+N('CYP Daily'!V50)+N('YMAL Daily'!V50))</f>
        <v/>
      </c>
      <c r="S50" s="45"/>
      <c r="T50" s="47"/>
    </row>
    <row r="51" customFormat="false" ht="15" hidden="false" customHeight="false" outlineLevel="0" collapsed="false">
      <c r="A51" s="44" t="n">
        <v>46340</v>
      </c>
      <c r="B51" s="20" t="str">
        <f aca="false">TEXT(A51,"ddd")</f>
        <v>Sat</v>
      </c>
      <c r="C51" s="4" t="n">
        <f aca="false">('BYS Daily'!C51=1)+('CYP Daily'!C51=1)+('YMAL Daily'!C51=1)</f>
        <v>3</v>
      </c>
      <c r="D51" s="45"/>
      <c r="E51" s="45"/>
      <c r="F51" s="45"/>
      <c r="G51" s="45"/>
      <c r="H51" s="46"/>
      <c r="I51" s="8" t="str">
        <f aca="false">IF(G51="","",IFERROR(H51/G51,""))</f>
        <v/>
      </c>
      <c r="J51" s="7" t="str">
        <f aca="false">IF(E51="","",IFERROR(F51/E51,""))</f>
        <v/>
      </c>
      <c r="K51" s="7" t="str">
        <f aca="false">IF(E51="","",IFERROR(G51/E51,""))</f>
        <v/>
      </c>
      <c r="L51" s="16" t="str">
        <f aca="false">IF(E51="","",IFERROR(H51/E51,""))</f>
        <v/>
      </c>
      <c r="M51" s="8" t="n">
        <f aca="false">Inputs!$C$48+Q51</f>
        <v>2848721.71575556</v>
      </c>
      <c r="N51" s="7" t="str">
        <f aca="false">IF(H51="","",IFERROR(H51/M51-1,""))</f>
        <v/>
      </c>
      <c r="O51" s="8" t="n">
        <f aca="false">IFERROR(M51/Inputs!$C$47,0)</f>
        <v>2058.82080155786</v>
      </c>
      <c r="P51" s="7" t="str">
        <f aca="false">IF(I51="","",IFERROR(I51/O51-1,""))</f>
        <v/>
      </c>
      <c r="Q51" s="9" t="n">
        <f aca="false">'BYS Daily'!U51+'CYP Daily'!U51+'YMAL Daily'!U51</f>
        <v>56432.0607555646</v>
      </c>
      <c r="R51" s="9" t="str">
        <f aca="false">IF(AND('BYS Daily'!V51="",'CYP Daily'!V51="",'YMAL Daily'!V51=""),"",N('BYS Daily'!V51)+N('CYP Daily'!V51)+N('YMAL Daily'!V51))</f>
        <v/>
      </c>
      <c r="S51" s="45"/>
      <c r="T51" s="47"/>
    </row>
    <row r="52" customFormat="false" ht="15" hidden="false" customHeight="false" outlineLevel="0" collapsed="false">
      <c r="A52" s="44" t="n">
        <v>46341</v>
      </c>
      <c r="B52" s="20" t="str">
        <f aca="false">TEXT(A52,"ddd")</f>
        <v>Sun</v>
      </c>
      <c r="C52" s="4" t="n">
        <f aca="false">('BYS Daily'!C52=1)+('CYP Daily'!C52=1)+('YMAL Daily'!C52=1)</f>
        <v>3</v>
      </c>
      <c r="D52" s="45"/>
      <c r="E52" s="45"/>
      <c r="F52" s="45"/>
      <c r="G52" s="45"/>
      <c r="H52" s="46"/>
      <c r="I52" s="8" t="str">
        <f aca="false">IF(G52="","",IFERROR(H52/G52,""))</f>
        <v/>
      </c>
      <c r="J52" s="7" t="str">
        <f aca="false">IF(E52="","",IFERROR(F52/E52,""))</f>
        <v/>
      </c>
      <c r="K52" s="7" t="str">
        <f aca="false">IF(E52="","",IFERROR(G52/E52,""))</f>
        <v/>
      </c>
      <c r="L52" s="16" t="str">
        <f aca="false">IF(E52="","",IFERROR(H52/E52,""))</f>
        <v/>
      </c>
      <c r="M52" s="8" t="n">
        <f aca="false">Inputs!$C$48+Q52</f>
        <v>2848721.71575556</v>
      </c>
      <c r="N52" s="7" t="str">
        <f aca="false">IF(H52="","",IFERROR(H52/M52-1,""))</f>
        <v/>
      </c>
      <c r="O52" s="8" t="n">
        <f aca="false">IFERROR(M52/Inputs!$C$47,0)</f>
        <v>2058.82080155786</v>
      </c>
      <c r="P52" s="7" t="str">
        <f aca="false">IF(I52="","",IFERROR(I52/O52-1,""))</f>
        <v/>
      </c>
      <c r="Q52" s="9" t="n">
        <f aca="false">'BYS Daily'!U52+'CYP Daily'!U52+'YMAL Daily'!U52</f>
        <v>56432.0607555646</v>
      </c>
      <c r="R52" s="9" t="str">
        <f aca="false">IF(AND('BYS Daily'!V52="",'CYP Daily'!V52="",'YMAL Daily'!V52=""),"",N('BYS Daily'!V52)+N('CYP Daily'!V52)+N('YMAL Daily'!V52))</f>
        <v/>
      </c>
      <c r="S52" s="45"/>
      <c r="T52" s="47"/>
    </row>
    <row r="53" customFormat="false" ht="15" hidden="false" customHeight="false" outlineLevel="0" collapsed="false">
      <c r="A53" s="44" t="n">
        <v>46342</v>
      </c>
      <c r="B53" s="20" t="str">
        <f aca="false">TEXT(A53,"ddd")</f>
        <v>Mon</v>
      </c>
      <c r="C53" s="4" t="n">
        <f aca="false">('BYS Daily'!C53=1)+('CYP Daily'!C53=1)+('YMAL Daily'!C53=1)</f>
        <v>3</v>
      </c>
      <c r="D53" s="45"/>
      <c r="E53" s="45"/>
      <c r="F53" s="45"/>
      <c r="G53" s="45"/>
      <c r="H53" s="46"/>
      <c r="I53" s="8" t="str">
        <f aca="false">IF(G53="","",IFERROR(H53/G53,""))</f>
        <v/>
      </c>
      <c r="J53" s="7" t="str">
        <f aca="false">IF(E53="","",IFERROR(F53/E53,""))</f>
        <v/>
      </c>
      <c r="K53" s="7" t="str">
        <f aca="false">IF(E53="","",IFERROR(G53/E53,""))</f>
        <v/>
      </c>
      <c r="L53" s="16" t="str">
        <f aca="false">IF(E53="","",IFERROR(H53/E53,""))</f>
        <v/>
      </c>
      <c r="M53" s="8" t="n">
        <f aca="false">Inputs!$C$48+Q53</f>
        <v>2848721.71575556</v>
      </c>
      <c r="N53" s="7" t="str">
        <f aca="false">IF(H53="","",IFERROR(H53/M53-1,""))</f>
        <v/>
      </c>
      <c r="O53" s="8" t="n">
        <f aca="false">IFERROR(M53/Inputs!$C$47,0)</f>
        <v>2058.82080155786</v>
      </c>
      <c r="P53" s="7" t="str">
        <f aca="false">IF(I53="","",IFERROR(I53/O53-1,""))</f>
        <v/>
      </c>
      <c r="Q53" s="9" t="n">
        <f aca="false">'BYS Daily'!U53+'CYP Daily'!U53+'YMAL Daily'!U53</f>
        <v>56432.0607555646</v>
      </c>
      <c r="R53" s="9" t="str">
        <f aca="false">IF(AND('BYS Daily'!V53="",'CYP Daily'!V53="",'YMAL Daily'!V53=""),"",N('BYS Daily'!V53)+N('CYP Daily'!V53)+N('YMAL Daily'!V53))</f>
        <v/>
      </c>
      <c r="S53" s="45"/>
      <c r="T53" s="47"/>
    </row>
    <row r="54" customFormat="false" ht="15" hidden="false" customHeight="false" outlineLevel="0" collapsed="false">
      <c r="A54" s="44" t="n">
        <v>46343</v>
      </c>
      <c r="B54" s="20" t="str">
        <f aca="false">TEXT(A54,"ddd")</f>
        <v>Tue</v>
      </c>
      <c r="C54" s="4" t="n">
        <f aca="false">('BYS Daily'!C54=1)+('CYP Daily'!C54=1)+('YMAL Daily'!C54=1)</f>
        <v>3</v>
      </c>
      <c r="D54" s="45"/>
      <c r="E54" s="45"/>
      <c r="F54" s="45"/>
      <c r="G54" s="45"/>
      <c r="H54" s="46"/>
      <c r="I54" s="8" t="str">
        <f aca="false">IF(G54="","",IFERROR(H54/G54,""))</f>
        <v/>
      </c>
      <c r="J54" s="7" t="str">
        <f aca="false">IF(E54="","",IFERROR(F54/E54,""))</f>
        <v/>
      </c>
      <c r="K54" s="7" t="str">
        <f aca="false">IF(E54="","",IFERROR(G54/E54,""))</f>
        <v/>
      </c>
      <c r="L54" s="16" t="str">
        <f aca="false">IF(E54="","",IFERROR(H54/E54,""))</f>
        <v/>
      </c>
      <c r="M54" s="8" t="n">
        <f aca="false">Inputs!$C$48+Q54</f>
        <v>2848721.71575556</v>
      </c>
      <c r="N54" s="7" t="str">
        <f aca="false">IF(H54="","",IFERROR(H54/M54-1,""))</f>
        <v/>
      </c>
      <c r="O54" s="8" t="n">
        <f aca="false">IFERROR(M54/Inputs!$C$47,0)</f>
        <v>2058.82080155786</v>
      </c>
      <c r="P54" s="7" t="str">
        <f aca="false">IF(I54="","",IFERROR(I54/O54-1,""))</f>
        <v/>
      </c>
      <c r="Q54" s="9" t="n">
        <f aca="false">'BYS Daily'!U54+'CYP Daily'!U54+'YMAL Daily'!U54</f>
        <v>56432.0607555646</v>
      </c>
      <c r="R54" s="9" t="str">
        <f aca="false">IF(AND('BYS Daily'!V54="",'CYP Daily'!V54="",'YMAL Daily'!V54=""),"",N('BYS Daily'!V54)+N('CYP Daily'!V54)+N('YMAL Daily'!V54))</f>
        <v/>
      </c>
      <c r="S54" s="45"/>
      <c r="T54" s="47"/>
    </row>
    <row r="55" customFormat="false" ht="15" hidden="false" customHeight="false" outlineLevel="0" collapsed="false">
      <c r="A55" s="44" t="n">
        <v>46344</v>
      </c>
      <c r="B55" s="20" t="str">
        <f aca="false">TEXT(A55,"ddd")</f>
        <v>Wed</v>
      </c>
      <c r="C55" s="4" t="n">
        <f aca="false">('BYS Daily'!C55=1)+('CYP Daily'!C55=1)+('YMAL Daily'!C55=1)</f>
        <v>3</v>
      </c>
      <c r="D55" s="45"/>
      <c r="E55" s="45"/>
      <c r="F55" s="45"/>
      <c r="G55" s="45"/>
      <c r="H55" s="46"/>
      <c r="I55" s="8" t="str">
        <f aca="false">IF(G55="","",IFERROR(H55/G55,""))</f>
        <v/>
      </c>
      <c r="J55" s="7" t="str">
        <f aca="false">IF(E55="","",IFERROR(F55/E55,""))</f>
        <v/>
      </c>
      <c r="K55" s="7" t="str">
        <f aca="false">IF(E55="","",IFERROR(G55/E55,""))</f>
        <v/>
      </c>
      <c r="L55" s="16" t="str">
        <f aca="false">IF(E55="","",IFERROR(H55/E55,""))</f>
        <v/>
      </c>
      <c r="M55" s="8" t="n">
        <f aca="false">Inputs!$C$48+Q55</f>
        <v>2848721.71575556</v>
      </c>
      <c r="N55" s="7" t="str">
        <f aca="false">IF(H55="","",IFERROR(H55/M55-1,""))</f>
        <v/>
      </c>
      <c r="O55" s="8" t="n">
        <f aca="false">IFERROR(M55/Inputs!$C$47,0)</f>
        <v>2058.82080155786</v>
      </c>
      <c r="P55" s="7" t="str">
        <f aca="false">IF(I55="","",IFERROR(I55/O55-1,""))</f>
        <v/>
      </c>
      <c r="Q55" s="9" t="n">
        <f aca="false">'BYS Daily'!U55+'CYP Daily'!U55+'YMAL Daily'!U55</f>
        <v>56432.0607555646</v>
      </c>
      <c r="R55" s="9" t="str">
        <f aca="false">IF(AND('BYS Daily'!V55="",'CYP Daily'!V55="",'YMAL Daily'!V55=""),"",N('BYS Daily'!V55)+N('CYP Daily'!V55)+N('YMAL Daily'!V55))</f>
        <v/>
      </c>
      <c r="S55" s="45"/>
      <c r="T55" s="47"/>
    </row>
    <row r="56" customFormat="false" ht="15" hidden="false" customHeight="false" outlineLevel="0" collapsed="false">
      <c r="A56" s="44" t="n">
        <v>46345</v>
      </c>
      <c r="B56" s="20" t="str">
        <f aca="false">TEXT(A56,"ddd")</f>
        <v>Thu</v>
      </c>
      <c r="C56" s="4" t="n">
        <f aca="false">('BYS Daily'!C56=1)+('CYP Daily'!C56=1)+('YMAL Daily'!C56=1)</f>
        <v>3</v>
      </c>
      <c r="D56" s="45"/>
      <c r="E56" s="45"/>
      <c r="F56" s="45"/>
      <c r="G56" s="45"/>
      <c r="H56" s="46"/>
      <c r="I56" s="8" t="str">
        <f aca="false">IF(G56="","",IFERROR(H56/G56,""))</f>
        <v/>
      </c>
      <c r="J56" s="7" t="str">
        <f aca="false">IF(E56="","",IFERROR(F56/E56,""))</f>
        <v/>
      </c>
      <c r="K56" s="7" t="str">
        <f aca="false">IF(E56="","",IFERROR(G56/E56,""))</f>
        <v/>
      </c>
      <c r="L56" s="16" t="str">
        <f aca="false">IF(E56="","",IFERROR(H56/E56,""))</f>
        <v/>
      </c>
      <c r="M56" s="8" t="n">
        <f aca="false">Inputs!$C$48+Q56</f>
        <v>2848721.71575556</v>
      </c>
      <c r="N56" s="7" t="str">
        <f aca="false">IF(H56="","",IFERROR(H56/M56-1,""))</f>
        <v/>
      </c>
      <c r="O56" s="8" t="n">
        <f aca="false">IFERROR(M56/Inputs!$C$47,0)</f>
        <v>2058.82080155786</v>
      </c>
      <c r="P56" s="7" t="str">
        <f aca="false">IF(I56="","",IFERROR(I56/O56-1,""))</f>
        <v/>
      </c>
      <c r="Q56" s="9" t="n">
        <f aca="false">'BYS Daily'!U56+'CYP Daily'!U56+'YMAL Daily'!U56</f>
        <v>56432.0607555646</v>
      </c>
      <c r="R56" s="9" t="str">
        <f aca="false">IF(AND('BYS Daily'!V56="",'CYP Daily'!V56="",'YMAL Daily'!V56=""),"",N('BYS Daily'!V56)+N('CYP Daily'!V56)+N('YMAL Daily'!V56))</f>
        <v/>
      </c>
      <c r="S56" s="45"/>
      <c r="T56" s="47"/>
    </row>
    <row r="57" customFormat="false" ht="15" hidden="false" customHeight="false" outlineLevel="0" collapsed="false">
      <c r="A57" s="44" t="n">
        <v>46346</v>
      </c>
      <c r="B57" s="20" t="str">
        <f aca="false">TEXT(A57,"ddd")</f>
        <v>Fri</v>
      </c>
      <c r="C57" s="4" t="n">
        <f aca="false">('BYS Daily'!C57=1)+('CYP Daily'!C57=1)+('YMAL Daily'!C57=1)</f>
        <v>3</v>
      </c>
      <c r="D57" s="45"/>
      <c r="E57" s="45"/>
      <c r="F57" s="45"/>
      <c r="G57" s="45"/>
      <c r="H57" s="46"/>
      <c r="I57" s="8" t="str">
        <f aca="false">IF(G57="","",IFERROR(H57/G57,""))</f>
        <v/>
      </c>
      <c r="J57" s="7" t="str">
        <f aca="false">IF(E57="","",IFERROR(F57/E57,""))</f>
        <v/>
      </c>
      <c r="K57" s="7" t="str">
        <f aca="false">IF(E57="","",IFERROR(G57/E57,""))</f>
        <v/>
      </c>
      <c r="L57" s="16" t="str">
        <f aca="false">IF(E57="","",IFERROR(H57/E57,""))</f>
        <v/>
      </c>
      <c r="M57" s="8" t="n">
        <f aca="false">Inputs!$C$48+Q57</f>
        <v>2848721.71575556</v>
      </c>
      <c r="N57" s="7" t="str">
        <f aca="false">IF(H57="","",IFERROR(H57/M57-1,""))</f>
        <v/>
      </c>
      <c r="O57" s="8" t="n">
        <f aca="false">IFERROR(M57/Inputs!$C$47,0)</f>
        <v>2058.82080155786</v>
      </c>
      <c r="P57" s="7" t="str">
        <f aca="false">IF(I57="","",IFERROR(I57/O57-1,""))</f>
        <v/>
      </c>
      <c r="Q57" s="9" t="n">
        <f aca="false">'BYS Daily'!U57+'CYP Daily'!U57+'YMAL Daily'!U57</f>
        <v>56432.0607555646</v>
      </c>
      <c r="R57" s="9" t="str">
        <f aca="false">IF(AND('BYS Daily'!V57="",'CYP Daily'!V57="",'YMAL Daily'!V57=""),"",N('BYS Daily'!V57)+N('CYP Daily'!V57)+N('YMAL Daily'!V57))</f>
        <v/>
      </c>
      <c r="S57" s="45"/>
      <c r="T57" s="47"/>
    </row>
    <row r="58" customFormat="false" ht="15" hidden="false" customHeight="false" outlineLevel="0" collapsed="false">
      <c r="A58" s="44" t="n">
        <v>46347</v>
      </c>
      <c r="B58" s="20" t="str">
        <f aca="false">TEXT(A58,"ddd")</f>
        <v>Sat</v>
      </c>
      <c r="C58" s="4" t="n">
        <f aca="false">('BYS Daily'!C58=1)+('CYP Daily'!C58=1)+('YMAL Daily'!C58=1)</f>
        <v>3</v>
      </c>
      <c r="D58" s="45"/>
      <c r="E58" s="45"/>
      <c r="F58" s="45"/>
      <c r="G58" s="45"/>
      <c r="H58" s="46"/>
      <c r="I58" s="8" t="str">
        <f aca="false">IF(G58="","",IFERROR(H58/G58,""))</f>
        <v/>
      </c>
      <c r="J58" s="7" t="str">
        <f aca="false">IF(E58="","",IFERROR(F58/E58,""))</f>
        <v/>
      </c>
      <c r="K58" s="7" t="str">
        <f aca="false">IF(E58="","",IFERROR(G58/E58,""))</f>
        <v/>
      </c>
      <c r="L58" s="16" t="str">
        <f aca="false">IF(E58="","",IFERROR(H58/E58,""))</f>
        <v/>
      </c>
      <c r="M58" s="8" t="n">
        <f aca="false">Inputs!$C$48+Q58</f>
        <v>2848721.71575556</v>
      </c>
      <c r="N58" s="7" t="str">
        <f aca="false">IF(H58="","",IFERROR(H58/M58-1,""))</f>
        <v/>
      </c>
      <c r="O58" s="8" t="n">
        <f aca="false">IFERROR(M58/Inputs!$C$47,0)</f>
        <v>2058.82080155786</v>
      </c>
      <c r="P58" s="7" t="str">
        <f aca="false">IF(I58="","",IFERROR(I58/O58-1,""))</f>
        <v/>
      </c>
      <c r="Q58" s="9" t="n">
        <f aca="false">'BYS Daily'!U58+'CYP Daily'!U58+'YMAL Daily'!U58</f>
        <v>56432.0607555646</v>
      </c>
      <c r="R58" s="9" t="str">
        <f aca="false">IF(AND('BYS Daily'!V58="",'CYP Daily'!V58="",'YMAL Daily'!V58=""),"",N('BYS Daily'!V58)+N('CYP Daily'!V58)+N('YMAL Daily'!V58))</f>
        <v/>
      </c>
      <c r="S58" s="45"/>
      <c r="T58" s="47"/>
    </row>
    <row r="59" customFormat="false" ht="15" hidden="false" customHeight="false" outlineLevel="0" collapsed="false">
      <c r="A59" s="44" t="n">
        <v>46348</v>
      </c>
      <c r="B59" s="20" t="str">
        <f aca="false">TEXT(A59,"ddd")</f>
        <v>Sun</v>
      </c>
      <c r="C59" s="4" t="n">
        <f aca="false">('BYS Daily'!C59=1)+('CYP Daily'!C59=1)+('YMAL Daily'!C59=1)</f>
        <v>3</v>
      </c>
      <c r="D59" s="45"/>
      <c r="E59" s="45"/>
      <c r="F59" s="45"/>
      <c r="G59" s="45"/>
      <c r="H59" s="46"/>
      <c r="I59" s="8" t="str">
        <f aca="false">IF(G59="","",IFERROR(H59/G59,""))</f>
        <v/>
      </c>
      <c r="J59" s="7" t="str">
        <f aca="false">IF(E59="","",IFERROR(F59/E59,""))</f>
        <v/>
      </c>
      <c r="K59" s="7" t="str">
        <f aca="false">IF(E59="","",IFERROR(G59/E59,""))</f>
        <v/>
      </c>
      <c r="L59" s="16" t="str">
        <f aca="false">IF(E59="","",IFERROR(H59/E59,""))</f>
        <v/>
      </c>
      <c r="M59" s="8" t="n">
        <f aca="false">Inputs!$C$48+Q59</f>
        <v>2848721.71575556</v>
      </c>
      <c r="N59" s="7" t="str">
        <f aca="false">IF(H59="","",IFERROR(H59/M59-1,""))</f>
        <v/>
      </c>
      <c r="O59" s="8" t="n">
        <f aca="false">IFERROR(M59/Inputs!$C$47,0)</f>
        <v>2058.82080155786</v>
      </c>
      <c r="P59" s="7" t="str">
        <f aca="false">IF(I59="","",IFERROR(I59/O59-1,""))</f>
        <v/>
      </c>
      <c r="Q59" s="9" t="n">
        <f aca="false">'BYS Daily'!U59+'CYP Daily'!U59+'YMAL Daily'!U59</f>
        <v>56432.0607555646</v>
      </c>
      <c r="R59" s="9" t="str">
        <f aca="false">IF(AND('BYS Daily'!V59="",'CYP Daily'!V59="",'YMAL Daily'!V59=""),"",N('BYS Daily'!V59)+N('CYP Daily'!V59)+N('YMAL Daily'!V59))</f>
        <v/>
      </c>
      <c r="S59" s="45"/>
      <c r="T59" s="47"/>
    </row>
    <row r="60" customFormat="false" ht="15" hidden="false" customHeight="false" outlineLevel="0" collapsed="false">
      <c r="A60" s="44" t="n">
        <v>46349</v>
      </c>
      <c r="B60" s="20" t="str">
        <f aca="false">TEXT(A60,"ddd")</f>
        <v>Mon</v>
      </c>
      <c r="C60" s="4" t="n">
        <f aca="false">('BYS Daily'!C60=1)+('CYP Daily'!C60=1)+('YMAL Daily'!C60=1)</f>
        <v>3</v>
      </c>
      <c r="D60" s="45"/>
      <c r="E60" s="45"/>
      <c r="F60" s="45"/>
      <c r="G60" s="45"/>
      <c r="H60" s="46"/>
      <c r="I60" s="8" t="str">
        <f aca="false">IF(G60="","",IFERROR(H60/G60,""))</f>
        <v/>
      </c>
      <c r="J60" s="7" t="str">
        <f aca="false">IF(E60="","",IFERROR(F60/E60,""))</f>
        <v/>
      </c>
      <c r="K60" s="7" t="str">
        <f aca="false">IF(E60="","",IFERROR(G60/E60,""))</f>
        <v/>
      </c>
      <c r="L60" s="16" t="str">
        <f aca="false">IF(E60="","",IFERROR(H60/E60,""))</f>
        <v/>
      </c>
      <c r="M60" s="8" t="n">
        <f aca="false">Inputs!$C$48+Q60</f>
        <v>2848721.71575556</v>
      </c>
      <c r="N60" s="7" t="str">
        <f aca="false">IF(H60="","",IFERROR(H60/M60-1,""))</f>
        <v/>
      </c>
      <c r="O60" s="8" t="n">
        <f aca="false">IFERROR(M60/Inputs!$C$47,0)</f>
        <v>2058.82080155786</v>
      </c>
      <c r="P60" s="7" t="str">
        <f aca="false">IF(I60="","",IFERROR(I60/O60-1,""))</f>
        <v/>
      </c>
      <c r="Q60" s="9" t="n">
        <f aca="false">'BYS Daily'!U60+'CYP Daily'!U60+'YMAL Daily'!U60</f>
        <v>56432.0607555646</v>
      </c>
      <c r="R60" s="9" t="str">
        <f aca="false">IF(AND('BYS Daily'!V60="",'CYP Daily'!V60="",'YMAL Daily'!V60=""),"",N('BYS Daily'!V60)+N('CYP Daily'!V60)+N('YMAL Daily'!V60))</f>
        <v/>
      </c>
      <c r="S60" s="45"/>
      <c r="T60" s="47"/>
    </row>
    <row r="61" customFormat="false" ht="15" hidden="false" customHeight="false" outlineLevel="0" collapsed="false">
      <c r="A61" s="44" t="n">
        <v>46350</v>
      </c>
      <c r="B61" s="20" t="str">
        <f aca="false">TEXT(A61,"ddd")</f>
        <v>Tue</v>
      </c>
      <c r="C61" s="4" t="n">
        <f aca="false">('BYS Daily'!C61=1)+('CYP Daily'!C61=1)+('YMAL Daily'!C61=1)</f>
        <v>3</v>
      </c>
      <c r="D61" s="45"/>
      <c r="E61" s="45"/>
      <c r="F61" s="45"/>
      <c r="G61" s="45"/>
      <c r="H61" s="46"/>
      <c r="I61" s="8" t="str">
        <f aca="false">IF(G61="","",IFERROR(H61/G61,""))</f>
        <v/>
      </c>
      <c r="J61" s="7" t="str">
        <f aca="false">IF(E61="","",IFERROR(F61/E61,""))</f>
        <v/>
      </c>
      <c r="K61" s="7" t="str">
        <f aca="false">IF(E61="","",IFERROR(G61/E61,""))</f>
        <v/>
      </c>
      <c r="L61" s="16" t="str">
        <f aca="false">IF(E61="","",IFERROR(H61/E61,""))</f>
        <v/>
      </c>
      <c r="M61" s="8" t="n">
        <f aca="false">Inputs!$C$48+Q61</f>
        <v>2848721.71575556</v>
      </c>
      <c r="N61" s="7" t="str">
        <f aca="false">IF(H61="","",IFERROR(H61/M61-1,""))</f>
        <v/>
      </c>
      <c r="O61" s="8" t="n">
        <f aca="false">IFERROR(M61/Inputs!$C$47,0)</f>
        <v>2058.82080155786</v>
      </c>
      <c r="P61" s="7" t="str">
        <f aca="false">IF(I61="","",IFERROR(I61/O61-1,""))</f>
        <v/>
      </c>
      <c r="Q61" s="9" t="n">
        <f aca="false">'BYS Daily'!U61+'CYP Daily'!U61+'YMAL Daily'!U61</f>
        <v>56432.0607555646</v>
      </c>
      <c r="R61" s="9" t="str">
        <f aca="false">IF(AND('BYS Daily'!V61="",'CYP Daily'!V61="",'YMAL Daily'!V61=""),"",N('BYS Daily'!V61)+N('CYP Daily'!V61)+N('YMAL Daily'!V61))</f>
        <v/>
      </c>
      <c r="S61" s="45"/>
      <c r="T61" s="47"/>
    </row>
    <row r="62" customFormat="false" ht="15" hidden="false" customHeight="false" outlineLevel="0" collapsed="false">
      <c r="A62" s="44" t="n">
        <v>46351</v>
      </c>
      <c r="B62" s="20" t="str">
        <f aca="false">TEXT(A62,"ddd")</f>
        <v>Wed</v>
      </c>
      <c r="C62" s="4" t="n">
        <f aca="false">('BYS Daily'!C62=1)+('CYP Daily'!C62=1)+('YMAL Daily'!C62=1)</f>
        <v>3</v>
      </c>
      <c r="D62" s="45"/>
      <c r="E62" s="45"/>
      <c r="F62" s="45"/>
      <c r="G62" s="45"/>
      <c r="H62" s="46"/>
      <c r="I62" s="8" t="str">
        <f aca="false">IF(G62="","",IFERROR(H62/G62,""))</f>
        <v/>
      </c>
      <c r="J62" s="7" t="str">
        <f aca="false">IF(E62="","",IFERROR(F62/E62,""))</f>
        <v/>
      </c>
      <c r="K62" s="7" t="str">
        <f aca="false">IF(E62="","",IFERROR(G62/E62,""))</f>
        <v/>
      </c>
      <c r="L62" s="16" t="str">
        <f aca="false">IF(E62="","",IFERROR(H62/E62,""))</f>
        <v/>
      </c>
      <c r="M62" s="8" t="n">
        <f aca="false">Inputs!$C$48+Q62</f>
        <v>2848721.71575556</v>
      </c>
      <c r="N62" s="7" t="str">
        <f aca="false">IF(H62="","",IFERROR(H62/M62-1,""))</f>
        <v/>
      </c>
      <c r="O62" s="8" t="n">
        <f aca="false">IFERROR(M62/Inputs!$C$47,0)</f>
        <v>2058.82080155786</v>
      </c>
      <c r="P62" s="7" t="str">
        <f aca="false">IF(I62="","",IFERROR(I62/O62-1,""))</f>
        <v/>
      </c>
      <c r="Q62" s="9" t="n">
        <f aca="false">'BYS Daily'!U62+'CYP Daily'!U62+'YMAL Daily'!U62</f>
        <v>56432.0607555646</v>
      </c>
      <c r="R62" s="9" t="str">
        <f aca="false">IF(AND('BYS Daily'!V62="",'CYP Daily'!V62="",'YMAL Daily'!V62=""),"",N('BYS Daily'!V62)+N('CYP Daily'!V62)+N('YMAL Daily'!V62))</f>
        <v/>
      </c>
      <c r="S62" s="45"/>
      <c r="T62" s="47"/>
    </row>
    <row r="63" customFormat="false" ht="15" hidden="false" customHeight="false" outlineLevel="0" collapsed="false">
      <c r="A63" s="44" t="n">
        <v>46352</v>
      </c>
      <c r="B63" s="20" t="str">
        <f aca="false">TEXT(A63,"ddd")</f>
        <v>Thu</v>
      </c>
      <c r="C63" s="4" t="n">
        <f aca="false">('BYS Daily'!C63=1)+('CYP Daily'!C63=1)+('YMAL Daily'!C63=1)</f>
        <v>3</v>
      </c>
      <c r="D63" s="45"/>
      <c r="E63" s="45"/>
      <c r="F63" s="45"/>
      <c r="G63" s="45"/>
      <c r="H63" s="46"/>
      <c r="I63" s="8" t="str">
        <f aca="false">IF(G63="","",IFERROR(H63/G63,""))</f>
        <v/>
      </c>
      <c r="J63" s="7" t="str">
        <f aca="false">IF(E63="","",IFERROR(F63/E63,""))</f>
        <v/>
      </c>
      <c r="K63" s="7" t="str">
        <f aca="false">IF(E63="","",IFERROR(G63/E63,""))</f>
        <v/>
      </c>
      <c r="L63" s="16" t="str">
        <f aca="false">IF(E63="","",IFERROR(H63/E63,""))</f>
        <v/>
      </c>
      <c r="M63" s="8" t="n">
        <f aca="false">Inputs!$C$48+Q63</f>
        <v>2848721.71575556</v>
      </c>
      <c r="N63" s="7" t="str">
        <f aca="false">IF(H63="","",IFERROR(H63/M63-1,""))</f>
        <v/>
      </c>
      <c r="O63" s="8" t="n">
        <f aca="false">IFERROR(M63/Inputs!$C$47,0)</f>
        <v>2058.82080155786</v>
      </c>
      <c r="P63" s="7" t="str">
        <f aca="false">IF(I63="","",IFERROR(I63/O63-1,""))</f>
        <v/>
      </c>
      <c r="Q63" s="9" t="n">
        <f aca="false">'BYS Daily'!U63+'CYP Daily'!U63+'YMAL Daily'!U63</f>
        <v>56432.0607555646</v>
      </c>
      <c r="R63" s="9" t="str">
        <f aca="false">IF(AND('BYS Daily'!V63="",'CYP Daily'!V63="",'YMAL Daily'!V63=""),"",N('BYS Daily'!V63)+N('CYP Daily'!V63)+N('YMAL Daily'!V63))</f>
        <v/>
      </c>
      <c r="S63" s="45"/>
      <c r="T63" s="47"/>
    </row>
    <row r="64" customFormat="false" ht="15" hidden="false" customHeight="false" outlineLevel="0" collapsed="false">
      <c r="A64" s="44" t="n">
        <v>46353</v>
      </c>
      <c r="B64" s="20" t="str">
        <f aca="false">TEXT(A64,"ddd")</f>
        <v>Fri</v>
      </c>
      <c r="C64" s="4" t="n">
        <f aca="false">('BYS Daily'!C64=1)+('CYP Daily'!C64=1)+('YMAL Daily'!C64=1)</f>
        <v>3</v>
      </c>
      <c r="D64" s="45"/>
      <c r="E64" s="45"/>
      <c r="F64" s="45"/>
      <c r="G64" s="45"/>
      <c r="H64" s="46"/>
      <c r="I64" s="8" t="str">
        <f aca="false">IF(G64="","",IFERROR(H64/G64,""))</f>
        <v/>
      </c>
      <c r="J64" s="7" t="str">
        <f aca="false">IF(E64="","",IFERROR(F64/E64,""))</f>
        <v/>
      </c>
      <c r="K64" s="7" t="str">
        <f aca="false">IF(E64="","",IFERROR(G64/E64,""))</f>
        <v/>
      </c>
      <c r="L64" s="16" t="str">
        <f aca="false">IF(E64="","",IFERROR(H64/E64,""))</f>
        <v/>
      </c>
      <c r="M64" s="8" t="n">
        <f aca="false">Inputs!$C$48+Q64</f>
        <v>2848721.71575556</v>
      </c>
      <c r="N64" s="7" t="str">
        <f aca="false">IF(H64="","",IFERROR(H64/M64-1,""))</f>
        <v/>
      </c>
      <c r="O64" s="8" t="n">
        <f aca="false">IFERROR(M64/Inputs!$C$47,0)</f>
        <v>2058.82080155786</v>
      </c>
      <c r="P64" s="7" t="str">
        <f aca="false">IF(I64="","",IFERROR(I64/O64-1,""))</f>
        <v/>
      </c>
      <c r="Q64" s="9" t="n">
        <f aca="false">'BYS Daily'!U64+'CYP Daily'!U64+'YMAL Daily'!U64</f>
        <v>56432.0607555646</v>
      </c>
      <c r="R64" s="9" t="str">
        <f aca="false">IF(AND('BYS Daily'!V64="",'CYP Daily'!V64="",'YMAL Daily'!V64=""),"",N('BYS Daily'!V64)+N('CYP Daily'!V64)+N('YMAL Daily'!V64))</f>
        <v/>
      </c>
      <c r="S64" s="45"/>
      <c r="T64" s="47"/>
    </row>
    <row r="65" customFormat="false" ht="15" hidden="false" customHeight="false" outlineLevel="0" collapsed="false">
      <c r="A65" s="44" t="n">
        <v>46354</v>
      </c>
      <c r="B65" s="20" t="str">
        <f aca="false">TEXT(A65,"ddd")</f>
        <v>Sat</v>
      </c>
      <c r="C65" s="4" t="n">
        <f aca="false">('BYS Daily'!C65=1)+('CYP Daily'!C65=1)+('YMAL Daily'!C65=1)</f>
        <v>3</v>
      </c>
      <c r="D65" s="45"/>
      <c r="E65" s="45"/>
      <c r="F65" s="45"/>
      <c r="G65" s="45"/>
      <c r="H65" s="46"/>
      <c r="I65" s="8" t="str">
        <f aca="false">IF(G65="","",IFERROR(H65/G65,""))</f>
        <v/>
      </c>
      <c r="J65" s="7" t="str">
        <f aca="false">IF(E65="","",IFERROR(F65/E65,""))</f>
        <v/>
      </c>
      <c r="K65" s="7" t="str">
        <f aca="false">IF(E65="","",IFERROR(G65/E65,""))</f>
        <v/>
      </c>
      <c r="L65" s="16" t="str">
        <f aca="false">IF(E65="","",IFERROR(H65/E65,""))</f>
        <v/>
      </c>
      <c r="M65" s="8" t="n">
        <f aca="false">Inputs!$C$48+Q65</f>
        <v>2848721.71575556</v>
      </c>
      <c r="N65" s="7" t="str">
        <f aca="false">IF(H65="","",IFERROR(H65/M65-1,""))</f>
        <v/>
      </c>
      <c r="O65" s="8" t="n">
        <f aca="false">IFERROR(M65/Inputs!$C$47,0)</f>
        <v>2058.82080155786</v>
      </c>
      <c r="P65" s="7" t="str">
        <f aca="false">IF(I65="","",IFERROR(I65/O65-1,""))</f>
        <v/>
      </c>
      <c r="Q65" s="9" t="n">
        <f aca="false">'BYS Daily'!U65+'CYP Daily'!U65+'YMAL Daily'!U65</f>
        <v>56432.0607555646</v>
      </c>
      <c r="R65" s="9" t="str">
        <f aca="false">IF(AND('BYS Daily'!V65="",'CYP Daily'!V65="",'YMAL Daily'!V65=""),"",N('BYS Daily'!V65)+N('CYP Daily'!V65)+N('YMAL Daily'!V65))</f>
        <v/>
      </c>
      <c r="S65" s="45"/>
      <c r="T65" s="47"/>
    </row>
    <row r="66" customFormat="false" ht="15" hidden="false" customHeight="false" outlineLevel="0" collapsed="false">
      <c r="A66" s="44" t="n">
        <v>46355</v>
      </c>
      <c r="B66" s="20" t="str">
        <f aca="false">TEXT(A66,"ddd")</f>
        <v>Sun</v>
      </c>
      <c r="C66" s="4" t="n">
        <f aca="false">('BYS Daily'!C66=1)+('CYP Daily'!C66=1)+('YMAL Daily'!C66=1)</f>
        <v>3</v>
      </c>
      <c r="D66" s="45"/>
      <c r="E66" s="45"/>
      <c r="F66" s="45"/>
      <c r="G66" s="45"/>
      <c r="H66" s="46"/>
      <c r="I66" s="8" t="str">
        <f aca="false">IF(G66="","",IFERROR(H66/G66,""))</f>
        <v/>
      </c>
      <c r="J66" s="7" t="str">
        <f aca="false">IF(E66="","",IFERROR(F66/E66,""))</f>
        <v/>
      </c>
      <c r="K66" s="7" t="str">
        <f aca="false">IF(E66="","",IFERROR(G66/E66,""))</f>
        <v/>
      </c>
      <c r="L66" s="16" t="str">
        <f aca="false">IF(E66="","",IFERROR(H66/E66,""))</f>
        <v/>
      </c>
      <c r="M66" s="8" t="n">
        <f aca="false">Inputs!$C$48+Q66</f>
        <v>2848721.71575556</v>
      </c>
      <c r="N66" s="7" t="str">
        <f aca="false">IF(H66="","",IFERROR(H66/M66-1,""))</f>
        <v/>
      </c>
      <c r="O66" s="8" t="n">
        <f aca="false">IFERROR(M66/Inputs!$C$47,0)</f>
        <v>2058.82080155786</v>
      </c>
      <c r="P66" s="7" t="str">
        <f aca="false">IF(I66="","",IFERROR(I66/O66-1,""))</f>
        <v/>
      </c>
      <c r="Q66" s="9" t="n">
        <f aca="false">'BYS Daily'!U66+'CYP Daily'!U66+'YMAL Daily'!U66</f>
        <v>56432.0607555646</v>
      </c>
      <c r="R66" s="9" t="str">
        <f aca="false">IF(AND('BYS Daily'!V66="",'CYP Daily'!V66="",'YMAL Daily'!V66=""),"",N('BYS Daily'!V66)+N('CYP Daily'!V66)+N('YMAL Daily'!V66))</f>
        <v/>
      </c>
      <c r="S66" s="45"/>
      <c r="T66" s="47"/>
    </row>
    <row r="67" customFormat="false" ht="15" hidden="false" customHeight="false" outlineLevel="0" collapsed="false">
      <c r="A67" s="44" t="n">
        <v>46356</v>
      </c>
      <c r="B67" s="20" t="str">
        <f aca="false">TEXT(A67,"ddd")</f>
        <v>Mon</v>
      </c>
      <c r="C67" s="4" t="n">
        <f aca="false">('BYS Daily'!C67=1)+('CYP Daily'!C67=1)+('YMAL Daily'!C67=1)</f>
        <v>3</v>
      </c>
      <c r="D67" s="45"/>
      <c r="E67" s="45"/>
      <c r="F67" s="45"/>
      <c r="G67" s="45"/>
      <c r="H67" s="46"/>
      <c r="I67" s="8" t="str">
        <f aca="false">IF(G67="","",IFERROR(H67/G67,""))</f>
        <v/>
      </c>
      <c r="J67" s="7" t="str">
        <f aca="false">IF(E67="","",IFERROR(F67/E67,""))</f>
        <v/>
      </c>
      <c r="K67" s="7" t="str">
        <f aca="false">IF(E67="","",IFERROR(G67/E67,""))</f>
        <v/>
      </c>
      <c r="L67" s="16" t="str">
        <f aca="false">IF(E67="","",IFERROR(H67/E67,""))</f>
        <v/>
      </c>
      <c r="M67" s="8" t="n">
        <f aca="false">Inputs!$C$48+Q67</f>
        <v>2848721.71575556</v>
      </c>
      <c r="N67" s="7" t="str">
        <f aca="false">IF(H67="","",IFERROR(H67/M67-1,""))</f>
        <v/>
      </c>
      <c r="O67" s="8" t="n">
        <f aca="false">IFERROR(M67/Inputs!$C$47,0)</f>
        <v>2058.82080155786</v>
      </c>
      <c r="P67" s="7" t="str">
        <f aca="false">IF(I67="","",IFERROR(I67/O67-1,""))</f>
        <v/>
      </c>
      <c r="Q67" s="9" t="n">
        <f aca="false">'BYS Daily'!U67+'CYP Daily'!U67+'YMAL Daily'!U67</f>
        <v>56432.0607555646</v>
      </c>
      <c r="R67" s="9" t="str">
        <f aca="false">IF(AND('BYS Daily'!V67="",'CYP Daily'!V67="",'YMAL Daily'!V67=""),"",N('BYS Daily'!V67)+N('CYP Daily'!V67)+N('YMAL Daily'!V67))</f>
        <v/>
      </c>
      <c r="S67" s="45"/>
      <c r="T67" s="47"/>
    </row>
    <row r="68" customFormat="false" ht="15" hidden="false" customHeight="false" outlineLevel="0" collapsed="false">
      <c r="A68" s="44" t="n">
        <v>46357</v>
      </c>
      <c r="B68" s="20" t="str">
        <f aca="false">TEXT(A68,"ddd")</f>
        <v>Tue</v>
      </c>
      <c r="C68" s="4" t="n">
        <f aca="false">('BYS Daily'!C68=1)+('CYP Daily'!C68=1)+('YMAL Daily'!C68=1)</f>
        <v>3</v>
      </c>
      <c r="D68" s="45"/>
      <c r="E68" s="45"/>
      <c r="F68" s="45"/>
      <c r="G68" s="45"/>
      <c r="H68" s="46"/>
      <c r="I68" s="8" t="str">
        <f aca="false">IF(G68="","",IFERROR(H68/G68,""))</f>
        <v/>
      </c>
      <c r="J68" s="7" t="str">
        <f aca="false">IF(E68="","",IFERROR(F68/E68,""))</f>
        <v/>
      </c>
      <c r="K68" s="7" t="str">
        <f aca="false">IF(E68="","",IFERROR(G68/E68,""))</f>
        <v/>
      </c>
      <c r="L68" s="16" t="str">
        <f aca="false">IF(E68="","",IFERROR(H68/E68,""))</f>
        <v/>
      </c>
      <c r="M68" s="8" t="n">
        <f aca="false">Inputs!$C$48+Q68</f>
        <v>2848721.71575556</v>
      </c>
      <c r="N68" s="7" t="str">
        <f aca="false">IF(H68="","",IFERROR(H68/M68-1,""))</f>
        <v/>
      </c>
      <c r="O68" s="8" t="n">
        <f aca="false">IFERROR(M68/Inputs!$C$47,0)</f>
        <v>2058.82080155786</v>
      </c>
      <c r="P68" s="7" t="str">
        <f aca="false">IF(I68="","",IFERROR(I68/O68-1,""))</f>
        <v/>
      </c>
      <c r="Q68" s="9" t="n">
        <f aca="false">'BYS Daily'!U68+'CYP Daily'!U68+'YMAL Daily'!U68</f>
        <v>56432.0607555646</v>
      </c>
      <c r="R68" s="9" t="str">
        <f aca="false">IF(AND('BYS Daily'!V68="",'CYP Daily'!V68="",'YMAL Daily'!V68=""),"",N('BYS Daily'!V68)+N('CYP Daily'!V68)+N('YMAL Daily'!V68))</f>
        <v/>
      </c>
      <c r="S68" s="45"/>
      <c r="T68" s="47"/>
    </row>
    <row r="69" customFormat="false" ht="15" hidden="false" customHeight="false" outlineLevel="0" collapsed="false">
      <c r="A69" s="44" t="n">
        <v>46358</v>
      </c>
      <c r="B69" s="20" t="str">
        <f aca="false">TEXT(A69,"ddd")</f>
        <v>Wed</v>
      </c>
      <c r="C69" s="4" t="n">
        <f aca="false">('BYS Daily'!C69=1)+('CYP Daily'!C69=1)+('YMAL Daily'!C69=1)</f>
        <v>3</v>
      </c>
      <c r="D69" s="45"/>
      <c r="E69" s="45"/>
      <c r="F69" s="45"/>
      <c r="G69" s="45"/>
      <c r="H69" s="46"/>
      <c r="I69" s="8" t="str">
        <f aca="false">IF(G69="","",IFERROR(H69/G69,""))</f>
        <v/>
      </c>
      <c r="J69" s="7" t="str">
        <f aca="false">IF(E69="","",IFERROR(F69/E69,""))</f>
        <v/>
      </c>
      <c r="K69" s="7" t="str">
        <f aca="false">IF(E69="","",IFERROR(G69/E69,""))</f>
        <v/>
      </c>
      <c r="L69" s="16" t="str">
        <f aca="false">IF(E69="","",IFERROR(H69/E69,""))</f>
        <v/>
      </c>
      <c r="M69" s="8" t="n">
        <f aca="false">Inputs!$C$48+Q69</f>
        <v>2848721.71575556</v>
      </c>
      <c r="N69" s="7" t="str">
        <f aca="false">IF(H69="","",IFERROR(H69/M69-1,""))</f>
        <v/>
      </c>
      <c r="O69" s="8" t="n">
        <f aca="false">IFERROR(M69/Inputs!$C$47,0)</f>
        <v>2058.82080155786</v>
      </c>
      <c r="P69" s="7" t="str">
        <f aca="false">IF(I69="","",IFERROR(I69/O69-1,""))</f>
        <v/>
      </c>
      <c r="Q69" s="9" t="n">
        <f aca="false">'BYS Daily'!U69+'CYP Daily'!U69+'YMAL Daily'!U69</f>
        <v>56432.0607555646</v>
      </c>
      <c r="R69" s="9" t="str">
        <f aca="false">IF(AND('BYS Daily'!V69="",'CYP Daily'!V69="",'YMAL Daily'!V69=""),"",N('BYS Daily'!V69)+N('CYP Daily'!V69)+N('YMAL Daily'!V69))</f>
        <v/>
      </c>
      <c r="S69" s="45"/>
      <c r="T69" s="47"/>
    </row>
    <row r="70" customFormat="false" ht="15" hidden="false" customHeight="false" outlineLevel="0" collapsed="false">
      <c r="A70" s="44" t="n">
        <v>46359</v>
      </c>
      <c r="B70" s="20" t="str">
        <f aca="false">TEXT(A70,"ddd")</f>
        <v>Thu</v>
      </c>
      <c r="C70" s="4" t="n">
        <f aca="false">('BYS Daily'!C70=1)+('CYP Daily'!C70=1)+('YMAL Daily'!C70=1)</f>
        <v>3</v>
      </c>
      <c r="D70" s="45"/>
      <c r="E70" s="45"/>
      <c r="F70" s="45"/>
      <c r="G70" s="45"/>
      <c r="H70" s="46"/>
      <c r="I70" s="8" t="str">
        <f aca="false">IF(G70="","",IFERROR(H70/G70,""))</f>
        <v/>
      </c>
      <c r="J70" s="7" t="str">
        <f aca="false">IF(E70="","",IFERROR(F70/E70,""))</f>
        <v/>
      </c>
      <c r="K70" s="7" t="str">
        <f aca="false">IF(E70="","",IFERROR(G70/E70,""))</f>
        <v/>
      </c>
      <c r="L70" s="16" t="str">
        <f aca="false">IF(E70="","",IFERROR(H70/E70,""))</f>
        <v/>
      </c>
      <c r="M70" s="8" t="n">
        <f aca="false">Inputs!$C$48+Q70</f>
        <v>2848721.71575556</v>
      </c>
      <c r="N70" s="7" t="str">
        <f aca="false">IF(H70="","",IFERROR(H70/M70-1,""))</f>
        <v/>
      </c>
      <c r="O70" s="8" t="n">
        <f aca="false">IFERROR(M70/Inputs!$C$47,0)</f>
        <v>2058.82080155786</v>
      </c>
      <c r="P70" s="7" t="str">
        <f aca="false">IF(I70="","",IFERROR(I70/O70-1,""))</f>
        <v/>
      </c>
      <c r="Q70" s="9" t="n">
        <f aca="false">'BYS Daily'!U70+'CYP Daily'!U70+'YMAL Daily'!U70</f>
        <v>56432.0607555646</v>
      </c>
      <c r="R70" s="9" t="str">
        <f aca="false">IF(AND('BYS Daily'!V70="",'CYP Daily'!V70="",'YMAL Daily'!V70=""),"",N('BYS Daily'!V70)+N('CYP Daily'!V70)+N('YMAL Daily'!V70))</f>
        <v/>
      </c>
      <c r="S70" s="45"/>
      <c r="T70" s="47"/>
    </row>
    <row r="71" customFormat="false" ht="15" hidden="false" customHeight="false" outlineLevel="0" collapsed="false">
      <c r="A71" s="44" t="n">
        <v>46360</v>
      </c>
      <c r="B71" s="20" t="str">
        <f aca="false">TEXT(A71,"ddd")</f>
        <v>Fri</v>
      </c>
      <c r="C71" s="4" t="n">
        <f aca="false">('BYS Daily'!C71=1)+('CYP Daily'!C71=1)+('YMAL Daily'!C71=1)</f>
        <v>3</v>
      </c>
      <c r="D71" s="45"/>
      <c r="E71" s="45"/>
      <c r="F71" s="45"/>
      <c r="G71" s="45"/>
      <c r="H71" s="46"/>
      <c r="I71" s="8" t="str">
        <f aca="false">IF(G71="","",IFERROR(H71/G71,""))</f>
        <v/>
      </c>
      <c r="J71" s="7" t="str">
        <f aca="false">IF(E71="","",IFERROR(F71/E71,""))</f>
        <v/>
      </c>
      <c r="K71" s="7" t="str">
        <f aca="false">IF(E71="","",IFERROR(G71/E71,""))</f>
        <v/>
      </c>
      <c r="L71" s="16" t="str">
        <f aca="false">IF(E71="","",IFERROR(H71/E71,""))</f>
        <v/>
      </c>
      <c r="M71" s="8" t="n">
        <f aca="false">Inputs!$C$48+Q71</f>
        <v>2848721.71575556</v>
      </c>
      <c r="N71" s="7" t="str">
        <f aca="false">IF(H71="","",IFERROR(H71/M71-1,""))</f>
        <v/>
      </c>
      <c r="O71" s="8" t="n">
        <f aca="false">IFERROR(M71/Inputs!$C$47,0)</f>
        <v>2058.82080155786</v>
      </c>
      <c r="P71" s="7" t="str">
        <f aca="false">IF(I71="","",IFERROR(I71/O71-1,""))</f>
        <v/>
      </c>
      <c r="Q71" s="9" t="n">
        <f aca="false">'BYS Daily'!U71+'CYP Daily'!U71+'YMAL Daily'!U71</f>
        <v>56432.0607555646</v>
      </c>
      <c r="R71" s="9" t="str">
        <f aca="false">IF(AND('BYS Daily'!V71="",'CYP Daily'!V71="",'YMAL Daily'!V71=""),"",N('BYS Daily'!V71)+N('CYP Daily'!V71)+N('YMAL Daily'!V71))</f>
        <v/>
      </c>
      <c r="S71" s="45"/>
      <c r="T71" s="47"/>
    </row>
    <row r="72" customFormat="false" ht="15" hidden="false" customHeight="false" outlineLevel="0" collapsed="false">
      <c r="A72" s="44" t="n">
        <v>46361</v>
      </c>
      <c r="B72" s="20" t="str">
        <f aca="false">TEXT(A72,"ddd")</f>
        <v>Sat</v>
      </c>
      <c r="C72" s="4" t="n">
        <f aca="false">('BYS Daily'!C72=1)+('CYP Daily'!C72=1)+('YMAL Daily'!C72=1)</f>
        <v>3</v>
      </c>
      <c r="D72" s="45"/>
      <c r="E72" s="45"/>
      <c r="F72" s="45"/>
      <c r="G72" s="45"/>
      <c r="H72" s="46"/>
      <c r="I72" s="8" t="str">
        <f aca="false">IF(G72="","",IFERROR(H72/G72,""))</f>
        <v/>
      </c>
      <c r="J72" s="7" t="str">
        <f aca="false">IF(E72="","",IFERROR(F72/E72,""))</f>
        <v/>
      </c>
      <c r="K72" s="7" t="str">
        <f aca="false">IF(E72="","",IFERROR(G72/E72,""))</f>
        <v/>
      </c>
      <c r="L72" s="16" t="str">
        <f aca="false">IF(E72="","",IFERROR(H72/E72,""))</f>
        <v/>
      </c>
      <c r="M72" s="8" t="n">
        <f aca="false">Inputs!$C$48+Q72</f>
        <v>2848721.71575556</v>
      </c>
      <c r="N72" s="7" t="str">
        <f aca="false">IF(H72="","",IFERROR(H72/M72-1,""))</f>
        <v/>
      </c>
      <c r="O72" s="8" t="n">
        <f aca="false">IFERROR(M72/Inputs!$C$47,0)</f>
        <v>2058.82080155786</v>
      </c>
      <c r="P72" s="7" t="str">
        <f aca="false">IF(I72="","",IFERROR(I72/O72-1,""))</f>
        <v/>
      </c>
      <c r="Q72" s="9" t="n">
        <f aca="false">'BYS Daily'!U72+'CYP Daily'!U72+'YMAL Daily'!U72</f>
        <v>56432.0607555646</v>
      </c>
      <c r="R72" s="9" t="str">
        <f aca="false">IF(AND('BYS Daily'!V72="",'CYP Daily'!V72="",'YMAL Daily'!V72=""),"",N('BYS Daily'!V72)+N('CYP Daily'!V72)+N('YMAL Daily'!V72))</f>
        <v/>
      </c>
      <c r="S72" s="45"/>
      <c r="T72" s="47"/>
    </row>
    <row r="73" customFormat="false" ht="15" hidden="false" customHeight="false" outlineLevel="0" collapsed="false">
      <c r="A73" s="44" t="n">
        <v>46362</v>
      </c>
      <c r="B73" s="20" t="str">
        <f aca="false">TEXT(A73,"ddd")</f>
        <v>Sun</v>
      </c>
      <c r="C73" s="4" t="n">
        <f aca="false">('BYS Daily'!C73=1)+('CYP Daily'!C73=1)+('YMAL Daily'!C73=1)</f>
        <v>3</v>
      </c>
      <c r="D73" s="45"/>
      <c r="E73" s="45"/>
      <c r="F73" s="45"/>
      <c r="G73" s="45"/>
      <c r="H73" s="46"/>
      <c r="I73" s="8" t="str">
        <f aca="false">IF(G73="","",IFERROR(H73/G73,""))</f>
        <v/>
      </c>
      <c r="J73" s="7" t="str">
        <f aca="false">IF(E73="","",IFERROR(F73/E73,""))</f>
        <v/>
      </c>
      <c r="K73" s="7" t="str">
        <f aca="false">IF(E73="","",IFERROR(G73/E73,""))</f>
        <v/>
      </c>
      <c r="L73" s="16" t="str">
        <f aca="false">IF(E73="","",IFERROR(H73/E73,""))</f>
        <v/>
      </c>
      <c r="M73" s="8" t="n">
        <f aca="false">Inputs!$C$48+Q73</f>
        <v>2848721.71575556</v>
      </c>
      <c r="N73" s="7" t="str">
        <f aca="false">IF(H73="","",IFERROR(H73/M73-1,""))</f>
        <v/>
      </c>
      <c r="O73" s="8" t="n">
        <f aca="false">IFERROR(M73/Inputs!$C$47,0)</f>
        <v>2058.82080155786</v>
      </c>
      <c r="P73" s="7" t="str">
        <f aca="false">IF(I73="","",IFERROR(I73/O73-1,""))</f>
        <v/>
      </c>
      <c r="Q73" s="9" t="n">
        <f aca="false">'BYS Daily'!U73+'CYP Daily'!U73+'YMAL Daily'!U73</f>
        <v>56432.0607555646</v>
      </c>
      <c r="R73" s="9" t="str">
        <f aca="false">IF(AND('BYS Daily'!V73="",'CYP Daily'!V73="",'YMAL Daily'!V73=""),"",N('BYS Daily'!V73)+N('CYP Daily'!V73)+N('YMAL Daily'!V73))</f>
        <v/>
      </c>
      <c r="S73" s="45"/>
      <c r="T73" s="47"/>
    </row>
    <row r="74" customFormat="false" ht="15" hidden="false" customHeight="false" outlineLevel="0" collapsed="false">
      <c r="A74" s="44" t="n">
        <v>46363</v>
      </c>
      <c r="B74" s="20" t="str">
        <f aca="false">TEXT(A74,"ddd")</f>
        <v>Mon</v>
      </c>
      <c r="C74" s="4" t="n">
        <f aca="false">('BYS Daily'!C74=1)+('CYP Daily'!C74=1)+('YMAL Daily'!C74=1)</f>
        <v>3</v>
      </c>
      <c r="D74" s="45"/>
      <c r="E74" s="45"/>
      <c r="F74" s="45"/>
      <c r="G74" s="45"/>
      <c r="H74" s="46"/>
      <c r="I74" s="8" t="str">
        <f aca="false">IF(G74="","",IFERROR(H74/G74,""))</f>
        <v/>
      </c>
      <c r="J74" s="7" t="str">
        <f aca="false">IF(E74="","",IFERROR(F74/E74,""))</f>
        <v/>
      </c>
      <c r="K74" s="7" t="str">
        <f aca="false">IF(E74="","",IFERROR(G74/E74,""))</f>
        <v/>
      </c>
      <c r="L74" s="16" t="str">
        <f aca="false">IF(E74="","",IFERROR(H74/E74,""))</f>
        <v/>
      </c>
      <c r="M74" s="8" t="n">
        <f aca="false">Inputs!$C$48+Q74</f>
        <v>2848721.71575556</v>
      </c>
      <c r="N74" s="7" t="str">
        <f aca="false">IF(H74="","",IFERROR(H74/M74-1,""))</f>
        <v/>
      </c>
      <c r="O74" s="8" t="n">
        <f aca="false">IFERROR(M74/Inputs!$C$47,0)</f>
        <v>2058.82080155786</v>
      </c>
      <c r="P74" s="7" t="str">
        <f aca="false">IF(I74="","",IFERROR(I74/O74-1,""))</f>
        <v/>
      </c>
      <c r="Q74" s="9" t="n">
        <f aca="false">'BYS Daily'!U74+'CYP Daily'!U74+'YMAL Daily'!U74</f>
        <v>56432.0607555646</v>
      </c>
      <c r="R74" s="9" t="str">
        <f aca="false">IF(AND('BYS Daily'!V74="",'CYP Daily'!V74="",'YMAL Daily'!V74=""),"",N('BYS Daily'!V74)+N('CYP Daily'!V74)+N('YMAL Daily'!V74))</f>
        <v/>
      </c>
      <c r="S74" s="45"/>
      <c r="T74" s="47"/>
    </row>
    <row r="75" customFormat="false" ht="15" hidden="false" customHeight="false" outlineLevel="0" collapsed="false">
      <c r="A75" s="44" t="n">
        <v>46364</v>
      </c>
      <c r="B75" s="20" t="str">
        <f aca="false">TEXT(A75,"ddd")</f>
        <v>Tue</v>
      </c>
      <c r="C75" s="4" t="n">
        <f aca="false">('BYS Daily'!C75=1)+('CYP Daily'!C75=1)+('YMAL Daily'!C75=1)</f>
        <v>3</v>
      </c>
      <c r="D75" s="45"/>
      <c r="E75" s="45"/>
      <c r="F75" s="45"/>
      <c r="G75" s="45"/>
      <c r="H75" s="46"/>
      <c r="I75" s="8" t="str">
        <f aca="false">IF(G75="","",IFERROR(H75/G75,""))</f>
        <v/>
      </c>
      <c r="J75" s="7" t="str">
        <f aca="false">IF(E75="","",IFERROR(F75/E75,""))</f>
        <v/>
      </c>
      <c r="K75" s="7" t="str">
        <f aca="false">IF(E75="","",IFERROR(G75/E75,""))</f>
        <v/>
      </c>
      <c r="L75" s="16" t="str">
        <f aca="false">IF(E75="","",IFERROR(H75/E75,""))</f>
        <v/>
      </c>
      <c r="M75" s="8" t="n">
        <f aca="false">Inputs!$C$48+Q75</f>
        <v>2848721.71575556</v>
      </c>
      <c r="N75" s="7" t="str">
        <f aca="false">IF(H75="","",IFERROR(H75/M75-1,""))</f>
        <v/>
      </c>
      <c r="O75" s="8" t="n">
        <f aca="false">IFERROR(M75/Inputs!$C$47,0)</f>
        <v>2058.82080155786</v>
      </c>
      <c r="P75" s="7" t="str">
        <f aca="false">IF(I75="","",IFERROR(I75/O75-1,""))</f>
        <v/>
      </c>
      <c r="Q75" s="9" t="n">
        <f aca="false">'BYS Daily'!U75+'CYP Daily'!U75+'YMAL Daily'!U75</f>
        <v>56432.0607555646</v>
      </c>
      <c r="R75" s="9" t="str">
        <f aca="false">IF(AND('BYS Daily'!V75="",'CYP Daily'!V75="",'YMAL Daily'!V75=""),"",N('BYS Daily'!V75)+N('CYP Daily'!V75)+N('YMAL Daily'!V75))</f>
        <v/>
      </c>
      <c r="S75" s="45"/>
      <c r="T75" s="47"/>
    </row>
    <row r="76" customFormat="false" ht="15" hidden="false" customHeight="false" outlineLevel="0" collapsed="false">
      <c r="A76" s="44" t="n">
        <v>46365</v>
      </c>
      <c r="B76" s="20" t="str">
        <f aca="false">TEXT(A76,"ddd")</f>
        <v>Wed</v>
      </c>
      <c r="C76" s="4" t="n">
        <f aca="false">('BYS Daily'!C76=1)+('CYP Daily'!C76=1)+('YMAL Daily'!C76=1)</f>
        <v>3</v>
      </c>
      <c r="D76" s="45"/>
      <c r="E76" s="45"/>
      <c r="F76" s="45"/>
      <c r="G76" s="45"/>
      <c r="H76" s="46"/>
      <c r="I76" s="8" t="str">
        <f aca="false">IF(G76="","",IFERROR(H76/G76,""))</f>
        <v/>
      </c>
      <c r="J76" s="7" t="str">
        <f aca="false">IF(E76="","",IFERROR(F76/E76,""))</f>
        <v/>
      </c>
      <c r="K76" s="7" t="str">
        <f aca="false">IF(E76="","",IFERROR(G76/E76,""))</f>
        <v/>
      </c>
      <c r="L76" s="16" t="str">
        <f aca="false">IF(E76="","",IFERROR(H76/E76,""))</f>
        <v/>
      </c>
      <c r="M76" s="8" t="n">
        <f aca="false">Inputs!$C$48+Q76</f>
        <v>2848721.71575556</v>
      </c>
      <c r="N76" s="7" t="str">
        <f aca="false">IF(H76="","",IFERROR(H76/M76-1,""))</f>
        <v/>
      </c>
      <c r="O76" s="8" t="n">
        <f aca="false">IFERROR(M76/Inputs!$C$47,0)</f>
        <v>2058.82080155786</v>
      </c>
      <c r="P76" s="7" t="str">
        <f aca="false">IF(I76="","",IFERROR(I76/O76-1,""))</f>
        <v/>
      </c>
      <c r="Q76" s="9" t="n">
        <f aca="false">'BYS Daily'!U76+'CYP Daily'!U76+'YMAL Daily'!U76</f>
        <v>56432.0607555646</v>
      </c>
      <c r="R76" s="9" t="str">
        <f aca="false">IF(AND('BYS Daily'!V76="",'CYP Daily'!V76="",'YMAL Daily'!V76=""),"",N('BYS Daily'!V76)+N('CYP Daily'!V76)+N('YMAL Daily'!V76))</f>
        <v/>
      </c>
      <c r="S76" s="45"/>
      <c r="T76" s="47"/>
    </row>
    <row r="77" customFormat="false" ht="15" hidden="false" customHeight="false" outlineLevel="0" collapsed="false">
      <c r="A77" s="44" t="n">
        <v>46366</v>
      </c>
      <c r="B77" s="20" t="str">
        <f aca="false">TEXT(A77,"ddd")</f>
        <v>Thu</v>
      </c>
      <c r="C77" s="4" t="n">
        <f aca="false">('BYS Daily'!C77=1)+('CYP Daily'!C77=1)+('YMAL Daily'!C77=1)</f>
        <v>3</v>
      </c>
      <c r="D77" s="45"/>
      <c r="E77" s="45"/>
      <c r="F77" s="45"/>
      <c r="G77" s="45"/>
      <c r="H77" s="46"/>
      <c r="I77" s="8" t="str">
        <f aca="false">IF(G77="","",IFERROR(H77/G77,""))</f>
        <v/>
      </c>
      <c r="J77" s="7" t="str">
        <f aca="false">IF(E77="","",IFERROR(F77/E77,""))</f>
        <v/>
      </c>
      <c r="K77" s="7" t="str">
        <f aca="false">IF(E77="","",IFERROR(G77/E77,""))</f>
        <v/>
      </c>
      <c r="L77" s="16" t="str">
        <f aca="false">IF(E77="","",IFERROR(H77/E77,""))</f>
        <v/>
      </c>
      <c r="M77" s="8" t="n">
        <f aca="false">Inputs!$C$48+Q77</f>
        <v>2848721.71575556</v>
      </c>
      <c r="N77" s="7" t="str">
        <f aca="false">IF(H77="","",IFERROR(H77/M77-1,""))</f>
        <v/>
      </c>
      <c r="O77" s="8" t="n">
        <f aca="false">IFERROR(M77/Inputs!$C$47,0)</f>
        <v>2058.82080155786</v>
      </c>
      <c r="P77" s="7" t="str">
        <f aca="false">IF(I77="","",IFERROR(I77/O77-1,""))</f>
        <v/>
      </c>
      <c r="Q77" s="9" t="n">
        <f aca="false">'BYS Daily'!U77+'CYP Daily'!U77+'YMAL Daily'!U77</f>
        <v>56432.0607555646</v>
      </c>
      <c r="R77" s="9" t="str">
        <f aca="false">IF(AND('BYS Daily'!V77="",'CYP Daily'!V77="",'YMAL Daily'!V77=""),"",N('BYS Daily'!V77)+N('CYP Daily'!V77)+N('YMAL Daily'!V77))</f>
        <v/>
      </c>
      <c r="S77" s="45"/>
      <c r="T77" s="47"/>
    </row>
    <row r="78" customFormat="false" ht="15" hidden="false" customHeight="false" outlineLevel="0" collapsed="false">
      <c r="A78" s="44" t="n">
        <v>46367</v>
      </c>
      <c r="B78" s="20" t="str">
        <f aca="false">TEXT(A78,"ddd")</f>
        <v>Fri</v>
      </c>
      <c r="C78" s="4" t="n">
        <f aca="false">('BYS Daily'!C78=1)+('CYP Daily'!C78=1)+('YMAL Daily'!C78=1)</f>
        <v>3</v>
      </c>
      <c r="D78" s="45"/>
      <c r="E78" s="45"/>
      <c r="F78" s="45"/>
      <c r="G78" s="45"/>
      <c r="H78" s="46"/>
      <c r="I78" s="8" t="str">
        <f aca="false">IF(G78="","",IFERROR(H78/G78,""))</f>
        <v/>
      </c>
      <c r="J78" s="7" t="str">
        <f aca="false">IF(E78="","",IFERROR(F78/E78,""))</f>
        <v/>
      </c>
      <c r="K78" s="7" t="str">
        <f aca="false">IF(E78="","",IFERROR(G78/E78,""))</f>
        <v/>
      </c>
      <c r="L78" s="16" t="str">
        <f aca="false">IF(E78="","",IFERROR(H78/E78,""))</f>
        <v/>
      </c>
      <c r="M78" s="8" t="n">
        <f aca="false">Inputs!$C$48+Q78</f>
        <v>2848721.71575556</v>
      </c>
      <c r="N78" s="7" t="str">
        <f aca="false">IF(H78="","",IFERROR(H78/M78-1,""))</f>
        <v/>
      </c>
      <c r="O78" s="8" t="n">
        <f aca="false">IFERROR(M78/Inputs!$C$47,0)</f>
        <v>2058.82080155786</v>
      </c>
      <c r="P78" s="7" t="str">
        <f aca="false">IF(I78="","",IFERROR(I78/O78-1,""))</f>
        <v/>
      </c>
      <c r="Q78" s="9" t="n">
        <f aca="false">'BYS Daily'!U78+'CYP Daily'!U78+'YMAL Daily'!U78</f>
        <v>56432.0607555646</v>
      </c>
      <c r="R78" s="9" t="str">
        <f aca="false">IF(AND('BYS Daily'!V78="",'CYP Daily'!V78="",'YMAL Daily'!V78=""),"",N('BYS Daily'!V78)+N('CYP Daily'!V78)+N('YMAL Daily'!V78))</f>
        <v/>
      </c>
      <c r="S78" s="45"/>
      <c r="T78" s="47"/>
    </row>
    <row r="79" customFormat="false" ht="15" hidden="false" customHeight="false" outlineLevel="0" collapsed="false">
      <c r="A79" s="44" t="n">
        <v>46368</v>
      </c>
      <c r="B79" s="20" t="str">
        <f aca="false">TEXT(A79,"ddd")</f>
        <v>Sat</v>
      </c>
      <c r="C79" s="4" t="n">
        <f aca="false">('BYS Daily'!C79=1)+('CYP Daily'!C79=1)+('YMAL Daily'!C79=1)</f>
        <v>3</v>
      </c>
      <c r="D79" s="45"/>
      <c r="E79" s="45"/>
      <c r="F79" s="45"/>
      <c r="G79" s="45"/>
      <c r="H79" s="46"/>
      <c r="I79" s="8" t="str">
        <f aca="false">IF(G79="","",IFERROR(H79/G79,""))</f>
        <v/>
      </c>
      <c r="J79" s="7" t="str">
        <f aca="false">IF(E79="","",IFERROR(F79/E79,""))</f>
        <v/>
      </c>
      <c r="K79" s="7" t="str">
        <f aca="false">IF(E79="","",IFERROR(G79/E79,""))</f>
        <v/>
      </c>
      <c r="L79" s="16" t="str">
        <f aca="false">IF(E79="","",IFERROR(H79/E79,""))</f>
        <v/>
      </c>
      <c r="M79" s="8" t="n">
        <f aca="false">Inputs!$C$48+Q79</f>
        <v>2848721.71575556</v>
      </c>
      <c r="N79" s="7" t="str">
        <f aca="false">IF(H79="","",IFERROR(H79/M79-1,""))</f>
        <v/>
      </c>
      <c r="O79" s="8" t="n">
        <f aca="false">IFERROR(M79/Inputs!$C$47,0)</f>
        <v>2058.82080155786</v>
      </c>
      <c r="P79" s="7" t="str">
        <f aca="false">IF(I79="","",IFERROR(I79/O79-1,""))</f>
        <v/>
      </c>
      <c r="Q79" s="9" t="n">
        <f aca="false">'BYS Daily'!U79+'CYP Daily'!U79+'YMAL Daily'!U79</f>
        <v>56432.0607555646</v>
      </c>
      <c r="R79" s="9" t="str">
        <f aca="false">IF(AND('BYS Daily'!V79="",'CYP Daily'!V79="",'YMAL Daily'!V79=""),"",N('BYS Daily'!V79)+N('CYP Daily'!V79)+N('YMAL Daily'!V79))</f>
        <v/>
      </c>
      <c r="S79" s="45"/>
      <c r="T79" s="47"/>
    </row>
    <row r="80" customFormat="false" ht="15" hidden="false" customHeight="false" outlineLevel="0" collapsed="false">
      <c r="A80" s="44" t="n">
        <v>46369</v>
      </c>
      <c r="B80" s="20" t="str">
        <f aca="false">TEXT(A80,"ddd")</f>
        <v>Sun</v>
      </c>
      <c r="C80" s="4" t="n">
        <f aca="false">('BYS Daily'!C80=1)+('CYP Daily'!C80=1)+('YMAL Daily'!C80=1)</f>
        <v>3</v>
      </c>
      <c r="D80" s="45"/>
      <c r="E80" s="45"/>
      <c r="F80" s="45"/>
      <c r="G80" s="45"/>
      <c r="H80" s="46"/>
      <c r="I80" s="8" t="str">
        <f aca="false">IF(G80="","",IFERROR(H80/G80,""))</f>
        <v/>
      </c>
      <c r="J80" s="7" t="str">
        <f aca="false">IF(E80="","",IFERROR(F80/E80,""))</f>
        <v/>
      </c>
      <c r="K80" s="7" t="str">
        <f aca="false">IF(E80="","",IFERROR(G80/E80,""))</f>
        <v/>
      </c>
      <c r="L80" s="16" t="str">
        <f aca="false">IF(E80="","",IFERROR(H80/E80,""))</f>
        <v/>
      </c>
      <c r="M80" s="8" t="n">
        <f aca="false">Inputs!$C$48+Q80</f>
        <v>2848721.71575556</v>
      </c>
      <c r="N80" s="7" t="str">
        <f aca="false">IF(H80="","",IFERROR(H80/M80-1,""))</f>
        <v/>
      </c>
      <c r="O80" s="8" t="n">
        <f aca="false">IFERROR(M80/Inputs!$C$47,0)</f>
        <v>2058.82080155786</v>
      </c>
      <c r="P80" s="7" t="str">
        <f aca="false">IF(I80="","",IFERROR(I80/O80-1,""))</f>
        <v/>
      </c>
      <c r="Q80" s="9" t="n">
        <f aca="false">'BYS Daily'!U80+'CYP Daily'!U80+'YMAL Daily'!U80</f>
        <v>56432.0607555646</v>
      </c>
      <c r="R80" s="9" t="str">
        <f aca="false">IF(AND('BYS Daily'!V80="",'CYP Daily'!V80="",'YMAL Daily'!V80=""),"",N('BYS Daily'!V80)+N('CYP Daily'!V80)+N('YMAL Daily'!V80))</f>
        <v/>
      </c>
      <c r="S80" s="45"/>
      <c r="T80" s="47"/>
    </row>
    <row r="81" customFormat="false" ht="15" hidden="false" customHeight="false" outlineLevel="0" collapsed="false">
      <c r="A81" s="44" t="n">
        <v>46370</v>
      </c>
      <c r="B81" s="20" t="str">
        <f aca="false">TEXT(A81,"ddd")</f>
        <v>Mon</v>
      </c>
      <c r="C81" s="4" t="n">
        <f aca="false">('BYS Daily'!C81=1)+('CYP Daily'!C81=1)+('YMAL Daily'!C81=1)</f>
        <v>3</v>
      </c>
      <c r="D81" s="45"/>
      <c r="E81" s="45"/>
      <c r="F81" s="45"/>
      <c r="G81" s="45"/>
      <c r="H81" s="46"/>
      <c r="I81" s="8" t="str">
        <f aca="false">IF(G81="","",IFERROR(H81/G81,""))</f>
        <v/>
      </c>
      <c r="J81" s="7" t="str">
        <f aca="false">IF(E81="","",IFERROR(F81/E81,""))</f>
        <v/>
      </c>
      <c r="K81" s="7" t="str">
        <f aca="false">IF(E81="","",IFERROR(G81/E81,""))</f>
        <v/>
      </c>
      <c r="L81" s="16" t="str">
        <f aca="false">IF(E81="","",IFERROR(H81/E81,""))</f>
        <v/>
      </c>
      <c r="M81" s="8" t="n">
        <f aca="false">Inputs!$C$48+Q81</f>
        <v>2848721.71575556</v>
      </c>
      <c r="N81" s="7" t="str">
        <f aca="false">IF(H81="","",IFERROR(H81/M81-1,""))</f>
        <v/>
      </c>
      <c r="O81" s="8" t="n">
        <f aca="false">IFERROR(M81/Inputs!$C$47,0)</f>
        <v>2058.82080155786</v>
      </c>
      <c r="P81" s="7" t="str">
        <f aca="false">IF(I81="","",IFERROR(I81/O81-1,""))</f>
        <v/>
      </c>
      <c r="Q81" s="9" t="n">
        <f aca="false">'BYS Daily'!U81+'CYP Daily'!U81+'YMAL Daily'!U81</f>
        <v>56432.0607555646</v>
      </c>
      <c r="R81" s="9" t="str">
        <f aca="false">IF(AND('BYS Daily'!V81="",'CYP Daily'!V81="",'YMAL Daily'!V81=""),"",N('BYS Daily'!V81)+N('CYP Daily'!V81)+N('YMAL Daily'!V81))</f>
        <v/>
      </c>
      <c r="S81" s="45"/>
      <c r="T81" s="47"/>
    </row>
    <row r="82" customFormat="false" ht="15" hidden="false" customHeight="false" outlineLevel="0" collapsed="false">
      <c r="A82" s="44" t="n">
        <v>46371</v>
      </c>
      <c r="B82" s="20" t="str">
        <f aca="false">TEXT(A82,"ddd")</f>
        <v>Tue</v>
      </c>
      <c r="C82" s="4" t="n">
        <f aca="false">('BYS Daily'!C82=1)+('CYP Daily'!C82=1)+('YMAL Daily'!C82=1)</f>
        <v>3</v>
      </c>
      <c r="D82" s="45"/>
      <c r="E82" s="45"/>
      <c r="F82" s="45"/>
      <c r="G82" s="45"/>
      <c r="H82" s="46"/>
      <c r="I82" s="8" t="str">
        <f aca="false">IF(G82="","",IFERROR(H82/G82,""))</f>
        <v/>
      </c>
      <c r="J82" s="7" t="str">
        <f aca="false">IF(E82="","",IFERROR(F82/E82,""))</f>
        <v/>
      </c>
      <c r="K82" s="7" t="str">
        <f aca="false">IF(E82="","",IFERROR(G82/E82,""))</f>
        <v/>
      </c>
      <c r="L82" s="16" t="str">
        <f aca="false">IF(E82="","",IFERROR(H82/E82,""))</f>
        <v/>
      </c>
      <c r="M82" s="8" t="n">
        <f aca="false">Inputs!$C$48+Q82</f>
        <v>2848721.71575556</v>
      </c>
      <c r="N82" s="7" t="str">
        <f aca="false">IF(H82="","",IFERROR(H82/M82-1,""))</f>
        <v/>
      </c>
      <c r="O82" s="8" t="n">
        <f aca="false">IFERROR(M82/Inputs!$C$47,0)</f>
        <v>2058.82080155786</v>
      </c>
      <c r="P82" s="7" t="str">
        <f aca="false">IF(I82="","",IFERROR(I82/O82-1,""))</f>
        <v/>
      </c>
      <c r="Q82" s="9" t="n">
        <f aca="false">'BYS Daily'!U82+'CYP Daily'!U82+'YMAL Daily'!U82</f>
        <v>56432.0607555646</v>
      </c>
      <c r="R82" s="9" t="str">
        <f aca="false">IF(AND('BYS Daily'!V82="",'CYP Daily'!V82="",'YMAL Daily'!V82=""),"",N('BYS Daily'!V82)+N('CYP Daily'!V82)+N('YMAL Daily'!V82))</f>
        <v/>
      </c>
      <c r="S82" s="45"/>
      <c r="T82" s="47"/>
    </row>
    <row r="83" customFormat="false" ht="15" hidden="false" customHeight="false" outlineLevel="0" collapsed="false">
      <c r="A83" s="44" t="n">
        <v>46372</v>
      </c>
      <c r="B83" s="20" t="str">
        <f aca="false">TEXT(A83,"ddd")</f>
        <v>Wed</v>
      </c>
      <c r="C83" s="4" t="n">
        <f aca="false">('BYS Daily'!C83=1)+('CYP Daily'!C83=1)+('YMAL Daily'!C83=1)</f>
        <v>3</v>
      </c>
      <c r="D83" s="45"/>
      <c r="E83" s="45"/>
      <c r="F83" s="45"/>
      <c r="G83" s="45"/>
      <c r="H83" s="46"/>
      <c r="I83" s="8" t="str">
        <f aca="false">IF(G83="","",IFERROR(H83/G83,""))</f>
        <v/>
      </c>
      <c r="J83" s="7" t="str">
        <f aca="false">IF(E83="","",IFERROR(F83/E83,""))</f>
        <v/>
      </c>
      <c r="K83" s="7" t="str">
        <f aca="false">IF(E83="","",IFERROR(G83/E83,""))</f>
        <v/>
      </c>
      <c r="L83" s="16" t="str">
        <f aca="false">IF(E83="","",IFERROR(H83/E83,""))</f>
        <v/>
      </c>
      <c r="M83" s="8" t="n">
        <f aca="false">Inputs!$C$48+Q83</f>
        <v>2848721.71575556</v>
      </c>
      <c r="N83" s="7" t="str">
        <f aca="false">IF(H83="","",IFERROR(H83/M83-1,""))</f>
        <v/>
      </c>
      <c r="O83" s="8" t="n">
        <f aca="false">IFERROR(M83/Inputs!$C$47,0)</f>
        <v>2058.82080155786</v>
      </c>
      <c r="P83" s="7" t="str">
        <f aca="false">IF(I83="","",IFERROR(I83/O83-1,""))</f>
        <v/>
      </c>
      <c r="Q83" s="9" t="n">
        <f aca="false">'BYS Daily'!U83+'CYP Daily'!U83+'YMAL Daily'!U83</f>
        <v>56432.0607555646</v>
      </c>
      <c r="R83" s="9" t="str">
        <f aca="false">IF(AND('BYS Daily'!V83="",'CYP Daily'!V83="",'YMAL Daily'!V83=""),"",N('BYS Daily'!V83)+N('CYP Daily'!V83)+N('YMAL Daily'!V83))</f>
        <v/>
      </c>
      <c r="S83" s="45"/>
      <c r="T83" s="47"/>
    </row>
    <row r="84" customFormat="false" ht="15" hidden="false" customHeight="false" outlineLevel="0" collapsed="false">
      <c r="A84" s="44" t="n">
        <v>46373</v>
      </c>
      <c r="B84" s="20" t="str">
        <f aca="false">TEXT(A84,"ddd")</f>
        <v>Thu</v>
      </c>
      <c r="C84" s="4" t="n">
        <f aca="false">('BYS Daily'!C84=1)+('CYP Daily'!C84=1)+('YMAL Daily'!C84=1)</f>
        <v>3</v>
      </c>
      <c r="D84" s="45"/>
      <c r="E84" s="45"/>
      <c r="F84" s="45"/>
      <c r="G84" s="45"/>
      <c r="H84" s="46"/>
      <c r="I84" s="8" t="str">
        <f aca="false">IF(G84="","",IFERROR(H84/G84,""))</f>
        <v/>
      </c>
      <c r="J84" s="7" t="str">
        <f aca="false">IF(E84="","",IFERROR(F84/E84,""))</f>
        <v/>
      </c>
      <c r="K84" s="7" t="str">
        <f aca="false">IF(E84="","",IFERROR(G84/E84,""))</f>
        <v/>
      </c>
      <c r="L84" s="16" t="str">
        <f aca="false">IF(E84="","",IFERROR(H84/E84,""))</f>
        <v/>
      </c>
      <c r="M84" s="8" t="n">
        <f aca="false">Inputs!$C$48+Q84</f>
        <v>2848721.71575556</v>
      </c>
      <c r="N84" s="7" t="str">
        <f aca="false">IF(H84="","",IFERROR(H84/M84-1,""))</f>
        <v/>
      </c>
      <c r="O84" s="8" t="n">
        <f aca="false">IFERROR(M84/Inputs!$C$47,0)</f>
        <v>2058.82080155786</v>
      </c>
      <c r="P84" s="7" t="str">
        <f aca="false">IF(I84="","",IFERROR(I84/O84-1,""))</f>
        <v/>
      </c>
      <c r="Q84" s="9" t="n">
        <f aca="false">'BYS Daily'!U84+'CYP Daily'!U84+'YMAL Daily'!U84</f>
        <v>56432.0607555646</v>
      </c>
      <c r="R84" s="9" t="str">
        <f aca="false">IF(AND('BYS Daily'!V84="",'CYP Daily'!V84="",'YMAL Daily'!V84=""),"",N('BYS Daily'!V84)+N('CYP Daily'!V84)+N('YMAL Daily'!V84))</f>
        <v/>
      </c>
      <c r="S84" s="45"/>
      <c r="T84" s="47"/>
    </row>
    <row r="85" customFormat="false" ht="15" hidden="false" customHeight="false" outlineLevel="0" collapsed="false">
      <c r="A85" s="44" t="n">
        <v>46374</v>
      </c>
      <c r="B85" s="20" t="str">
        <f aca="false">TEXT(A85,"ddd")</f>
        <v>Fri</v>
      </c>
      <c r="C85" s="4" t="n">
        <f aca="false">('BYS Daily'!C85=1)+('CYP Daily'!C85=1)+('YMAL Daily'!C85=1)</f>
        <v>3</v>
      </c>
      <c r="D85" s="45"/>
      <c r="E85" s="45"/>
      <c r="F85" s="45"/>
      <c r="G85" s="45"/>
      <c r="H85" s="46"/>
      <c r="I85" s="8" t="str">
        <f aca="false">IF(G85="","",IFERROR(H85/G85,""))</f>
        <v/>
      </c>
      <c r="J85" s="7" t="str">
        <f aca="false">IF(E85="","",IFERROR(F85/E85,""))</f>
        <v/>
      </c>
      <c r="K85" s="7" t="str">
        <f aca="false">IF(E85="","",IFERROR(G85/E85,""))</f>
        <v/>
      </c>
      <c r="L85" s="16" t="str">
        <f aca="false">IF(E85="","",IFERROR(H85/E85,""))</f>
        <v/>
      </c>
      <c r="M85" s="8" t="n">
        <f aca="false">Inputs!$C$48+Q85</f>
        <v>2848721.71575556</v>
      </c>
      <c r="N85" s="7" t="str">
        <f aca="false">IF(H85="","",IFERROR(H85/M85-1,""))</f>
        <v/>
      </c>
      <c r="O85" s="8" t="n">
        <f aca="false">IFERROR(M85/Inputs!$C$47,0)</f>
        <v>2058.82080155786</v>
      </c>
      <c r="P85" s="7" t="str">
        <f aca="false">IF(I85="","",IFERROR(I85/O85-1,""))</f>
        <v/>
      </c>
      <c r="Q85" s="9" t="n">
        <f aca="false">'BYS Daily'!U85+'CYP Daily'!U85+'YMAL Daily'!U85</f>
        <v>56432.0607555646</v>
      </c>
      <c r="R85" s="9" t="str">
        <f aca="false">IF(AND('BYS Daily'!V85="",'CYP Daily'!V85="",'YMAL Daily'!V85=""),"",N('BYS Daily'!V85)+N('CYP Daily'!V85)+N('YMAL Daily'!V85))</f>
        <v/>
      </c>
      <c r="S85" s="45"/>
      <c r="T85" s="47"/>
    </row>
    <row r="86" customFormat="false" ht="15" hidden="false" customHeight="false" outlineLevel="0" collapsed="false">
      <c r="A86" s="44" t="n">
        <v>46375</v>
      </c>
      <c r="B86" s="20" t="str">
        <f aca="false">TEXT(A86,"ddd")</f>
        <v>Sat</v>
      </c>
      <c r="C86" s="4" t="n">
        <f aca="false">('BYS Daily'!C86=1)+('CYP Daily'!C86=1)+('YMAL Daily'!C86=1)</f>
        <v>3</v>
      </c>
      <c r="D86" s="45"/>
      <c r="E86" s="45"/>
      <c r="F86" s="45"/>
      <c r="G86" s="45"/>
      <c r="H86" s="46"/>
      <c r="I86" s="8" t="str">
        <f aca="false">IF(G86="","",IFERROR(H86/G86,""))</f>
        <v/>
      </c>
      <c r="J86" s="7" t="str">
        <f aca="false">IF(E86="","",IFERROR(F86/E86,""))</f>
        <v/>
      </c>
      <c r="K86" s="7" t="str">
        <f aca="false">IF(E86="","",IFERROR(G86/E86,""))</f>
        <v/>
      </c>
      <c r="L86" s="16" t="str">
        <f aca="false">IF(E86="","",IFERROR(H86/E86,""))</f>
        <v/>
      </c>
      <c r="M86" s="8" t="n">
        <f aca="false">Inputs!$C$48+Q86</f>
        <v>2848721.71575556</v>
      </c>
      <c r="N86" s="7" t="str">
        <f aca="false">IF(H86="","",IFERROR(H86/M86-1,""))</f>
        <v/>
      </c>
      <c r="O86" s="8" t="n">
        <f aca="false">IFERROR(M86/Inputs!$C$47,0)</f>
        <v>2058.82080155786</v>
      </c>
      <c r="P86" s="7" t="str">
        <f aca="false">IF(I86="","",IFERROR(I86/O86-1,""))</f>
        <v/>
      </c>
      <c r="Q86" s="9" t="n">
        <f aca="false">'BYS Daily'!U86+'CYP Daily'!U86+'YMAL Daily'!U86</f>
        <v>56432.0607555646</v>
      </c>
      <c r="R86" s="9" t="str">
        <f aca="false">IF(AND('BYS Daily'!V86="",'CYP Daily'!V86="",'YMAL Daily'!V86=""),"",N('BYS Daily'!V86)+N('CYP Daily'!V86)+N('YMAL Daily'!V86))</f>
        <v/>
      </c>
      <c r="S86" s="45"/>
      <c r="T86" s="47"/>
    </row>
    <row r="87" customFormat="false" ht="15" hidden="false" customHeight="false" outlineLevel="0" collapsed="false">
      <c r="A87" s="44" t="n">
        <v>46376</v>
      </c>
      <c r="B87" s="20" t="str">
        <f aca="false">TEXT(A87,"ddd")</f>
        <v>Sun</v>
      </c>
      <c r="C87" s="4" t="n">
        <f aca="false">('BYS Daily'!C87=1)+('CYP Daily'!C87=1)+('YMAL Daily'!C87=1)</f>
        <v>3</v>
      </c>
      <c r="D87" s="45"/>
      <c r="E87" s="45"/>
      <c r="F87" s="45"/>
      <c r="G87" s="45"/>
      <c r="H87" s="46"/>
      <c r="I87" s="8" t="str">
        <f aca="false">IF(G87="","",IFERROR(H87/G87,""))</f>
        <v/>
      </c>
      <c r="J87" s="7" t="str">
        <f aca="false">IF(E87="","",IFERROR(F87/E87,""))</f>
        <v/>
      </c>
      <c r="K87" s="7" t="str">
        <f aca="false">IF(E87="","",IFERROR(G87/E87,""))</f>
        <v/>
      </c>
      <c r="L87" s="16" t="str">
        <f aca="false">IF(E87="","",IFERROR(H87/E87,""))</f>
        <v/>
      </c>
      <c r="M87" s="8" t="n">
        <f aca="false">Inputs!$C$48+Q87</f>
        <v>2848721.71575556</v>
      </c>
      <c r="N87" s="7" t="str">
        <f aca="false">IF(H87="","",IFERROR(H87/M87-1,""))</f>
        <v/>
      </c>
      <c r="O87" s="8" t="n">
        <f aca="false">IFERROR(M87/Inputs!$C$47,0)</f>
        <v>2058.82080155786</v>
      </c>
      <c r="P87" s="7" t="str">
        <f aca="false">IF(I87="","",IFERROR(I87/O87-1,""))</f>
        <v/>
      </c>
      <c r="Q87" s="9" t="n">
        <f aca="false">'BYS Daily'!U87+'CYP Daily'!U87+'YMAL Daily'!U87</f>
        <v>56432.0607555646</v>
      </c>
      <c r="R87" s="9" t="str">
        <f aca="false">IF(AND('BYS Daily'!V87="",'CYP Daily'!V87="",'YMAL Daily'!V87=""),"",N('BYS Daily'!V87)+N('CYP Daily'!V87)+N('YMAL Daily'!V87))</f>
        <v/>
      </c>
      <c r="S87" s="45"/>
      <c r="T87" s="47"/>
    </row>
    <row r="88" customFormat="false" ht="15" hidden="false" customHeight="false" outlineLevel="0" collapsed="false">
      <c r="A88" s="44" t="n">
        <v>46377</v>
      </c>
      <c r="B88" s="20" t="str">
        <f aca="false">TEXT(A88,"ddd")</f>
        <v>Mon</v>
      </c>
      <c r="C88" s="4" t="n">
        <f aca="false">('BYS Daily'!C88=1)+('CYP Daily'!C88=1)+('YMAL Daily'!C88=1)</f>
        <v>3</v>
      </c>
      <c r="D88" s="45"/>
      <c r="E88" s="45"/>
      <c r="F88" s="45"/>
      <c r="G88" s="45"/>
      <c r="H88" s="46"/>
      <c r="I88" s="8" t="str">
        <f aca="false">IF(G88="","",IFERROR(H88/G88,""))</f>
        <v/>
      </c>
      <c r="J88" s="7" t="str">
        <f aca="false">IF(E88="","",IFERROR(F88/E88,""))</f>
        <v/>
      </c>
      <c r="K88" s="7" t="str">
        <f aca="false">IF(E88="","",IFERROR(G88/E88,""))</f>
        <v/>
      </c>
      <c r="L88" s="16" t="str">
        <f aca="false">IF(E88="","",IFERROR(H88/E88,""))</f>
        <v/>
      </c>
      <c r="M88" s="8" t="n">
        <f aca="false">Inputs!$C$48+Q88</f>
        <v>2848721.71575556</v>
      </c>
      <c r="N88" s="7" t="str">
        <f aca="false">IF(H88="","",IFERROR(H88/M88-1,""))</f>
        <v/>
      </c>
      <c r="O88" s="8" t="n">
        <f aca="false">IFERROR(M88/Inputs!$C$47,0)</f>
        <v>2058.82080155786</v>
      </c>
      <c r="P88" s="7" t="str">
        <f aca="false">IF(I88="","",IFERROR(I88/O88-1,""))</f>
        <v/>
      </c>
      <c r="Q88" s="9" t="n">
        <f aca="false">'BYS Daily'!U88+'CYP Daily'!U88+'YMAL Daily'!U88</f>
        <v>56432.0607555646</v>
      </c>
      <c r="R88" s="9" t="str">
        <f aca="false">IF(AND('BYS Daily'!V88="",'CYP Daily'!V88="",'YMAL Daily'!V88=""),"",N('BYS Daily'!V88)+N('CYP Daily'!V88)+N('YMAL Daily'!V88))</f>
        <v/>
      </c>
      <c r="S88" s="45"/>
      <c r="T88" s="47"/>
    </row>
    <row r="89" customFormat="false" ht="15" hidden="false" customHeight="false" outlineLevel="0" collapsed="false">
      <c r="A89" s="44" t="n">
        <v>46378</v>
      </c>
      <c r="B89" s="20" t="str">
        <f aca="false">TEXT(A89,"ddd")</f>
        <v>Tue</v>
      </c>
      <c r="C89" s="4" t="n">
        <f aca="false">('BYS Daily'!C89=1)+('CYP Daily'!C89=1)+('YMAL Daily'!C89=1)</f>
        <v>3</v>
      </c>
      <c r="D89" s="45"/>
      <c r="E89" s="45"/>
      <c r="F89" s="45"/>
      <c r="G89" s="45"/>
      <c r="H89" s="46"/>
      <c r="I89" s="8" t="str">
        <f aca="false">IF(G89="","",IFERROR(H89/G89,""))</f>
        <v/>
      </c>
      <c r="J89" s="7" t="str">
        <f aca="false">IF(E89="","",IFERROR(F89/E89,""))</f>
        <v/>
      </c>
      <c r="K89" s="7" t="str">
        <f aca="false">IF(E89="","",IFERROR(G89/E89,""))</f>
        <v/>
      </c>
      <c r="L89" s="16" t="str">
        <f aca="false">IF(E89="","",IFERROR(H89/E89,""))</f>
        <v/>
      </c>
      <c r="M89" s="8" t="n">
        <f aca="false">Inputs!$C$48+Q89</f>
        <v>2848721.71575556</v>
      </c>
      <c r="N89" s="7" t="str">
        <f aca="false">IF(H89="","",IFERROR(H89/M89-1,""))</f>
        <v/>
      </c>
      <c r="O89" s="8" t="n">
        <f aca="false">IFERROR(M89/Inputs!$C$47,0)</f>
        <v>2058.82080155786</v>
      </c>
      <c r="P89" s="7" t="str">
        <f aca="false">IF(I89="","",IFERROR(I89/O89-1,""))</f>
        <v/>
      </c>
      <c r="Q89" s="9" t="n">
        <f aca="false">'BYS Daily'!U89+'CYP Daily'!U89+'YMAL Daily'!U89</f>
        <v>56432.0607555646</v>
      </c>
      <c r="R89" s="9" t="str">
        <f aca="false">IF(AND('BYS Daily'!V89="",'CYP Daily'!V89="",'YMAL Daily'!V89=""),"",N('BYS Daily'!V89)+N('CYP Daily'!V89)+N('YMAL Daily'!V89))</f>
        <v/>
      </c>
      <c r="S89" s="45"/>
      <c r="T89" s="47"/>
    </row>
    <row r="90" customFormat="false" ht="15" hidden="false" customHeight="false" outlineLevel="0" collapsed="false">
      <c r="A90" s="44" t="n">
        <v>46379</v>
      </c>
      <c r="B90" s="20" t="str">
        <f aca="false">TEXT(A90,"ddd")</f>
        <v>Wed</v>
      </c>
      <c r="C90" s="4" t="n">
        <f aca="false">('BYS Daily'!C90=1)+('CYP Daily'!C90=1)+('YMAL Daily'!C90=1)</f>
        <v>3</v>
      </c>
      <c r="D90" s="45"/>
      <c r="E90" s="45"/>
      <c r="F90" s="45"/>
      <c r="G90" s="45"/>
      <c r="H90" s="46"/>
      <c r="I90" s="8" t="str">
        <f aca="false">IF(G90="","",IFERROR(H90/G90,""))</f>
        <v/>
      </c>
      <c r="J90" s="7" t="str">
        <f aca="false">IF(E90="","",IFERROR(F90/E90,""))</f>
        <v/>
      </c>
      <c r="K90" s="7" t="str">
        <f aca="false">IF(E90="","",IFERROR(G90/E90,""))</f>
        <v/>
      </c>
      <c r="L90" s="16" t="str">
        <f aca="false">IF(E90="","",IFERROR(H90/E90,""))</f>
        <v/>
      </c>
      <c r="M90" s="8" t="n">
        <f aca="false">Inputs!$C$48+Q90</f>
        <v>2848721.71575556</v>
      </c>
      <c r="N90" s="7" t="str">
        <f aca="false">IF(H90="","",IFERROR(H90/M90-1,""))</f>
        <v/>
      </c>
      <c r="O90" s="8" t="n">
        <f aca="false">IFERROR(M90/Inputs!$C$47,0)</f>
        <v>2058.82080155786</v>
      </c>
      <c r="P90" s="7" t="str">
        <f aca="false">IF(I90="","",IFERROR(I90/O90-1,""))</f>
        <v/>
      </c>
      <c r="Q90" s="9" t="n">
        <f aca="false">'BYS Daily'!U90+'CYP Daily'!U90+'YMAL Daily'!U90</f>
        <v>56432.0607555646</v>
      </c>
      <c r="R90" s="9" t="str">
        <f aca="false">IF(AND('BYS Daily'!V90="",'CYP Daily'!V90="",'YMAL Daily'!V90=""),"",N('BYS Daily'!V90)+N('CYP Daily'!V90)+N('YMAL Daily'!V90))</f>
        <v/>
      </c>
      <c r="S90" s="45"/>
      <c r="T90" s="47"/>
    </row>
    <row r="91" customFormat="false" ht="15" hidden="false" customHeight="false" outlineLevel="0" collapsed="false">
      <c r="A91" s="44" t="n">
        <v>46380</v>
      </c>
      <c r="B91" s="20" t="str">
        <f aca="false">TEXT(A91,"ddd")</f>
        <v>Thu</v>
      </c>
      <c r="C91" s="4" t="n">
        <f aca="false">('BYS Daily'!C91=1)+('CYP Daily'!C91=1)+('YMAL Daily'!C91=1)</f>
        <v>3</v>
      </c>
      <c r="D91" s="45"/>
      <c r="E91" s="45"/>
      <c r="F91" s="45"/>
      <c r="G91" s="45"/>
      <c r="H91" s="46"/>
      <c r="I91" s="8" t="str">
        <f aca="false">IF(G91="","",IFERROR(H91/G91,""))</f>
        <v/>
      </c>
      <c r="J91" s="7" t="str">
        <f aca="false">IF(E91="","",IFERROR(F91/E91,""))</f>
        <v/>
      </c>
      <c r="K91" s="7" t="str">
        <f aca="false">IF(E91="","",IFERROR(G91/E91,""))</f>
        <v/>
      </c>
      <c r="L91" s="16" t="str">
        <f aca="false">IF(E91="","",IFERROR(H91/E91,""))</f>
        <v/>
      </c>
      <c r="M91" s="8" t="n">
        <f aca="false">Inputs!$C$48+Q91</f>
        <v>2848721.71575556</v>
      </c>
      <c r="N91" s="7" t="str">
        <f aca="false">IF(H91="","",IFERROR(H91/M91-1,""))</f>
        <v/>
      </c>
      <c r="O91" s="8" t="n">
        <f aca="false">IFERROR(M91/Inputs!$C$47,0)</f>
        <v>2058.82080155786</v>
      </c>
      <c r="P91" s="7" t="str">
        <f aca="false">IF(I91="","",IFERROR(I91/O91-1,""))</f>
        <v/>
      </c>
      <c r="Q91" s="9" t="n">
        <f aca="false">'BYS Daily'!U91+'CYP Daily'!U91+'YMAL Daily'!U91</f>
        <v>56432.0607555646</v>
      </c>
      <c r="R91" s="9" t="str">
        <f aca="false">IF(AND('BYS Daily'!V91="",'CYP Daily'!V91="",'YMAL Daily'!V91=""),"",N('BYS Daily'!V91)+N('CYP Daily'!V91)+N('YMAL Daily'!V91))</f>
        <v/>
      </c>
      <c r="S91" s="45"/>
      <c r="T91" s="47"/>
    </row>
    <row r="92" customFormat="false" ht="15" hidden="false" customHeight="false" outlineLevel="0" collapsed="false">
      <c r="A92" s="44" t="n">
        <v>46381</v>
      </c>
      <c r="B92" s="20" t="str">
        <f aca="false">TEXT(A92,"ddd")</f>
        <v>Fri</v>
      </c>
      <c r="C92" s="4" t="n">
        <f aca="false">('BYS Daily'!C92=1)+('CYP Daily'!C92=1)+('YMAL Daily'!C92=1)</f>
        <v>3</v>
      </c>
      <c r="D92" s="45"/>
      <c r="E92" s="45"/>
      <c r="F92" s="45"/>
      <c r="G92" s="45"/>
      <c r="H92" s="46"/>
      <c r="I92" s="8" t="str">
        <f aca="false">IF(G92="","",IFERROR(H92/G92,""))</f>
        <v/>
      </c>
      <c r="J92" s="7" t="str">
        <f aca="false">IF(E92="","",IFERROR(F92/E92,""))</f>
        <v/>
      </c>
      <c r="K92" s="7" t="str">
        <f aca="false">IF(E92="","",IFERROR(G92/E92,""))</f>
        <v/>
      </c>
      <c r="L92" s="16" t="str">
        <f aca="false">IF(E92="","",IFERROR(H92/E92,""))</f>
        <v/>
      </c>
      <c r="M92" s="8" t="n">
        <f aca="false">Inputs!$C$48+Q92</f>
        <v>2848721.71575556</v>
      </c>
      <c r="N92" s="7" t="str">
        <f aca="false">IF(H92="","",IFERROR(H92/M92-1,""))</f>
        <v/>
      </c>
      <c r="O92" s="8" t="n">
        <f aca="false">IFERROR(M92/Inputs!$C$47,0)</f>
        <v>2058.82080155786</v>
      </c>
      <c r="P92" s="7" t="str">
        <f aca="false">IF(I92="","",IFERROR(I92/O92-1,""))</f>
        <v/>
      </c>
      <c r="Q92" s="9" t="n">
        <f aca="false">'BYS Daily'!U92+'CYP Daily'!U92+'YMAL Daily'!U92</f>
        <v>56432.0607555646</v>
      </c>
      <c r="R92" s="9" t="str">
        <f aca="false">IF(AND('BYS Daily'!V92="",'CYP Daily'!V92="",'YMAL Daily'!V92=""),"",N('BYS Daily'!V92)+N('CYP Daily'!V92)+N('YMAL Daily'!V92))</f>
        <v/>
      </c>
      <c r="S92" s="45"/>
      <c r="T92" s="47"/>
    </row>
    <row r="93" customFormat="false" ht="15" hidden="false" customHeight="false" outlineLevel="0" collapsed="false">
      <c r="A93" s="44" t="n">
        <v>46382</v>
      </c>
      <c r="B93" s="20" t="str">
        <f aca="false">TEXT(A93,"ddd")</f>
        <v>Sat</v>
      </c>
      <c r="C93" s="4" t="n">
        <f aca="false">('BYS Daily'!C93=1)+('CYP Daily'!C93=1)+('YMAL Daily'!C93=1)</f>
        <v>3</v>
      </c>
      <c r="D93" s="45"/>
      <c r="E93" s="45"/>
      <c r="F93" s="45"/>
      <c r="G93" s="45"/>
      <c r="H93" s="46"/>
      <c r="I93" s="8" t="str">
        <f aca="false">IF(G93="","",IFERROR(H93/G93,""))</f>
        <v/>
      </c>
      <c r="J93" s="7" t="str">
        <f aca="false">IF(E93="","",IFERROR(F93/E93,""))</f>
        <v/>
      </c>
      <c r="K93" s="7" t="str">
        <f aca="false">IF(E93="","",IFERROR(G93/E93,""))</f>
        <v/>
      </c>
      <c r="L93" s="16" t="str">
        <f aca="false">IF(E93="","",IFERROR(H93/E93,""))</f>
        <v/>
      </c>
      <c r="M93" s="8" t="n">
        <f aca="false">Inputs!$C$48+Q93</f>
        <v>2848721.71575556</v>
      </c>
      <c r="N93" s="7" t="str">
        <f aca="false">IF(H93="","",IFERROR(H93/M93-1,""))</f>
        <v/>
      </c>
      <c r="O93" s="8" t="n">
        <f aca="false">IFERROR(M93/Inputs!$C$47,0)</f>
        <v>2058.82080155786</v>
      </c>
      <c r="P93" s="7" t="str">
        <f aca="false">IF(I93="","",IFERROR(I93/O93-1,""))</f>
        <v/>
      </c>
      <c r="Q93" s="9" t="n">
        <f aca="false">'BYS Daily'!U93+'CYP Daily'!U93+'YMAL Daily'!U93</f>
        <v>56432.0607555646</v>
      </c>
      <c r="R93" s="9" t="str">
        <f aca="false">IF(AND('BYS Daily'!V93="",'CYP Daily'!V93="",'YMAL Daily'!V93=""),"",N('BYS Daily'!V93)+N('CYP Daily'!V93)+N('YMAL Daily'!V93))</f>
        <v/>
      </c>
      <c r="S93" s="45"/>
      <c r="T93" s="47"/>
    </row>
    <row r="94" customFormat="false" ht="15" hidden="false" customHeight="false" outlineLevel="0" collapsed="false">
      <c r="A94" s="44" t="n">
        <v>46383</v>
      </c>
      <c r="B94" s="20" t="str">
        <f aca="false">TEXT(A94,"ddd")</f>
        <v>Sun</v>
      </c>
      <c r="C94" s="4" t="n">
        <f aca="false">('BYS Daily'!C94=1)+('CYP Daily'!C94=1)+('YMAL Daily'!C94=1)</f>
        <v>3</v>
      </c>
      <c r="D94" s="45"/>
      <c r="E94" s="45"/>
      <c r="F94" s="45"/>
      <c r="G94" s="45"/>
      <c r="H94" s="46"/>
      <c r="I94" s="8" t="str">
        <f aca="false">IF(G94="","",IFERROR(H94/G94,""))</f>
        <v/>
      </c>
      <c r="J94" s="7" t="str">
        <f aca="false">IF(E94="","",IFERROR(F94/E94,""))</f>
        <v/>
      </c>
      <c r="K94" s="7" t="str">
        <f aca="false">IF(E94="","",IFERROR(G94/E94,""))</f>
        <v/>
      </c>
      <c r="L94" s="16" t="str">
        <f aca="false">IF(E94="","",IFERROR(H94/E94,""))</f>
        <v/>
      </c>
      <c r="M94" s="8" t="n">
        <f aca="false">Inputs!$C$48+Q94</f>
        <v>2848721.71575556</v>
      </c>
      <c r="N94" s="7" t="str">
        <f aca="false">IF(H94="","",IFERROR(H94/M94-1,""))</f>
        <v/>
      </c>
      <c r="O94" s="8" t="n">
        <f aca="false">IFERROR(M94/Inputs!$C$47,0)</f>
        <v>2058.82080155786</v>
      </c>
      <c r="P94" s="7" t="str">
        <f aca="false">IF(I94="","",IFERROR(I94/O94-1,""))</f>
        <v/>
      </c>
      <c r="Q94" s="9" t="n">
        <f aca="false">'BYS Daily'!U94+'CYP Daily'!U94+'YMAL Daily'!U94</f>
        <v>56432.0607555646</v>
      </c>
      <c r="R94" s="9" t="str">
        <f aca="false">IF(AND('BYS Daily'!V94="",'CYP Daily'!V94="",'YMAL Daily'!V94=""),"",N('BYS Daily'!V94)+N('CYP Daily'!V94)+N('YMAL Daily'!V94))</f>
        <v/>
      </c>
      <c r="S94" s="45"/>
      <c r="T94" s="47"/>
    </row>
    <row r="95" customFormat="false" ht="15" hidden="false" customHeight="false" outlineLevel="0" collapsed="false">
      <c r="A95" s="44" t="n">
        <v>46384</v>
      </c>
      <c r="B95" s="20" t="str">
        <f aca="false">TEXT(A95,"ddd")</f>
        <v>Mon</v>
      </c>
      <c r="C95" s="4" t="n">
        <f aca="false">('BYS Daily'!C95=1)+('CYP Daily'!C95=1)+('YMAL Daily'!C95=1)</f>
        <v>3</v>
      </c>
      <c r="D95" s="45"/>
      <c r="E95" s="45"/>
      <c r="F95" s="45"/>
      <c r="G95" s="45"/>
      <c r="H95" s="46"/>
      <c r="I95" s="8" t="str">
        <f aca="false">IF(G95="","",IFERROR(H95/G95,""))</f>
        <v/>
      </c>
      <c r="J95" s="7" t="str">
        <f aca="false">IF(E95="","",IFERROR(F95/E95,""))</f>
        <v/>
      </c>
      <c r="K95" s="7" t="str">
        <f aca="false">IF(E95="","",IFERROR(G95/E95,""))</f>
        <v/>
      </c>
      <c r="L95" s="16" t="str">
        <f aca="false">IF(E95="","",IFERROR(H95/E95,""))</f>
        <v/>
      </c>
      <c r="M95" s="8" t="n">
        <f aca="false">Inputs!$C$48+Q95</f>
        <v>2848721.71575556</v>
      </c>
      <c r="N95" s="7" t="str">
        <f aca="false">IF(H95="","",IFERROR(H95/M95-1,""))</f>
        <v/>
      </c>
      <c r="O95" s="8" t="n">
        <f aca="false">IFERROR(M95/Inputs!$C$47,0)</f>
        <v>2058.82080155786</v>
      </c>
      <c r="P95" s="7" t="str">
        <f aca="false">IF(I95="","",IFERROR(I95/O95-1,""))</f>
        <v/>
      </c>
      <c r="Q95" s="9" t="n">
        <f aca="false">'BYS Daily'!U95+'CYP Daily'!U95+'YMAL Daily'!U95</f>
        <v>56432.0607555646</v>
      </c>
      <c r="R95" s="9" t="str">
        <f aca="false">IF(AND('BYS Daily'!V95="",'CYP Daily'!V95="",'YMAL Daily'!V95=""),"",N('BYS Daily'!V95)+N('CYP Daily'!V95)+N('YMAL Daily'!V95))</f>
        <v/>
      </c>
      <c r="S95" s="45"/>
      <c r="T95" s="47"/>
    </row>
    <row r="96" customFormat="false" ht="15" hidden="false" customHeight="false" outlineLevel="0" collapsed="false">
      <c r="A96" s="44" t="n">
        <v>46385</v>
      </c>
      <c r="B96" s="20" t="str">
        <f aca="false">TEXT(A96,"ddd")</f>
        <v>Tue</v>
      </c>
      <c r="C96" s="4" t="n">
        <f aca="false">('BYS Daily'!C96=1)+('CYP Daily'!C96=1)+('YMAL Daily'!C96=1)</f>
        <v>3</v>
      </c>
      <c r="D96" s="45"/>
      <c r="E96" s="45"/>
      <c r="F96" s="45"/>
      <c r="G96" s="45"/>
      <c r="H96" s="46"/>
      <c r="I96" s="8" t="str">
        <f aca="false">IF(G96="","",IFERROR(H96/G96,""))</f>
        <v/>
      </c>
      <c r="J96" s="7" t="str">
        <f aca="false">IF(E96="","",IFERROR(F96/E96,""))</f>
        <v/>
      </c>
      <c r="K96" s="7" t="str">
        <f aca="false">IF(E96="","",IFERROR(G96/E96,""))</f>
        <v/>
      </c>
      <c r="L96" s="16" t="str">
        <f aca="false">IF(E96="","",IFERROR(H96/E96,""))</f>
        <v/>
      </c>
      <c r="M96" s="8" t="n">
        <f aca="false">Inputs!$C$48+Q96</f>
        <v>2848721.71575556</v>
      </c>
      <c r="N96" s="7" t="str">
        <f aca="false">IF(H96="","",IFERROR(H96/M96-1,""))</f>
        <v/>
      </c>
      <c r="O96" s="8" t="n">
        <f aca="false">IFERROR(M96/Inputs!$C$47,0)</f>
        <v>2058.82080155786</v>
      </c>
      <c r="P96" s="7" t="str">
        <f aca="false">IF(I96="","",IFERROR(I96/O96-1,""))</f>
        <v/>
      </c>
      <c r="Q96" s="9" t="n">
        <f aca="false">'BYS Daily'!U96+'CYP Daily'!U96+'YMAL Daily'!U96</f>
        <v>56432.0607555646</v>
      </c>
      <c r="R96" s="9" t="str">
        <f aca="false">IF(AND('BYS Daily'!V96="",'CYP Daily'!V96="",'YMAL Daily'!V96=""),"",N('BYS Daily'!V96)+N('CYP Daily'!V96)+N('YMAL Daily'!V96))</f>
        <v/>
      </c>
      <c r="S96" s="45"/>
      <c r="T96" s="47"/>
    </row>
    <row r="97" customFormat="false" ht="15" hidden="false" customHeight="false" outlineLevel="0" collapsed="false">
      <c r="A97" s="44" t="n">
        <v>46386</v>
      </c>
      <c r="B97" s="20" t="str">
        <f aca="false">TEXT(A97,"ddd")</f>
        <v>Wed</v>
      </c>
      <c r="C97" s="4" t="n">
        <f aca="false">('BYS Daily'!C97=1)+('CYP Daily'!C97=1)+('YMAL Daily'!C97=1)</f>
        <v>3</v>
      </c>
      <c r="D97" s="45"/>
      <c r="E97" s="45"/>
      <c r="F97" s="45"/>
      <c r="G97" s="45"/>
      <c r="H97" s="46"/>
      <c r="I97" s="8" t="str">
        <f aca="false">IF(G97="","",IFERROR(H97/G97,""))</f>
        <v/>
      </c>
      <c r="J97" s="7" t="str">
        <f aca="false">IF(E97="","",IFERROR(F97/E97,""))</f>
        <v/>
      </c>
      <c r="K97" s="7" t="str">
        <f aca="false">IF(E97="","",IFERROR(G97/E97,""))</f>
        <v/>
      </c>
      <c r="L97" s="16" t="str">
        <f aca="false">IF(E97="","",IFERROR(H97/E97,""))</f>
        <v/>
      </c>
      <c r="M97" s="8" t="n">
        <f aca="false">Inputs!$C$48+Q97</f>
        <v>2848721.71575556</v>
      </c>
      <c r="N97" s="7" t="str">
        <f aca="false">IF(H97="","",IFERROR(H97/M97-1,""))</f>
        <v/>
      </c>
      <c r="O97" s="8" t="n">
        <f aca="false">IFERROR(M97/Inputs!$C$47,0)</f>
        <v>2058.82080155786</v>
      </c>
      <c r="P97" s="7" t="str">
        <f aca="false">IF(I97="","",IFERROR(I97/O97-1,""))</f>
        <v/>
      </c>
      <c r="Q97" s="9" t="n">
        <f aca="false">'BYS Daily'!U97+'CYP Daily'!U97+'YMAL Daily'!U97</f>
        <v>56432.0607555646</v>
      </c>
      <c r="R97" s="9" t="str">
        <f aca="false">IF(AND('BYS Daily'!V97="",'CYP Daily'!V97="",'YMAL Daily'!V97=""),"",N('BYS Daily'!V97)+N('CYP Daily'!V97)+N('YMAL Daily'!V97))</f>
        <v/>
      </c>
      <c r="S97" s="45"/>
      <c r="T97" s="47"/>
    </row>
    <row r="98" customFormat="false" ht="15" hidden="false" customHeight="false" outlineLevel="0" collapsed="false">
      <c r="A98" s="44" t="n">
        <v>46387</v>
      </c>
      <c r="B98" s="20" t="str">
        <f aca="false">TEXT(A98,"ddd")</f>
        <v>Thu</v>
      </c>
      <c r="C98" s="4" t="n">
        <f aca="false">('BYS Daily'!C98=1)+('CYP Daily'!C98=1)+('YMAL Daily'!C98=1)</f>
        <v>3</v>
      </c>
      <c r="D98" s="45"/>
      <c r="E98" s="45"/>
      <c r="F98" s="45"/>
      <c r="G98" s="45"/>
      <c r="H98" s="46"/>
      <c r="I98" s="8" t="str">
        <f aca="false">IF(G98="","",IFERROR(H98/G98,""))</f>
        <v/>
      </c>
      <c r="J98" s="7" t="str">
        <f aca="false">IF(E98="","",IFERROR(F98/E98,""))</f>
        <v/>
      </c>
      <c r="K98" s="7" t="str">
        <f aca="false">IF(E98="","",IFERROR(G98/E98,""))</f>
        <v/>
      </c>
      <c r="L98" s="16" t="str">
        <f aca="false">IF(E98="","",IFERROR(H98/E98,""))</f>
        <v/>
      </c>
      <c r="M98" s="8" t="n">
        <f aca="false">Inputs!$C$48+Q98</f>
        <v>2848721.71575556</v>
      </c>
      <c r="N98" s="7" t="str">
        <f aca="false">IF(H98="","",IFERROR(H98/M98-1,""))</f>
        <v/>
      </c>
      <c r="O98" s="8" t="n">
        <f aca="false">IFERROR(M98/Inputs!$C$47,0)</f>
        <v>2058.82080155786</v>
      </c>
      <c r="P98" s="7" t="str">
        <f aca="false">IF(I98="","",IFERROR(I98/O98-1,""))</f>
        <v/>
      </c>
      <c r="Q98" s="9" t="n">
        <f aca="false">'BYS Daily'!U98+'CYP Daily'!U98+'YMAL Daily'!U98</f>
        <v>56432.0607555646</v>
      </c>
      <c r="R98" s="9" t="str">
        <f aca="false">IF(AND('BYS Daily'!V98="",'CYP Daily'!V98="",'YMAL Daily'!V98=""),"",N('BYS Daily'!V98)+N('CYP Daily'!V98)+N('YMAL Daily'!V98))</f>
        <v/>
      </c>
      <c r="S98" s="45"/>
      <c r="T98" s="47"/>
    </row>
  </sheetData>
  <mergeCells count="4">
    <mergeCell ref="A4:C4"/>
    <mergeCell ref="D4:L4"/>
    <mergeCell ref="M4:R4"/>
    <mergeCell ref="S4:T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5" min="4" style="0" width="7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6" min="14" style="0" width="10"/>
    <col collapsed="false" customWidth="true" hidden="false" outlineLevel="0" max="17" min="17" style="0" width="13"/>
    <col collapsed="false" customWidth="true" hidden="false" outlineLevel="0" max="19" min="18" style="0" width="14"/>
    <col collapsed="false" customWidth="true" hidden="false" outlineLevel="0" max="20" min="20" style="0" width="9"/>
    <col collapsed="false" customWidth="true" hidden="false" outlineLevel="0" max="22" min="21" style="0" width="1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tr">
        <f aca="false">"Identifier: "&amp;Inputs!C8&amp;"   |   Go-live: "&amp;TEXT(Inputs!C9,"dd-mmm-yy")&amp;"   |   Steady-state plan: "&amp;TEXT(Inputs!C32,"#,##0")&amp;" ATC events/day, ₹"&amp;TEXT(Inputs!C36,"#,##0")&amp;" net incremental revenue/day"</f>
        <v>Identifier: dp/quick-sell   |   Go-live: 06-Oct-26   |   Steady-state plan: 1,073 ATC events/day, ₹25,546 net incremental revenue/day</v>
      </c>
    </row>
    <row r="3" customFormat="false" ht="15" hidden="false" customHeight="false" outlineLevel="0" collapsed="false">
      <c r="A3" s="2" t="s">
        <v>160</v>
      </c>
    </row>
    <row r="4" customFormat="false" ht="23.85" hidden="false" customHeight="true" outlineLevel="0" collapsed="false">
      <c r="A4" s="40" t="s">
        <v>161</v>
      </c>
      <c r="B4" s="40"/>
      <c r="C4" s="40"/>
      <c r="D4" s="40"/>
      <c r="E4" s="40"/>
      <c r="F4" s="48" t="s">
        <v>162</v>
      </c>
      <c r="G4" s="48"/>
      <c r="H4" s="48"/>
      <c r="I4" s="49" t="s">
        <v>163</v>
      </c>
      <c r="J4" s="49"/>
      <c r="K4" s="49"/>
      <c r="L4" s="49"/>
      <c r="M4" s="49"/>
      <c r="N4" s="50" t="s">
        <v>164</v>
      </c>
      <c r="O4" s="50"/>
      <c r="P4" s="50"/>
      <c r="Q4" s="42" t="s">
        <v>165</v>
      </c>
      <c r="R4" s="42"/>
      <c r="S4" s="42"/>
      <c r="T4" s="42"/>
      <c r="U4" s="42"/>
      <c r="V4" s="42"/>
      <c r="W4" s="43" t="s">
        <v>144</v>
      </c>
      <c r="X4" s="43"/>
      <c r="Y4" s="43"/>
    </row>
    <row r="5" customFormat="false" ht="48" hidden="false" customHeight="true" outlineLevel="0" collapsed="false">
      <c r="A5" s="3" t="s">
        <v>145</v>
      </c>
      <c r="B5" s="3" t="s">
        <v>146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170</v>
      </c>
      <c r="H5" s="3" t="s">
        <v>25</v>
      </c>
      <c r="I5" s="3" t="s">
        <v>169</v>
      </c>
      <c r="J5" s="3" t="s">
        <v>170</v>
      </c>
      <c r="K5" s="3" t="s">
        <v>25</v>
      </c>
      <c r="L5" s="3" t="s">
        <v>171</v>
      </c>
      <c r="M5" s="3" t="s">
        <v>172</v>
      </c>
      <c r="N5" s="3" t="s">
        <v>169</v>
      </c>
      <c r="O5" s="3" t="s">
        <v>170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25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158</v>
      </c>
    </row>
    <row r="6" customFormat="false" ht="15" hidden="false" customHeight="false" outlineLevel="0" collapsed="false">
      <c r="A6" s="44" t="n">
        <v>46295</v>
      </c>
      <c r="B6" s="20" t="str">
        <f aca="false">TEXT(A6,"ddd")</f>
        <v>Wed</v>
      </c>
      <c r="C6" s="6" t="n">
        <f aca="false">IF(A6&gt;=Inputs!$C$9,1,0)</f>
        <v>0</v>
      </c>
      <c r="D6" s="6" t="str">
        <f aca="false">IF(C6=1,A6-Inputs!$C$9+1,"")</f>
        <v/>
      </c>
      <c r="E6" s="51" t="n">
        <f aca="false">IF(C6=1,MIN(1,D6/Inputs!$C$29),0)</f>
        <v>0</v>
      </c>
      <c r="F6" s="6" t="n">
        <f aca="false">Inputs!$C$13+(Inputs!$C$32-Inputs!$C$13)*E6</f>
        <v>566.5</v>
      </c>
      <c r="G6" s="45" t="n">
        <v>469</v>
      </c>
      <c r="H6" s="7" t="n">
        <f aca="false">IF(G6="","",IFERROR(G6/F6-1,""))</f>
        <v>-0.172109443954104</v>
      </c>
      <c r="I6" s="6" t="n">
        <f aca="false">Inputs!$C$14+(Inputs!$C$24-Inputs!$C$14)*E6</f>
        <v>419.166666666667</v>
      </c>
      <c r="J6" s="45" t="n">
        <v>374</v>
      </c>
      <c r="K6" s="7" t="n">
        <f aca="false">IF(J6="","",IFERROR(J6/I6-1,""))</f>
        <v>-0.107753479125249</v>
      </c>
      <c r="L6" s="52" t="n">
        <f aca="false">IF(OR(G6="",J6=""),"",IFERROR(G6/J6,""))</f>
        <v>1.25401069518717</v>
      </c>
      <c r="M6" s="53" t="n">
        <f aca="false">IF(OR(J6="",'Site Daily'!E6=""),"",IFERROR(J6/'Site Daily'!E6*1000,""))</f>
        <v>10.8390088392987</v>
      </c>
      <c r="N6" s="53" t="n">
        <f aca="false">I6*(Inputs!$C$17+(Inputs!$C$26-Inputs!$C$17)*E6)</f>
        <v>47.1666666666667</v>
      </c>
      <c r="O6" s="45" t="n">
        <v>51</v>
      </c>
      <c r="P6" s="7" t="n">
        <f aca="false">IF(OR(O6="",J6=""),"",IFERROR(O6/J6,""))</f>
        <v>0.136363636363636</v>
      </c>
      <c r="Q6" s="46" t="n">
        <v>614233</v>
      </c>
      <c r="R6" s="8" t="n">
        <f aca="false">N6*(Inputs!$C$16+(Inputs!$C$27-Inputs!$C$16)*E6)</f>
        <v>84718.7037110669</v>
      </c>
      <c r="S6" s="8" t="n">
        <f aca="false">IF(OR(O6="",Q6="",J6=""),"",IFERROR(O6*Q6/J6,""))</f>
        <v>83759.0454545455</v>
      </c>
      <c r="T6" s="7" t="n">
        <f aca="false">IF(S6="","",IFERROR(S6/R6-1,""))</f>
        <v>-0.0113275842816764</v>
      </c>
      <c r="U6" s="8" t="n">
        <f aca="false">C6*(R6-Inputs!$C$19)*Inputs!$C$28</f>
        <v>0</v>
      </c>
      <c r="V6" s="8" t="str">
        <f aca="false">IF(OR(C6=0,S6=""),"",(S6-Inputs!$C$19)*Inputs!$C$28)</f>
        <v/>
      </c>
      <c r="W6" s="45"/>
      <c r="X6" s="7" t="str">
        <f aca="false">IF(OR(W6="",G6=""),"",IFERROR(W6/G6,""))</f>
        <v/>
      </c>
      <c r="Y6" s="47"/>
    </row>
    <row r="7" customFormat="false" ht="15" hidden="false" customHeight="false" outlineLevel="0" collapsed="false">
      <c r="A7" s="44" t="n">
        <v>46296</v>
      </c>
      <c r="B7" s="20" t="str">
        <f aca="false">TEXT(A7,"ddd")</f>
        <v>Thu</v>
      </c>
      <c r="C7" s="6" t="n">
        <f aca="false">IF(A7&gt;=Inputs!$C$9,1,0)</f>
        <v>0</v>
      </c>
      <c r="D7" s="6" t="str">
        <f aca="false">IF(C7=1,A7-Inputs!$C$9+1,"")</f>
        <v/>
      </c>
      <c r="E7" s="51" t="n">
        <f aca="false">IF(C7=1,MIN(1,D7/Inputs!$C$29),0)</f>
        <v>0</v>
      </c>
      <c r="F7" s="6" t="n">
        <f aca="false">Inputs!$C$13+(Inputs!$C$32-Inputs!$C$13)*E7</f>
        <v>566.5</v>
      </c>
      <c r="G7" s="45" t="n">
        <v>530</v>
      </c>
      <c r="H7" s="7" t="n">
        <f aca="false">IF(G7="","",IFERROR(G7/F7-1,""))</f>
        <v>-0.0644307149161518</v>
      </c>
      <c r="I7" s="6" t="n">
        <f aca="false">Inputs!$C$14+(Inputs!$C$24-Inputs!$C$14)*E7</f>
        <v>419.166666666667</v>
      </c>
      <c r="J7" s="45" t="n">
        <v>379</v>
      </c>
      <c r="K7" s="7" t="n">
        <f aca="false">IF(J7="","",IFERROR(J7/I7-1,""))</f>
        <v>-0.0958250497017893</v>
      </c>
      <c r="L7" s="52" t="n">
        <f aca="false">IF(OR(G7="",J7=""),"",IFERROR(G7/J7,""))</f>
        <v>1.39841688654354</v>
      </c>
      <c r="M7" s="53" t="n">
        <f aca="false">IF(OR(J7="",'Site Daily'!E7=""),"",IFERROR(J7/'Site Daily'!E7*1000,""))</f>
        <v>11.0906271032687</v>
      </c>
      <c r="N7" s="53" t="n">
        <f aca="false">I7*(Inputs!$C$17+(Inputs!$C$26-Inputs!$C$17)*E7)</f>
        <v>47.1666666666667</v>
      </c>
      <c r="O7" s="45" t="n">
        <v>40</v>
      </c>
      <c r="P7" s="7" t="n">
        <f aca="false">IF(OR(O7="",J7=""),"",IFERROR(O7/J7,""))</f>
        <v>0.105540897097625</v>
      </c>
      <c r="Q7" s="46" t="n">
        <v>707477</v>
      </c>
      <c r="R7" s="8" t="n">
        <f aca="false">N7*(Inputs!$C$16+(Inputs!$C$27-Inputs!$C$16)*E7)</f>
        <v>84718.7037110669</v>
      </c>
      <c r="S7" s="8" t="n">
        <f aca="false">IF(OR(O7="",Q7="",J7=""),"",IFERROR(O7*Q7/J7,""))</f>
        <v>74667.7572559367</v>
      </c>
      <c r="T7" s="7" t="n">
        <f aca="false">IF(S7="","",IFERROR(S7/R7-1,""))</f>
        <v>-0.118639049169225</v>
      </c>
      <c r="U7" s="8" t="n">
        <f aca="false">C7*(R7-Inputs!$C$19)*Inputs!$C$28</f>
        <v>0</v>
      </c>
      <c r="V7" s="8" t="str">
        <f aca="false">IF(OR(C7=0,S7=""),"",(S7-Inputs!$C$19)*Inputs!$C$28)</f>
        <v/>
      </c>
      <c r="W7" s="45"/>
      <c r="X7" s="7" t="str">
        <f aca="false">IF(OR(W7="",G7=""),"",IFERROR(W7/G7,""))</f>
        <v/>
      </c>
      <c r="Y7" s="47"/>
    </row>
    <row r="8" customFormat="false" ht="15" hidden="false" customHeight="false" outlineLevel="0" collapsed="false">
      <c r="A8" s="44" t="n">
        <v>46297</v>
      </c>
      <c r="B8" s="20" t="str">
        <f aca="false">TEXT(A8,"ddd")</f>
        <v>Fri</v>
      </c>
      <c r="C8" s="6" t="n">
        <f aca="false">IF(A8&gt;=Inputs!$C$9,1,0)</f>
        <v>0</v>
      </c>
      <c r="D8" s="6" t="str">
        <f aca="false">IF(C8=1,A8-Inputs!$C$9+1,"")</f>
        <v/>
      </c>
      <c r="E8" s="51" t="n">
        <f aca="false">IF(C8=1,MIN(1,D8/Inputs!$C$29),0)</f>
        <v>0</v>
      </c>
      <c r="F8" s="6" t="n">
        <f aca="false">Inputs!$C$13+(Inputs!$C$32-Inputs!$C$13)*E8</f>
        <v>566.5</v>
      </c>
      <c r="G8" s="45" t="n">
        <v>703</v>
      </c>
      <c r="H8" s="7" t="n">
        <f aca="false">IF(G8="","",IFERROR(G8/F8-1,""))</f>
        <v>0.240953221535746</v>
      </c>
      <c r="I8" s="6" t="n">
        <f aca="false">Inputs!$C$14+(Inputs!$C$24-Inputs!$C$14)*E8</f>
        <v>419.166666666667</v>
      </c>
      <c r="J8" s="45" t="n">
        <v>519</v>
      </c>
      <c r="K8" s="7" t="n">
        <f aca="false">IF(J8="","",IFERROR(J8/I8-1,""))</f>
        <v>0.23817097415507</v>
      </c>
      <c r="L8" s="52" t="n">
        <f aca="false">IF(OR(G8="",J8=""),"",IFERROR(G8/J8,""))</f>
        <v>1.35452793834297</v>
      </c>
      <c r="M8" s="53" t="n">
        <f aca="false">IF(OR(J8="",'Site Daily'!E8=""),"",IFERROR(J8/'Site Daily'!E8*1000,""))</f>
        <v>13.6428158351296</v>
      </c>
      <c r="N8" s="53" t="n">
        <f aca="false">I8*(Inputs!$C$17+(Inputs!$C$26-Inputs!$C$17)*E8)</f>
        <v>47.1666666666667</v>
      </c>
      <c r="O8" s="45" t="n">
        <v>49</v>
      </c>
      <c r="P8" s="7" t="n">
        <f aca="false">IF(OR(O8="",J8=""),"",IFERROR(O8/J8,""))</f>
        <v>0.0944123314065511</v>
      </c>
      <c r="Q8" s="46" t="n">
        <v>932400</v>
      </c>
      <c r="R8" s="8" t="n">
        <f aca="false">N8*(Inputs!$C$16+(Inputs!$C$27-Inputs!$C$16)*E8)</f>
        <v>84718.7037110669</v>
      </c>
      <c r="S8" s="8" t="n">
        <f aca="false">IF(OR(O8="",Q8="",J8=""),"",IFERROR(O8*Q8/J8,""))</f>
        <v>88030.0578034682</v>
      </c>
      <c r="T8" s="7" t="n">
        <f aca="false">IF(S8="","",IFERROR(S8/R8-1,""))</f>
        <v>0.039086458448357</v>
      </c>
      <c r="U8" s="8" t="n">
        <f aca="false">C8*(R8-Inputs!$C$19)*Inputs!$C$28</f>
        <v>0</v>
      </c>
      <c r="V8" s="8" t="str">
        <f aca="false">IF(OR(C8=0,S8=""),"",(S8-Inputs!$C$19)*Inputs!$C$28)</f>
        <v/>
      </c>
      <c r="W8" s="45"/>
      <c r="X8" s="7" t="str">
        <f aca="false">IF(OR(W8="",G8=""),"",IFERROR(W8/G8,""))</f>
        <v/>
      </c>
      <c r="Y8" s="47"/>
    </row>
    <row r="9" customFormat="false" ht="15" hidden="false" customHeight="false" outlineLevel="0" collapsed="false">
      <c r="A9" s="44" t="n">
        <v>46298</v>
      </c>
      <c r="B9" s="20" t="str">
        <f aca="false">TEXT(A9,"ddd")</f>
        <v>Sat</v>
      </c>
      <c r="C9" s="6" t="n">
        <f aca="false">IF(A9&gt;=Inputs!$C$9,1,0)</f>
        <v>0</v>
      </c>
      <c r="D9" s="6" t="str">
        <f aca="false">IF(C9=1,A9-Inputs!$C$9+1,"")</f>
        <v/>
      </c>
      <c r="E9" s="51" t="n">
        <f aca="false">IF(C9=1,MIN(1,D9/Inputs!$C$29),0)</f>
        <v>0</v>
      </c>
      <c r="F9" s="6" t="n">
        <f aca="false">Inputs!$C$13+(Inputs!$C$32-Inputs!$C$13)*E9</f>
        <v>566.5</v>
      </c>
      <c r="G9" s="45" t="n">
        <v>595</v>
      </c>
      <c r="H9" s="7" t="n">
        <f aca="false">IF(G9="","",IFERROR(G9/F9-1,""))</f>
        <v>0.0503089143865843</v>
      </c>
      <c r="I9" s="6" t="n">
        <f aca="false">Inputs!$C$14+(Inputs!$C$24-Inputs!$C$14)*E9</f>
        <v>419.166666666667</v>
      </c>
      <c r="J9" s="45" t="n">
        <v>427</v>
      </c>
      <c r="K9" s="7" t="n">
        <f aca="false">IF(J9="","",IFERROR(J9/I9-1,""))</f>
        <v>0.0186878727634194</v>
      </c>
      <c r="L9" s="52" t="n">
        <f aca="false">IF(OR(G9="",J9=""),"",IFERROR(G9/J9,""))</f>
        <v>1.39344262295082</v>
      </c>
      <c r="M9" s="53" t="n">
        <f aca="false">IF(OR(J9="",'Site Daily'!E9=""),"",IFERROR(J9/'Site Daily'!E9*1000,""))</f>
        <v>12.3671329684015</v>
      </c>
      <c r="N9" s="53" t="n">
        <f aca="false">I9*(Inputs!$C$17+(Inputs!$C$26-Inputs!$C$17)*E9)</f>
        <v>47.1666666666667</v>
      </c>
      <c r="O9" s="45" t="n">
        <v>54</v>
      </c>
      <c r="P9" s="7" t="n">
        <f aca="false">IF(OR(O9="",J9=""),"",IFERROR(O9/J9,""))</f>
        <v>0.126463700234192</v>
      </c>
      <c r="Q9" s="46" t="n">
        <v>744113</v>
      </c>
      <c r="R9" s="8" t="n">
        <f aca="false">N9*(Inputs!$C$16+(Inputs!$C$27-Inputs!$C$16)*E9)</f>
        <v>84718.7037110669</v>
      </c>
      <c r="S9" s="8" t="n">
        <f aca="false">IF(OR(O9="",Q9="",J9=""),"",IFERROR(O9*Q9/J9,""))</f>
        <v>94103.2833723654</v>
      </c>
      <c r="T9" s="7" t="n">
        <f aca="false">IF(S9="","",IFERROR(S9/R9-1,""))</f>
        <v>0.110773409533089</v>
      </c>
      <c r="U9" s="8" t="n">
        <f aca="false">C9*(R9-Inputs!$C$19)*Inputs!$C$28</f>
        <v>0</v>
      </c>
      <c r="V9" s="8" t="str">
        <f aca="false">IF(OR(C9=0,S9=""),"",(S9-Inputs!$C$19)*Inputs!$C$28)</f>
        <v/>
      </c>
      <c r="W9" s="45"/>
      <c r="X9" s="7" t="str">
        <f aca="false">IF(OR(W9="",G9=""),"",IFERROR(W9/G9,""))</f>
        <v/>
      </c>
      <c r="Y9" s="47"/>
    </row>
    <row r="10" customFormat="false" ht="15" hidden="false" customHeight="false" outlineLevel="0" collapsed="false">
      <c r="A10" s="44" t="n">
        <v>46299</v>
      </c>
      <c r="B10" s="20" t="str">
        <f aca="false">TEXT(A10,"ddd")</f>
        <v>Sun</v>
      </c>
      <c r="C10" s="6" t="n">
        <f aca="false">IF(A10&gt;=Inputs!$C$9,1,0)</f>
        <v>0</v>
      </c>
      <c r="D10" s="6" t="str">
        <f aca="false">IF(C10=1,A10-Inputs!$C$9+1,"")</f>
        <v/>
      </c>
      <c r="E10" s="51" t="n">
        <f aca="false">IF(C10=1,MIN(1,D10/Inputs!$C$29),0)</f>
        <v>0</v>
      </c>
      <c r="F10" s="6" t="n">
        <f aca="false">Inputs!$C$13+(Inputs!$C$32-Inputs!$C$13)*E10</f>
        <v>566.5</v>
      </c>
      <c r="G10" s="45" t="n">
        <v>579</v>
      </c>
      <c r="H10" s="7" t="n">
        <f aca="false">IF(G10="","",IFERROR(G10/F10-1,""))</f>
        <v>0.0220653133274493</v>
      </c>
      <c r="I10" s="6" t="n">
        <f aca="false">Inputs!$C$14+(Inputs!$C$24-Inputs!$C$14)*E10</f>
        <v>419.166666666667</v>
      </c>
      <c r="J10" s="45" t="n">
        <v>410</v>
      </c>
      <c r="K10" s="7" t="n">
        <f aca="false">IF(J10="","",IFERROR(J10/I10-1,""))</f>
        <v>-0.021868787276342</v>
      </c>
      <c r="L10" s="52" t="n">
        <f aca="false">IF(OR(G10="",J10=""),"",IFERROR(G10/J10,""))</f>
        <v>1.41219512195122</v>
      </c>
      <c r="M10" s="53" t="n">
        <f aca="false">IF(OR(J10="",'Site Daily'!E10=""),"",IFERROR(J10/'Site Daily'!E10*1000,""))</f>
        <v>11.1270931147719</v>
      </c>
      <c r="N10" s="53" t="n">
        <f aca="false">I10*(Inputs!$C$17+(Inputs!$C$26-Inputs!$C$17)*E10)</f>
        <v>47.1666666666667</v>
      </c>
      <c r="O10" s="45" t="n">
        <v>43</v>
      </c>
      <c r="P10" s="7" t="n">
        <f aca="false">IF(OR(O10="",J10=""),"",IFERROR(O10/J10,""))</f>
        <v>0.104878048780488</v>
      </c>
      <c r="Q10" s="46" t="n">
        <v>800023</v>
      </c>
      <c r="R10" s="8" t="n">
        <f aca="false">N10*(Inputs!$C$16+(Inputs!$C$27-Inputs!$C$16)*E10)</f>
        <v>84718.7037110669</v>
      </c>
      <c r="S10" s="8" t="n">
        <f aca="false">IF(OR(O10="",Q10="",J10=""),"",IFERROR(O10*Q10/J10,""))</f>
        <v>83904.8512195122</v>
      </c>
      <c r="T10" s="7" t="n">
        <f aca="false">IF(S10="","",IFERROR(S10/R10-1,""))</f>
        <v>-0.00960652672791562</v>
      </c>
      <c r="U10" s="8" t="n">
        <f aca="false">C10*(R10-Inputs!$C$19)*Inputs!$C$28</f>
        <v>0</v>
      </c>
      <c r="V10" s="8" t="str">
        <f aca="false">IF(OR(C10=0,S10=""),"",(S10-Inputs!$C$19)*Inputs!$C$28)</f>
        <v/>
      </c>
      <c r="W10" s="45"/>
      <c r="X10" s="7" t="str">
        <f aca="false">IF(OR(W10="",G10=""),"",IFERROR(W10/G10,""))</f>
        <v/>
      </c>
      <c r="Y10" s="47"/>
    </row>
    <row r="11" customFormat="false" ht="15" hidden="false" customHeight="false" outlineLevel="0" collapsed="false">
      <c r="A11" s="44" t="n">
        <v>46300</v>
      </c>
      <c r="B11" s="20" t="str">
        <f aca="false">TEXT(A11,"ddd")</f>
        <v>Mon</v>
      </c>
      <c r="C11" s="6" t="n">
        <f aca="false">IF(A11&gt;=Inputs!$C$9,1,0)</f>
        <v>0</v>
      </c>
      <c r="D11" s="6" t="str">
        <f aca="false">IF(C11=1,A11-Inputs!$C$9+1,"")</f>
        <v/>
      </c>
      <c r="E11" s="51" t="n">
        <f aca="false">IF(C11=1,MIN(1,D11/Inputs!$C$29),0)</f>
        <v>0</v>
      </c>
      <c r="F11" s="6" t="n">
        <f aca="false">Inputs!$C$13+(Inputs!$C$32-Inputs!$C$13)*E11</f>
        <v>566.5</v>
      </c>
      <c r="G11" s="45" t="n">
        <v>523</v>
      </c>
      <c r="H11" s="7" t="n">
        <f aca="false">IF(G11="","",IFERROR(G11/F11-1,""))</f>
        <v>-0.0767872903795234</v>
      </c>
      <c r="I11" s="6" t="n">
        <f aca="false">Inputs!$C$14+(Inputs!$C$24-Inputs!$C$14)*E11</f>
        <v>419.166666666667</v>
      </c>
      <c r="J11" s="45" t="n">
        <v>406</v>
      </c>
      <c r="K11" s="7" t="n">
        <f aca="false">IF(J11="","",IFERROR(J11/I11-1,""))</f>
        <v>-0.0314115308151094</v>
      </c>
      <c r="L11" s="52" t="n">
        <f aca="false">IF(OR(G11="",J11=""),"",IFERROR(G11/J11,""))</f>
        <v>1.28817733990148</v>
      </c>
      <c r="M11" s="53" t="n">
        <f aca="false">IF(OR(J11="",'Site Daily'!E11=""),"",IFERROR(J11/'Site Daily'!E11*1000,""))</f>
        <v>11.851592375281</v>
      </c>
      <c r="N11" s="53" t="n">
        <f aca="false">I11*(Inputs!$C$17+(Inputs!$C$26-Inputs!$C$17)*E11)</f>
        <v>47.1666666666667</v>
      </c>
      <c r="O11" s="45" t="n">
        <v>46</v>
      </c>
      <c r="P11" s="7" t="n">
        <f aca="false">IF(OR(O11="",J11=""),"",IFERROR(O11/J11,""))</f>
        <v>0.113300492610837</v>
      </c>
      <c r="Q11" s="46" t="n">
        <v>719087</v>
      </c>
      <c r="R11" s="8" t="n">
        <f aca="false">N11*(Inputs!$C$16+(Inputs!$C$27-Inputs!$C$16)*E11)</f>
        <v>84718.7037110669</v>
      </c>
      <c r="S11" s="8" t="n">
        <f aca="false">IF(OR(O11="",Q11="",J11=""),"",IFERROR(O11*Q11/J11,""))</f>
        <v>81472.9113300493</v>
      </c>
      <c r="T11" s="7" t="n">
        <f aca="false">IF(S11="","",IFERROR(S11/R11-1,""))</f>
        <v>-0.0383125831585838</v>
      </c>
      <c r="U11" s="8" t="n">
        <f aca="false">C11*(R11-Inputs!$C$19)*Inputs!$C$28</f>
        <v>0</v>
      </c>
      <c r="V11" s="8" t="str">
        <f aca="false">IF(OR(C11=0,S11=""),"",(S11-Inputs!$C$19)*Inputs!$C$28)</f>
        <v/>
      </c>
      <c r="W11" s="45"/>
      <c r="X11" s="7" t="str">
        <f aca="false">IF(OR(W11="",G11=""),"",IFERROR(W11/G11,""))</f>
        <v/>
      </c>
      <c r="Y11" s="47"/>
    </row>
    <row r="12" customFormat="false" ht="15" hidden="false" customHeight="false" outlineLevel="0" collapsed="false">
      <c r="A12" s="44" t="n">
        <v>46301</v>
      </c>
      <c r="B12" s="20" t="str">
        <f aca="false">TEXT(A12,"ddd")</f>
        <v>Tue</v>
      </c>
      <c r="C12" s="6" t="n">
        <f aca="false">IF(A12&gt;=Inputs!$C$9,1,0)</f>
        <v>1</v>
      </c>
      <c r="D12" s="6" t="n">
        <f aca="false">IF(C12=1,A12-Inputs!$C$9+1,"")</f>
        <v>1</v>
      </c>
      <c r="E12" s="51" t="n">
        <f aca="false">IF(C12=1,MIN(1,D12/Inputs!$C$29),0)</f>
        <v>0.333333333333333</v>
      </c>
      <c r="F12" s="6" t="n">
        <f aca="false">Inputs!$C$13+(Inputs!$C$32-Inputs!$C$13)*E12</f>
        <v>735.355555555556</v>
      </c>
      <c r="G12" s="45"/>
      <c r="H12" s="7" t="str">
        <f aca="false">IF(G12="","",IFERROR(G12/F12-1,""))</f>
        <v/>
      </c>
      <c r="I12" s="6" t="n">
        <f aca="false">Inputs!$C$14+(Inputs!$C$24-Inputs!$C$14)*E12</f>
        <v>503</v>
      </c>
      <c r="J12" s="45"/>
      <c r="K12" s="7" t="str">
        <f aca="false">IF(J12="","",IFERROR(J12/I12-1,""))</f>
        <v/>
      </c>
      <c r="L12" s="52" t="str">
        <f aca="false">IF(OR(G12="",J12=""),"",IFERROR(G12/J12,""))</f>
        <v/>
      </c>
      <c r="M12" s="53" t="str">
        <f aca="false">IF(OR(J12="",'Site Daily'!E12=""),"",IFERROR(J12/'Site Daily'!E12*1000,""))</f>
        <v/>
      </c>
      <c r="N12" s="53" t="n">
        <f aca="false">I12*(Inputs!$C$17+(Inputs!$C$26-Inputs!$C$17)*E12)</f>
        <v>56.5958333333333</v>
      </c>
      <c r="O12" s="45"/>
      <c r="P12" s="7" t="str">
        <f aca="false">IF(OR(O12="",J12=""),"",IFERROR(O12/J12,""))</f>
        <v/>
      </c>
      <c r="Q12" s="46"/>
      <c r="R12" s="8" t="n">
        <f aca="false">N12*(Inputs!$C$16+(Inputs!$C$27-Inputs!$C$16)*E12)</f>
        <v>101727.473645902</v>
      </c>
      <c r="S12" s="8" t="str">
        <f aca="false">IF(OR(O12="",Q12="",J12=""),"",IFERROR(O12*Q12/J12,""))</f>
        <v/>
      </c>
      <c r="T12" s="7" t="str">
        <f aca="false">IF(S12="","",IFERROR(S12/R12-1,""))</f>
        <v/>
      </c>
      <c r="U12" s="8" t="n">
        <f aca="false">C12*(R12-Inputs!$C$19)*Inputs!$C$28</f>
        <v>8504.38496741772</v>
      </c>
      <c r="V12" s="8" t="str">
        <f aca="false">IF(OR(C12=0,S12=""),"",(S12-Inputs!$C$19)*Inputs!$C$28)</f>
        <v/>
      </c>
      <c r="W12" s="45"/>
      <c r="X12" s="7" t="str">
        <f aca="false">IF(OR(W12="",G12=""),"",IFERROR(W12/G12,""))</f>
        <v/>
      </c>
      <c r="Y12" s="47"/>
    </row>
    <row r="13" customFormat="false" ht="15" hidden="false" customHeight="false" outlineLevel="0" collapsed="false">
      <c r="A13" s="44" t="n">
        <v>46302</v>
      </c>
      <c r="B13" s="20" t="str">
        <f aca="false">TEXT(A13,"ddd")</f>
        <v>Wed</v>
      </c>
      <c r="C13" s="6" t="n">
        <f aca="false">IF(A13&gt;=Inputs!$C$9,1,0)</f>
        <v>1</v>
      </c>
      <c r="D13" s="6" t="n">
        <f aca="false">IF(C13=1,A13-Inputs!$C$9+1,"")</f>
        <v>2</v>
      </c>
      <c r="E13" s="51" t="n">
        <f aca="false">IF(C13=1,MIN(1,D13/Inputs!$C$29),0)</f>
        <v>0.666666666666667</v>
      </c>
      <c r="F13" s="6" t="n">
        <f aca="false">Inputs!$C$13+(Inputs!$C$32-Inputs!$C$13)*E13</f>
        <v>904.211111111111</v>
      </c>
      <c r="G13" s="45"/>
      <c r="H13" s="7" t="str">
        <f aca="false">IF(G13="","",IFERROR(G13/F13-1,""))</f>
        <v/>
      </c>
      <c r="I13" s="6" t="n">
        <f aca="false">Inputs!$C$14+(Inputs!$C$24-Inputs!$C$14)*E13</f>
        <v>586.833333333333</v>
      </c>
      <c r="J13" s="45"/>
      <c r="K13" s="7" t="str">
        <f aca="false">IF(J13="","",IFERROR(J13/I13-1,""))</f>
        <v/>
      </c>
      <c r="L13" s="52" t="str">
        <f aca="false">IF(OR(G13="",J13=""),"",IFERROR(G13/J13,""))</f>
        <v/>
      </c>
      <c r="M13" s="53" t="str">
        <f aca="false">IF(OR(J13="",'Site Daily'!E13=""),"",IFERROR(J13/'Site Daily'!E13*1000,""))</f>
        <v/>
      </c>
      <c r="N13" s="53" t="n">
        <f aca="false">I13*(Inputs!$C$17+(Inputs!$C$26-Inputs!$C$17)*E13)</f>
        <v>66.0236111111111</v>
      </c>
      <c r="O13" s="45"/>
      <c r="P13" s="7" t="str">
        <f aca="false">IF(OR(O13="",J13=""),"",IFERROR(O13/J13,""))</f>
        <v/>
      </c>
      <c r="Q13" s="46"/>
      <c r="R13" s="8" t="n">
        <f aca="false">N13*(Inputs!$C$16+(Inputs!$C$27-Inputs!$C$16)*E13)</f>
        <v>118757.907521722</v>
      </c>
      <c r="S13" s="8" t="str">
        <f aca="false">IF(OR(O13="",Q13="",J13=""),"",IFERROR(O13*Q13/J13,""))</f>
        <v/>
      </c>
      <c r="T13" s="7" t="str">
        <f aca="false">IF(S13="","",IFERROR(S13/R13-1,""))</f>
        <v/>
      </c>
      <c r="U13" s="8" t="n">
        <f aca="false">C13*(R13-Inputs!$C$19)*Inputs!$C$28</f>
        <v>17019.6019053273</v>
      </c>
      <c r="V13" s="8" t="str">
        <f aca="false">IF(OR(C13=0,S13=""),"",(S13-Inputs!$C$19)*Inputs!$C$28)</f>
        <v/>
      </c>
      <c r="W13" s="45"/>
      <c r="X13" s="7" t="str">
        <f aca="false">IF(OR(W13="",G13=""),"",IFERROR(W13/G13,""))</f>
        <v/>
      </c>
      <c r="Y13" s="47"/>
    </row>
    <row r="14" customFormat="false" ht="15" hidden="false" customHeight="false" outlineLevel="0" collapsed="false">
      <c r="A14" s="44" t="n">
        <v>46303</v>
      </c>
      <c r="B14" s="20" t="str">
        <f aca="false">TEXT(A14,"ddd")</f>
        <v>Thu</v>
      </c>
      <c r="C14" s="6" t="n">
        <f aca="false">IF(A14&gt;=Inputs!$C$9,1,0)</f>
        <v>1</v>
      </c>
      <c r="D14" s="6" t="n">
        <f aca="false">IF(C14=1,A14-Inputs!$C$9+1,"")</f>
        <v>3</v>
      </c>
      <c r="E14" s="51" t="n">
        <f aca="false">IF(C14=1,MIN(1,D14/Inputs!$C$29),0)</f>
        <v>1</v>
      </c>
      <c r="F14" s="6" t="n">
        <f aca="false">Inputs!$C$13+(Inputs!$C$32-Inputs!$C$13)*E14</f>
        <v>1073.06666666667</v>
      </c>
      <c r="G14" s="45"/>
      <c r="H14" s="7" t="str">
        <f aca="false">IF(G14="","",IFERROR(G14/F14-1,""))</f>
        <v/>
      </c>
      <c r="I14" s="6" t="n">
        <f aca="false">Inputs!$C$14+(Inputs!$C$24-Inputs!$C$14)*E14</f>
        <v>670.666666666667</v>
      </c>
      <c r="J14" s="45"/>
      <c r="K14" s="7" t="str">
        <f aca="false">IF(J14="","",IFERROR(J14/I14-1,""))</f>
        <v/>
      </c>
      <c r="L14" s="52" t="str">
        <f aca="false">IF(OR(G14="",J14=""),"",IFERROR(G14/J14,""))</f>
        <v/>
      </c>
      <c r="M14" s="53" t="str">
        <f aca="false">IF(OR(J14="",'Site Daily'!E14=""),"",IFERROR(J14/'Site Daily'!E14*1000,""))</f>
        <v/>
      </c>
      <c r="N14" s="53" t="n">
        <f aca="false">I14*(Inputs!$C$17+(Inputs!$C$26-Inputs!$C$17)*E14)</f>
        <v>75.45</v>
      </c>
      <c r="O14" s="45"/>
      <c r="P14" s="7" t="str">
        <f aca="false">IF(OR(O14="",J14=""),"",IFERROR(O14/J14,""))</f>
        <v/>
      </c>
      <c r="Q14" s="46"/>
      <c r="R14" s="8" t="n">
        <f aca="false">N14*(Inputs!$C$16+(Inputs!$C$27-Inputs!$C$16)*E14)</f>
        <v>135810</v>
      </c>
      <c r="S14" s="8" t="str">
        <f aca="false">IF(OR(O14="",Q14="",J14=""),"",IFERROR(O14*Q14/J14,""))</f>
        <v/>
      </c>
      <c r="T14" s="7" t="str">
        <f aca="false">IF(S14="","",IFERROR(S14/R14-1,""))</f>
        <v/>
      </c>
      <c r="U14" s="8" t="n">
        <f aca="false">C14*(R14-Inputs!$C$19)*Inputs!$C$28</f>
        <v>25545.6481444665</v>
      </c>
      <c r="V14" s="8" t="str">
        <f aca="false">IF(OR(C14=0,S14=""),"",(S14-Inputs!$C$19)*Inputs!$C$28)</f>
        <v/>
      </c>
      <c r="W14" s="45"/>
      <c r="X14" s="7" t="str">
        <f aca="false">IF(OR(W14="",G14=""),"",IFERROR(W14/G14,""))</f>
        <v/>
      </c>
      <c r="Y14" s="47"/>
    </row>
    <row r="15" customFormat="false" ht="15" hidden="false" customHeight="false" outlineLevel="0" collapsed="false">
      <c r="A15" s="44" t="n">
        <v>46304</v>
      </c>
      <c r="B15" s="20" t="str">
        <f aca="false">TEXT(A15,"ddd")</f>
        <v>Fri</v>
      </c>
      <c r="C15" s="6" t="n">
        <f aca="false">IF(A15&gt;=Inputs!$C$9,1,0)</f>
        <v>1</v>
      </c>
      <c r="D15" s="6" t="n">
        <f aca="false">IF(C15=1,A15-Inputs!$C$9+1,"")</f>
        <v>4</v>
      </c>
      <c r="E15" s="51" t="n">
        <f aca="false">IF(C15=1,MIN(1,D15/Inputs!$C$29),0)</f>
        <v>1</v>
      </c>
      <c r="F15" s="6" t="n">
        <f aca="false">Inputs!$C$13+(Inputs!$C$32-Inputs!$C$13)*E15</f>
        <v>1073.06666666667</v>
      </c>
      <c r="G15" s="45"/>
      <c r="H15" s="7" t="str">
        <f aca="false">IF(G15="","",IFERROR(G15/F15-1,""))</f>
        <v/>
      </c>
      <c r="I15" s="6" t="n">
        <f aca="false">Inputs!$C$14+(Inputs!$C$24-Inputs!$C$14)*E15</f>
        <v>670.666666666667</v>
      </c>
      <c r="J15" s="45"/>
      <c r="K15" s="7" t="str">
        <f aca="false">IF(J15="","",IFERROR(J15/I15-1,""))</f>
        <v/>
      </c>
      <c r="L15" s="52" t="str">
        <f aca="false">IF(OR(G15="",J15=""),"",IFERROR(G15/J15,""))</f>
        <v/>
      </c>
      <c r="M15" s="53" t="str">
        <f aca="false">IF(OR(J15="",'Site Daily'!E15=""),"",IFERROR(J15/'Site Daily'!E15*1000,""))</f>
        <v/>
      </c>
      <c r="N15" s="53" t="n">
        <f aca="false">I15*(Inputs!$C$17+(Inputs!$C$26-Inputs!$C$17)*E15)</f>
        <v>75.45</v>
      </c>
      <c r="O15" s="45"/>
      <c r="P15" s="7" t="str">
        <f aca="false">IF(OR(O15="",J15=""),"",IFERROR(O15/J15,""))</f>
        <v/>
      </c>
      <c r="Q15" s="46"/>
      <c r="R15" s="8" t="n">
        <f aca="false">N15*(Inputs!$C$16+(Inputs!$C$27-Inputs!$C$16)*E15)</f>
        <v>135810</v>
      </c>
      <c r="S15" s="8" t="str">
        <f aca="false">IF(OR(O15="",Q15="",J15=""),"",IFERROR(O15*Q15/J15,""))</f>
        <v/>
      </c>
      <c r="T15" s="7" t="str">
        <f aca="false">IF(S15="","",IFERROR(S15/R15-1,""))</f>
        <v/>
      </c>
      <c r="U15" s="8" t="n">
        <f aca="false">C15*(R15-Inputs!$C$19)*Inputs!$C$28</f>
        <v>25545.6481444665</v>
      </c>
      <c r="V15" s="8" t="str">
        <f aca="false">IF(OR(C15=0,S15=""),"",(S15-Inputs!$C$19)*Inputs!$C$28)</f>
        <v/>
      </c>
      <c r="W15" s="45"/>
      <c r="X15" s="7" t="str">
        <f aca="false">IF(OR(W15="",G15=""),"",IFERROR(W15/G15,""))</f>
        <v/>
      </c>
      <c r="Y15" s="47"/>
    </row>
    <row r="16" customFormat="false" ht="15" hidden="false" customHeight="false" outlineLevel="0" collapsed="false">
      <c r="A16" s="44" t="n">
        <v>46305</v>
      </c>
      <c r="B16" s="20" t="str">
        <f aca="false">TEXT(A16,"ddd")</f>
        <v>Sat</v>
      </c>
      <c r="C16" s="6" t="n">
        <f aca="false">IF(A16&gt;=Inputs!$C$9,1,0)</f>
        <v>1</v>
      </c>
      <c r="D16" s="6" t="n">
        <f aca="false">IF(C16=1,A16-Inputs!$C$9+1,"")</f>
        <v>5</v>
      </c>
      <c r="E16" s="51" t="n">
        <f aca="false">IF(C16=1,MIN(1,D16/Inputs!$C$29),0)</f>
        <v>1</v>
      </c>
      <c r="F16" s="6" t="n">
        <f aca="false">Inputs!$C$13+(Inputs!$C$32-Inputs!$C$13)*E16</f>
        <v>1073.06666666667</v>
      </c>
      <c r="G16" s="45"/>
      <c r="H16" s="7" t="str">
        <f aca="false">IF(G16="","",IFERROR(G16/F16-1,""))</f>
        <v/>
      </c>
      <c r="I16" s="6" t="n">
        <f aca="false">Inputs!$C$14+(Inputs!$C$24-Inputs!$C$14)*E16</f>
        <v>670.666666666667</v>
      </c>
      <c r="J16" s="45"/>
      <c r="K16" s="7" t="str">
        <f aca="false">IF(J16="","",IFERROR(J16/I16-1,""))</f>
        <v/>
      </c>
      <c r="L16" s="52" t="str">
        <f aca="false">IF(OR(G16="",J16=""),"",IFERROR(G16/J16,""))</f>
        <v/>
      </c>
      <c r="M16" s="53" t="str">
        <f aca="false">IF(OR(J16="",'Site Daily'!E16=""),"",IFERROR(J16/'Site Daily'!E16*1000,""))</f>
        <v/>
      </c>
      <c r="N16" s="53" t="n">
        <f aca="false">I16*(Inputs!$C$17+(Inputs!$C$26-Inputs!$C$17)*E16)</f>
        <v>75.45</v>
      </c>
      <c r="O16" s="45"/>
      <c r="P16" s="7" t="str">
        <f aca="false">IF(OR(O16="",J16=""),"",IFERROR(O16/J16,""))</f>
        <v/>
      </c>
      <c r="Q16" s="46"/>
      <c r="R16" s="8" t="n">
        <f aca="false">N16*(Inputs!$C$16+(Inputs!$C$27-Inputs!$C$16)*E16)</f>
        <v>135810</v>
      </c>
      <c r="S16" s="8" t="str">
        <f aca="false">IF(OR(O16="",Q16="",J16=""),"",IFERROR(O16*Q16/J16,""))</f>
        <v/>
      </c>
      <c r="T16" s="7" t="str">
        <f aca="false">IF(S16="","",IFERROR(S16/R16-1,""))</f>
        <v/>
      </c>
      <c r="U16" s="8" t="n">
        <f aca="false">C16*(R16-Inputs!$C$19)*Inputs!$C$28</f>
        <v>25545.6481444665</v>
      </c>
      <c r="V16" s="8" t="str">
        <f aca="false">IF(OR(C16=0,S16=""),"",(S16-Inputs!$C$19)*Inputs!$C$28)</f>
        <v/>
      </c>
      <c r="W16" s="45"/>
      <c r="X16" s="7" t="str">
        <f aca="false">IF(OR(W16="",G16=""),"",IFERROR(W16/G16,""))</f>
        <v/>
      </c>
      <c r="Y16" s="47"/>
    </row>
    <row r="17" customFormat="false" ht="15" hidden="false" customHeight="false" outlineLevel="0" collapsed="false">
      <c r="A17" s="44" t="n">
        <v>46306</v>
      </c>
      <c r="B17" s="20" t="str">
        <f aca="false">TEXT(A17,"ddd")</f>
        <v>Sun</v>
      </c>
      <c r="C17" s="6" t="n">
        <f aca="false">IF(A17&gt;=Inputs!$C$9,1,0)</f>
        <v>1</v>
      </c>
      <c r="D17" s="6" t="n">
        <f aca="false">IF(C17=1,A17-Inputs!$C$9+1,"")</f>
        <v>6</v>
      </c>
      <c r="E17" s="51" t="n">
        <f aca="false">IF(C17=1,MIN(1,D17/Inputs!$C$29),0)</f>
        <v>1</v>
      </c>
      <c r="F17" s="6" t="n">
        <f aca="false">Inputs!$C$13+(Inputs!$C$32-Inputs!$C$13)*E17</f>
        <v>1073.06666666667</v>
      </c>
      <c r="G17" s="45"/>
      <c r="H17" s="7" t="str">
        <f aca="false">IF(G17="","",IFERROR(G17/F17-1,""))</f>
        <v/>
      </c>
      <c r="I17" s="6" t="n">
        <f aca="false">Inputs!$C$14+(Inputs!$C$24-Inputs!$C$14)*E17</f>
        <v>670.666666666667</v>
      </c>
      <c r="J17" s="45"/>
      <c r="K17" s="7" t="str">
        <f aca="false">IF(J17="","",IFERROR(J17/I17-1,""))</f>
        <v/>
      </c>
      <c r="L17" s="52" t="str">
        <f aca="false">IF(OR(G17="",J17=""),"",IFERROR(G17/J17,""))</f>
        <v/>
      </c>
      <c r="M17" s="53" t="str">
        <f aca="false">IF(OR(J17="",'Site Daily'!E17=""),"",IFERROR(J17/'Site Daily'!E17*1000,""))</f>
        <v/>
      </c>
      <c r="N17" s="53" t="n">
        <f aca="false">I17*(Inputs!$C$17+(Inputs!$C$26-Inputs!$C$17)*E17)</f>
        <v>75.45</v>
      </c>
      <c r="O17" s="45"/>
      <c r="P17" s="7" t="str">
        <f aca="false">IF(OR(O17="",J17=""),"",IFERROR(O17/J17,""))</f>
        <v/>
      </c>
      <c r="Q17" s="46"/>
      <c r="R17" s="8" t="n">
        <f aca="false">N17*(Inputs!$C$16+(Inputs!$C$27-Inputs!$C$16)*E17)</f>
        <v>135810</v>
      </c>
      <c r="S17" s="8" t="str">
        <f aca="false">IF(OR(O17="",Q17="",J17=""),"",IFERROR(O17*Q17/J17,""))</f>
        <v/>
      </c>
      <c r="T17" s="7" t="str">
        <f aca="false">IF(S17="","",IFERROR(S17/R17-1,""))</f>
        <v/>
      </c>
      <c r="U17" s="8" t="n">
        <f aca="false">C17*(R17-Inputs!$C$19)*Inputs!$C$28</f>
        <v>25545.6481444665</v>
      </c>
      <c r="V17" s="8" t="str">
        <f aca="false">IF(OR(C17=0,S17=""),"",(S17-Inputs!$C$19)*Inputs!$C$28)</f>
        <v/>
      </c>
      <c r="W17" s="45"/>
      <c r="X17" s="7" t="str">
        <f aca="false">IF(OR(W17="",G17=""),"",IFERROR(W17/G17,""))</f>
        <v/>
      </c>
      <c r="Y17" s="47"/>
    </row>
    <row r="18" customFormat="false" ht="15" hidden="false" customHeight="false" outlineLevel="0" collapsed="false">
      <c r="A18" s="44" t="n">
        <v>46307</v>
      </c>
      <c r="B18" s="20" t="str">
        <f aca="false">TEXT(A18,"ddd")</f>
        <v>Mon</v>
      </c>
      <c r="C18" s="6" t="n">
        <f aca="false">IF(A18&gt;=Inputs!$C$9,1,0)</f>
        <v>1</v>
      </c>
      <c r="D18" s="6" t="n">
        <f aca="false">IF(C18=1,A18-Inputs!$C$9+1,"")</f>
        <v>7</v>
      </c>
      <c r="E18" s="51" t="n">
        <f aca="false">IF(C18=1,MIN(1,D18/Inputs!$C$29),0)</f>
        <v>1</v>
      </c>
      <c r="F18" s="6" t="n">
        <f aca="false">Inputs!$C$13+(Inputs!$C$32-Inputs!$C$13)*E18</f>
        <v>1073.06666666667</v>
      </c>
      <c r="G18" s="45"/>
      <c r="H18" s="7" t="str">
        <f aca="false">IF(G18="","",IFERROR(G18/F18-1,""))</f>
        <v/>
      </c>
      <c r="I18" s="6" t="n">
        <f aca="false">Inputs!$C$14+(Inputs!$C$24-Inputs!$C$14)*E18</f>
        <v>670.666666666667</v>
      </c>
      <c r="J18" s="45"/>
      <c r="K18" s="7" t="str">
        <f aca="false">IF(J18="","",IFERROR(J18/I18-1,""))</f>
        <v/>
      </c>
      <c r="L18" s="52" t="str">
        <f aca="false">IF(OR(G18="",J18=""),"",IFERROR(G18/J18,""))</f>
        <v/>
      </c>
      <c r="M18" s="53" t="str">
        <f aca="false">IF(OR(J18="",'Site Daily'!E18=""),"",IFERROR(J18/'Site Daily'!E18*1000,""))</f>
        <v/>
      </c>
      <c r="N18" s="53" t="n">
        <f aca="false">I18*(Inputs!$C$17+(Inputs!$C$26-Inputs!$C$17)*E18)</f>
        <v>75.45</v>
      </c>
      <c r="O18" s="45"/>
      <c r="P18" s="7" t="str">
        <f aca="false">IF(OR(O18="",J18=""),"",IFERROR(O18/J18,""))</f>
        <v/>
      </c>
      <c r="Q18" s="46"/>
      <c r="R18" s="8" t="n">
        <f aca="false">N18*(Inputs!$C$16+(Inputs!$C$27-Inputs!$C$16)*E18)</f>
        <v>135810</v>
      </c>
      <c r="S18" s="8" t="str">
        <f aca="false">IF(OR(O18="",Q18="",J18=""),"",IFERROR(O18*Q18/J18,""))</f>
        <v/>
      </c>
      <c r="T18" s="7" t="str">
        <f aca="false">IF(S18="","",IFERROR(S18/R18-1,""))</f>
        <v/>
      </c>
      <c r="U18" s="8" t="n">
        <f aca="false">C18*(R18-Inputs!$C$19)*Inputs!$C$28</f>
        <v>25545.6481444665</v>
      </c>
      <c r="V18" s="8" t="str">
        <f aca="false">IF(OR(C18=0,S18=""),"",(S18-Inputs!$C$19)*Inputs!$C$28)</f>
        <v/>
      </c>
      <c r="W18" s="45"/>
      <c r="X18" s="7" t="str">
        <f aca="false">IF(OR(W18="",G18=""),"",IFERROR(W18/G18,""))</f>
        <v/>
      </c>
      <c r="Y18" s="47"/>
    </row>
    <row r="19" customFormat="false" ht="15" hidden="false" customHeight="false" outlineLevel="0" collapsed="false">
      <c r="A19" s="44" t="n">
        <v>46308</v>
      </c>
      <c r="B19" s="20" t="str">
        <f aca="false">TEXT(A19,"ddd")</f>
        <v>Tue</v>
      </c>
      <c r="C19" s="6" t="n">
        <f aca="false">IF(A19&gt;=Inputs!$C$9,1,0)</f>
        <v>1</v>
      </c>
      <c r="D19" s="6" t="n">
        <f aca="false">IF(C19=1,A19-Inputs!$C$9+1,"")</f>
        <v>8</v>
      </c>
      <c r="E19" s="51" t="n">
        <f aca="false">IF(C19=1,MIN(1,D19/Inputs!$C$29),0)</f>
        <v>1</v>
      </c>
      <c r="F19" s="6" t="n">
        <f aca="false">Inputs!$C$13+(Inputs!$C$32-Inputs!$C$13)*E19</f>
        <v>1073.06666666667</v>
      </c>
      <c r="G19" s="45"/>
      <c r="H19" s="7" t="str">
        <f aca="false">IF(G19="","",IFERROR(G19/F19-1,""))</f>
        <v/>
      </c>
      <c r="I19" s="6" t="n">
        <f aca="false">Inputs!$C$14+(Inputs!$C$24-Inputs!$C$14)*E19</f>
        <v>670.666666666667</v>
      </c>
      <c r="J19" s="45"/>
      <c r="K19" s="7" t="str">
        <f aca="false">IF(J19="","",IFERROR(J19/I19-1,""))</f>
        <v/>
      </c>
      <c r="L19" s="52" t="str">
        <f aca="false">IF(OR(G19="",J19=""),"",IFERROR(G19/J19,""))</f>
        <v/>
      </c>
      <c r="M19" s="53" t="str">
        <f aca="false">IF(OR(J19="",'Site Daily'!E19=""),"",IFERROR(J19/'Site Daily'!E19*1000,""))</f>
        <v/>
      </c>
      <c r="N19" s="53" t="n">
        <f aca="false">I19*(Inputs!$C$17+(Inputs!$C$26-Inputs!$C$17)*E19)</f>
        <v>75.45</v>
      </c>
      <c r="O19" s="45"/>
      <c r="P19" s="7" t="str">
        <f aca="false">IF(OR(O19="",J19=""),"",IFERROR(O19/J19,""))</f>
        <v/>
      </c>
      <c r="Q19" s="46"/>
      <c r="R19" s="8" t="n">
        <f aca="false">N19*(Inputs!$C$16+(Inputs!$C$27-Inputs!$C$16)*E19)</f>
        <v>135810</v>
      </c>
      <c r="S19" s="8" t="str">
        <f aca="false">IF(OR(O19="",Q19="",J19=""),"",IFERROR(O19*Q19/J19,""))</f>
        <v/>
      </c>
      <c r="T19" s="7" t="str">
        <f aca="false">IF(S19="","",IFERROR(S19/R19-1,""))</f>
        <v/>
      </c>
      <c r="U19" s="8" t="n">
        <f aca="false">C19*(R19-Inputs!$C$19)*Inputs!$C$28</f>
        <v>25545.6481444665</v>
      </c>
      <c r="V19" s="8" t="str">
        <f aca="false">IF(OR(C19=0,S19=""),"",(S19-Inputs!$C$19)*Inputs!$C$28)</f>
        <v/>
      </c>
      <c r="W19" s="45"/>
      <c r="X19" s="7" t="str">
        <f aca="false">IF(OR(W19="",G19=""),"",IFERROR(W19/G19,""))</f>
        <v/>
      </c>
      <c r="Y19" s="47"/>
    </row>
    <row r="20" customFormat="false" ht="15" hidden="false" customHeight="false" outlineLevel="0" collapsed="false">
      <c r="A20" s="44" t="n">
        <v>46309</v>
      </c>
      <c r="B20" s="20" t="str">
        <f aca="false">TEXT(A20,"ddd")</f>
        <v>Wed</v>
      </c>
      <c r="C20" s="6" t="n">
        <f aca="false">IF(A20&gt;=Inputs!$C$9,1,0)</f>
        <v>1</v>
      </c>
      <c r="D20" s="6" t="n">
        <f aca="false">IF(C20=1,A20-Inputs!$C$9+1,"")</f>
        <v>9</v>
      </c>
      <c r="E20" s="51" t="n">
        <f aca="false">IF(C20=1,MIN(1,D20/Inputs!$C$29),0)</f>
        <v>1</v>
      </c>
      <c r="F20" s="6" t="n">
        <f aca="false">Inputs!$C$13+(Inputs!$C$32-Inputs!$C$13)*E20</f>
        <v>1073.06666666667</v>
      </c>
      <c r="G20" s="45"/>
      <c r="H20" s="7" t="str">
        <f aca="false">IF(G20="","",IFERROR(G20/F20-1,""))</f>
        <v/>
      </c>
      <c r="I20" s="6" t="n">
        <f aca="false">Inputs!$C$14+(Inputs!$C$24-Inputs!$C$14)*E20</f>
        <v>670.666666666667</v>
      </c>
      <c r="J20" s="45"/>
      <c r="K20" s="7" t="str">
        <f aca="false">IF(J20="","",IFERROR(J20/I20-1,""))</f>
        <v/>
      </c>
      <c r="L20" s="52" t="str">
        <f aca="false">IF(OR(G20="",J20=""),"",IFERROR(G20/J20,""))</f>
        <v/>
      </c>
      <c r="M20" s="53" t="str">
        <f aca="false">IF(OR(J20="",'Site Daily'!E20=""),"",IFERROR(J20/'Site Daily'!E20*1000,""))</f>
        <v/>
      </c>
      <c r="N20" s="53" t="n">
        <f aca="false">I20*(Inputs!$C$17+(Inputs!$C$26-Inputs!$C$17)*E20)</f>
        <v>75.45</v>
      </c>
      <c r="O20" s="45"/>
      <c r="P20" s="7" t="str">
        <f aca="false">IF(OR(O20="",J20=""),"",IFERROR(O20/J20,""))</f>
        <v/>
      </c>
      <c r="Q20" s="46"/>
      <c r="R20" s="8" t="n">
        <f aca="false">N20*(Inputs!$C$16+(Inputs!$C$27-Inputs!$C$16)*E20)</f>
        <v>135810</v>
      </c>
      <c r="S20" s="8" t="str">
        <f aca="false">IF(OR(O20="",Q20="",J20=""),"",IFERROR(O20*Q20/J20,""))</f>
        <v/>
      </c>
      <c r="T20" s="7" t="str">
        <f aca="false">IF(S20="","",IFERROR(S20/R20-1,""))</f>
        <v/>
      </c>
      <c r="U20" s="8" t="n">
        <f aca="false">C20*(R20-Inputs!$C$19)*Inputs!$C$28</f>
        <v>25545.6481444665</v>
      </c>
      <c r="V20" s="8" t="str">
        <f aca="false">IF(OR(C20=0,S20=""),"",(S20-Inputs!$C$19)*Inputs!$C$28)</f>
        <v/>
      </c>
      <c r="W20" s="45"/>
      <c r="X20" s="7" t="str">
        <f aca="false">IF(OR(W20="",G20=""),"",IFERROR(W20/G20,""))</f>
        <v/>
      </c>
      <c r="Y20" s="47"/>
    </row>
    <row r="21" customFormat="false" ht="15" hidden="false" customHeight="false" outlineLevel="0" collapsed="false">
      <c r="A21" s="44" t="n">
        <v>46310</v>
      </c>
      <c r="B21" s="20" t="str">
        <f aca="false">TEXT(A21,"ddd")</f>
        <v>Thu</v>
      </c>
      <c r="C21" s="6" t="n">
        <f aca="false">IF(A21&gt;=Inputs!$C$9,1,0)</f>
        <v>1</v>
      </c>
      <c r="D21" s="6" t="n">
        <f aca="false">IF(C21=1,A21-Inputs!$C$9+1,"")</f>
        <v>10</v>
      </c>
      <c r="E21" s="51" t="n">
        <f aca="false">IF(C21=1,MIN(1,D21/Inputs!$C$29),0)</f>
        <v>1</v>
      </c>
      <c r="F21" s="6" t="n">
        <f aca="false">Inputs!$C$13+(Inputs!$C$32-Inputs!$C$13)*E21</f>
        <v>1073.06666666667</v>
      </c>
      <c r="G21" s="45"/>
      <c r="H21" s="7" t="str">
        <f aca="false">IF(G21="","",IFERROR(G21/F21-1,""))</f>
        <v/>
      </c>
      <c r="I21" s="6" t="n">
        <f aca="false">Inputs!$C$14+(Inputs!$C$24-Inputs!$C$14)*E21</f>
        <v>670.666666666667</v>
      </c>
      <c r="J21" s="45"/>
      <c r="K21" s="7" t="str">
        <f aca="false">IF(J21="","",IFERROR(J21/I21-1,""))</f>
        <v/>
      </c>
      <c r="L21" s="52" t="str">
        <f aca="false">IF(OR(G21="",J21=""),"",IFERROR(G21/J21,""))</f>
        <v/>
      </c>
      <c r="M21" s="53" t="str">
        <f aca="false">IF(OR(J21="",'Site Daily'!E21=""),"",IFERROR(J21/'Site Daily'!E21*1000,""))</f>
        <v/>
      </c>
      <c r="N21" s="53" t="n">
        <f aca="false">I21*(Inputs!$C$17+(Inputs!$C$26-Inputs!$C$17)*E21)</f>
        <v>75.45</v>
      </c>
      <c r="O21" s="45"/>
      <c r="P21" s="7" t="str">
        <f aca="false">IF(OR(O21="",J21=""),"",IFERROR(O21/J21,""))</f>
        <v/>
      </c>
      <c r="Q21" s="46"/>
      <c r="R21" s="8" t="n">
        <f aca="false">N21*(Inputs!$C$16+(Inputs!$C$27-Inputs!$C$16)*E21)</f>
        <v>135810</v>
      </c>
      <c r="S21" s="8" t="str">
        <f aca="false">IF(OR(O21="",Q21="",J21=""),"",IFERROR(O21*Q21/J21,""))</f>
        <v/>
      </c>
      <c r="T21" s="7" t="str">
        <f aca="false">IF(S21="","",IFERROR(S21/R21-1,""))</f>
        <v/>
      </c>
      <c r="U21" s="8" t="n">
        <f aca="false">C21*(R21-Inputs!$C$19)*Inputs!$C$28</f>
        <v>25545.6481444665</v>
      </c>
      <c r="V21" s="8" t="str">
        <f aca="false">IF(OR(C21=0,S21=""),"",(S21-Inputs!$C$19)*Inputs!$C$28)</f>
        <v/>
      </c>
      <c r="W21" s="45"/>
      <c r="X21" s="7" t="str">
        <f aca="false">IF(OR(W21="",G21=""),"",IFERROR(W21/G21,""))</f>
        <v/>
      </c>
      <c r="Y21" s="47"/>
    </row>
    <row r="22" customFormat="false" ht="15" hidden="false" customHeight="false" outlineLevel="0" collapsed="false">
      <c r="A22" s="44" t="n">
        <v>46311</v>
      </c>
      <c r="B22" s="20" t="str">
        <f aca="false">TEXT(A22,"ddd")</f>
        <v>Fri</v>
      </c>
      <c r="C22" s="6" t="n">
        <f aca="false">IF(A22&gt;=Inputs!$C$9,1,0)</f>
        <v>1</v>
      </c>
      <c r="D22" s="6" t="n">
        <f aca="false">IF(C22=1,A22-Inputs!$C$9+1,"")</f>
        <v>11</v>
      </c>
      <c r="E22" s="51" t="n">
        <f aca="false">IF(C22=1,MIN(1,D22/Inputs!$C$29),0)</f>
        <v>1</v>
      </c>
      <c r="F22" s="6" t="n">
        <f aca="false">Inputs!$C$13+(Inputs!$C$32-Inputs!$C$13)*E22</f>
        <v>1073.06666666667</v>
      </c>
      <c r="G22" s="45"/>
      <c r="H22" s="7" t="str">
        <f aca="false">IF(G22="","",IFERROR(G22/F22-1,""))</f>
        <v/>
      </c>
      <c r="I22" s="6" t="n">
        <f aca="false">Inputs!$C$14+(Inputs!$C$24-Inputs!$C$14)*E22</f>
        <v>670.666666666667</v>
      </c>
      <c r="J22" s="45"/>
      <c r="K22" s="7" t="str">
        <f aca="false">IF(J22="","",IFERROR(J22/I22-1,""))</f>
        <v/>
      </c>
      <c r="L22" s="52" t="str">
        <f aca="false">IF(OR(G22="",J22=""),"",IFERROR(G22/J22,""))</f>
        <v/>
      </c>
      <c r="M22" s="53" t="str">
        <f aca="false">IF(OR(J22="",'Site Daily'!E22=""),"",IFERROR(J22/'Site Daily'!E22*1000,""))</f>
        <v/>
      </c>
      <c r="N22" s="53" t="n">
        <f aca="false">I22*(Inputs!$C$17+(Inputs!$C$26-Inputs!$C$17)*E22)</f>
        <v>75.45</v>
      </c>
      <c r="O22" s="45"/>
      <c r="P22" s="7" t="str">
        <f aca="false">IF(OR(O22="",J22=""),"",IFERROR(O22/J22,""))</f>
        <v/>
      </c>
      <c r="Q22" s="46"/>
      <c r="R22" s="8" t="n">
        <f aca="false">N22*(Inputs!$C$16+(Inputs!$C$27-Inputs!$C$16)*E22)</f>
        <v>135810</v>
      </c>
      <c r="S22" s="8" t="str">
        <f aca="false">IF(OR(O22="",Q22="",J22=""),"",IFERROR(O22*Q22/J22,""))</f>
        <v/>
      </c>
      <c r="T22" s="7" t="str">
        <f aca="false">IF(S22="","",IFERROR(S22/R22-1,""))</f>
        <v/>
      </c>
      <c r="U22" s="8" t="n">
        <f aca="false">C22*(R22-Inputs!$C$19)*Inputs!$C$28</f>
        <v>25545.6481444665</v>
      </c>
      <c r="V22" s="8" t="str">
        <f aca="false">IF(OR(C22=0,S22=""),"",(S22-Inputs!$C$19)*Inputs!$C$28)</f>
        <v/>
      </c>
      <c r="W22" s="45"/>
      <c r="X22" s="7" t="str">
        <f aca="false">IF(OR(W22="",G22=""),"",IFERROR(W22/G22,""))</f>
        <v/>
      </c>
      <c r="Y22" s="47"/>
    </row>
    <row r="23" customFormat="false" ht="15" hidden="false" customHeight="false" outlineLevel="0" collapsed="false">
      <c r="A23" s="44" t="n">
        <v>46312</v>
      </c>
      <c r="B23" s="20" t="str">
        <f aca="false">TEXT(A23,"ddd")</f>
        <v>Sat</v>
      </c>
      <c r="C23" s="6" t="n">
        <f aca="false">IF(A23&gt;=Inputs!$C$9,1,0)</f>
        <v>1</v>
      </c>
      <c r="D23" s="6" t="n">
        <f aca="false">IF(C23=1,A23-Inputs!$C$9+1,"")</f>
        <v>12</v>
      </c>
      <c r="E23" s="51" t="n">
        <f aca="false">IF(C23=1,MIN(1,D23/Inputs!$C$29),0)</f>
        <v>1</v>
      </c>
      <c r="F23" s="6" t="n">
        <f aca="false">Inputs!$C$13+(Inputs!$C$32-Inputs!$C$13)*E23</f>
        <v>1073.06666666667</v>
      </c>
      <c r="G23" s="45"/>
      <c r="H23" s="7" t="str">
        <f aca="false">IF(G23="","",IFERROR(G23/F23-1,""))</f>
        <v/>
      </c>
      <c r="I23" s="6" t="n">
        <f aca="false">Inputs!$C$14+(Inputs!$C$24-Inputs!$C$14)*E23</f>
        <v>670.666666666667</v>
      </c>
      <c r="J23" s="45"/>
      <c r="K23" s="7" t="str">
        <f aca="false">IF(J23="","",IFERROR(J23/I23-1,""))</f>
        <v/>
      </c>
      <c r="L23" s="52" t="str">
        <f aca="false">IF(OR(G23="",J23=""),"",IFERROR(G23/J23,""))</f>
        <v/>
      </c>
      <c r="M23" s="53" t="str">
        <f aca="false">IF(OR(J23="",'Site Daily'!E23=""),"",IFERROR(J23/'Site Daily'!E23*1000,""))</f>
        <v/>
      </c>
      <c r="N23" s="53" t="n">
        <f aca="false">I23*(Inputs!$C$17+(Inputs!$C$26-Inputs!$C$17)*E23)</f>
        <v>75.45</v>
      </c>
      <c r="O23" s="45"/>
      <c r="P23" s="7" t="str">
        <f aca="false">IF(OR(O23="",J23=""),"",IFERROR(O23/J23,""))</f>
        <v/>
      </c>
      <c r="Q23" s="46"/>
      <c r="R23" s="8" t="n">
        <f aca="false">N23*(Inputs!$C$16+(Inputs!$C$27-Inputs!$C$16)*E23)</f>
        <v>135810</v>
      </c>
      <c r="S23" s="8" t="str">
        <f aca="false">IF(OR(O23="",Q23="",J23=""),"",IFERROR(O23*Q23/J23,""))</f>
        <v/>
      </c>
      <c r="T23" s="7" t="str">
        <f aca="false">IF(S23="","",IFERROR(S23/R23-1,""))</f>
        <v/>
      </c>
      <c r="U23" s="8" t="n">
        <f aca="false">C23*(R23-Inputs!$C$19)*Inputs!$C$28</f>
        <v>25545.6481444665</v>
      </c>
      <c r="V23" s="8" t="str">
        <f aca="false">IF(OR(C23=0,S23=""),"",(S23-Inputs!$C$19)*Inputs!$C$28)</f>
        <v/>
      </c>
      <c r="W23" s="45"/>
      <c r="X23" s="7" t="str">
        <f aca="false">IF(OR(W23="",G23=""),"",IFERROR(W23/G23,""))</f>
        <v/>
      </c>
      <c r="Y23" s="47"/>
    </row>
    <row r="24" customFormat="false" ht="15" hidden="false" customHeight="false" outlineLevel="0" collapsed="false">
      <c r="A24" s="44" t="n">
        <v>46313</v>
      </c>
      <c r="B24" s="20" t="str">
        <f aca="false">TEXT(A24,"ddd")</f>
        <v>Sun</v>
      </c>
      <c r="C24" s="6" t="n">
        <f aca="false">IF(A24&gt;=Inputs!$C$9,1,0)</f>
        <v>1</v>
      </c>
      <c r="D24" s="6" t="n">
        <f aca="false">IF(C24=1,A24-Inputs!$C$9+1,"")</f>
        <v>13</v>
      </c>
      <c r="E24" s="51" t="n">
        <f aca="false">IF(C24=1,MIN(1,D24/Inputs!$C$29),0)</f>
        <v>1</v>
      </c>
      <c r="F24" s="6" t="n">
        <f aca="false">Inputs!$C$13+(Inputs!$C$32-Inputs!$C$13)*E24</f>
        <v>1073.06666666667</v>
      </c>
      <c r="G24" s="45"/>
      <c r="H24" s="7" t="str">
        <f aca="false">IF(G24="","",IFERROR(G24/F24-1,""))</f>
        <v/>
      </c>
      <c r="I24" s="6" t="n">
        <f aca="false">Inputs!$C$14+(Inputs!$C$24-Inputs!$C$14)*E24</f>
        <v>670.666666666667</v>
      </c>
      <c r="J24" s="45"/>
      <c r="K24" s="7" t="str">
        <f aca="false">IF(J24="","",IFERROR(J24/I24-1,""))</f>
        <v/>
      </c>
      <c r="L24" s="52" t="str">
        <f aca="false">IF(OR(G24="",J24=""),"",IFERROR(G24/J24,""))</f>
        <v/>
      </c>
      <c r="M24" s="53" t="str">
        <f aca="false">IF(OR(J24="",'Site Daily'!E24=""),"",IFERROR(J24/'Site Daily'!E24*1000,""))</f>
        <v/>
      </c>
      <c r="N24" s="53" t="n">
        <f aca="false">I24*(Inputs!$C$17+(Inputs!$C$26-Inputs!$C$17)*E24)</f>
        <v>75.45</v>
      </c>
      <c r="O24" s="45"/>
      <c r="P24" s="7" t="str">
        <f aca="false">IF(OR(O24="",J24=""),"",IFERROR(O24/J24,""))</f>
        <v/>
      </c>
      <c r="Q24" s="46"/>
      <c r="R24" s="8" t="n">
        <f aca="false">N24*(Inputs!$C$16+(Inputs!$C$27-Inputs!$C$16)*E24)</f>
        <v>135810</v>
      </c>
      <c r="S24" s="8" t="str">
        <f aca="false">IF(OR(O24="",Q24="",J24=""),"",IFERROR(O24*Q24/J24,""))</f>
        <v/>
      </c>
      <c r="T24" s="7" t="str">
        <f aca="false">IF(S24="","",IFERROR(S24/R24-1,""))</f>
        <v/>
      </c>
      <c r="U24" s="8" t="n">
        <f aca="false">C24*(R24-Inputs!$C$19)*Inputs!$C$28</f>
        <v>25545.6481444665</v>
      </c>
      <c r="V24" s="8" t="str">
        <f aca="false">IF(OR(C24=0,S24=""),"",(S24-Inputs!$C$19)*Inputs!$C$28)</f>
        <v/>
      </c>
      <c r="W24" s="45"/>
      <c r="X24" s="7" t="str">
        <f aca="false">IF(OR(W24="",G24=""),"",IFERROR(W24/G24,""))</f>
        <v/>
      </c>
      <c r="Y24" s="47"/>
    </row>
    <row r="25" customFormat="false" ht="15" hidden="false" customHeight="false" outlineLevel="0" collapsed="false">
      <c r="A25" s="44" t="n">
        <v>46314</v>
      </c>
      <c r="B25" s="20" t="str">
        <f aca="false">TEXT(A25,"ddd")</f>
        <v>Mon</v>
      </c>
      <c r="C25" s="6" t="n">
        <f aca="false">IF(A25&gt;=Inputs!$C$9,1,0)</f>
        <v>1</v>
      </c>
      <c r="D25" s="6" t="n">
        <f aca="false">IF(C25=1,A25-Inputs!$C$9+1,"")</f>
        <v>14</v>
      </c>
      <c r="E25" s="51" t="n">
        <f aca="false">IF(C25=1,MIN(1,D25/Inputs!$C$29),0)</f>
        <v>1</v>
      </c>
      <c r="F25" s="6" t="n">
        <f aca="false">Inputs!$C$13+(Inputs!$C$32-Inputs!$C$13)*E25</f>
        <v>1073.06666666667</v>
      </c>
      <c r="G25" s="45"/>
      <c r="H25" s="7" t="str">
        <f aca="false">IF(G25="","",IFERROR(G25/F25-1,""))</f>
        <v/>
      </c>
      <c r="I25" s="6" t="n">
        <f aca="false">Inputs!$C$14+(Inputs!$C$24-Inputs!$C$14)*E25</f>
        <v>670.666666666667</v>
      </c>
      <c r="J25" s="45"/>
      <c r="K25" s="7" t="str">
        <f aca="false">IF(J25="","",IFERROR(J25/I25-1,""))</f>
        <v/>
      </c>
      <c r="L25" s="52" t="str">
        <f aca="false">IF(OR(G25="",J25=""),"",IFERROR(G25/J25,""))</f>
        <v/>
      </c>
      <c r="M25" s="53" t="str">
        <f aca="false">IF(OR(J25="",'Site Daily'!E25=""),"",IFERROR(J25/'Site Daily'!E25*1000,""))</f>
        <v/>
      </c>
      <c r="N25" s="53" t="n">
        <f aca="false">I25*(Inputs!$C$17+(Inputs!$C$26-Inputs!$C$17)*E25)</f>
        <v>75.45</v>
      </c>
      <c r="O25" s="45"/>
      <c r="P25" s="7" t="str">
        <f aca="false">IF(OR(O25="",J25=""),"",IFERROR(O25/J25,""))</f>
        <v/>
      </c>
      <c r="Q25" s="46"/>
      <c r="R25" s="8" t="n">
        <f aca="false">N25*(Inputs!$C$16+(Inputs!$C$27-Inputs!$C$16)*E25)</f>
        <v>135810</v>
      </c>
      <c r="S25" s="8" t="str">
        <f aca="false">IF(OR(O25="",Q25="",J25=""),"",IFERROR(O25*Q25/J25,""))</f>
        <v/>
      </c>
      <c r="T25" s="7" t="str">
        <f aca="false">IF(S25="","",IFERROR(S25/R25-1,""))</f>
        <v/>
      </c>
      <c r="U25" s="8" t="n">
        <f aca="false">C25*(R25-Inputs!$C$19)*Inputs!$C$28</f>
        <v>25545.6481444665</v>
      </c>
      <c r="V25" s="8" t="str">
        <f aca="false">IF(OR(C25=0,S25=""),"",(S25-Inputs!$C$19)*Inputs!$C$28)</f>
        <v/>
      </c>
      <c r="W25" s="45"/>
      <c r="X25" s="7" t="str">
        <f aca="false">IF(OR(W25="",G25=""),"",IFERROR(W25/G25,""))</f>
        <v/>
      </c>
      <c r="Y25" s="47"/>
    </row>
    <row r="26" customFormat="false" ht="15" hidden="false" customHeight="false" outlineLevel="0" collapsed="false">
      <c r="A26" s="44" t="n">
        <v>46315</v>
      </c>
      <c r="B26" s="20" t="str">
        <f aca="false">TEXT(A26,"ddd")</f>
        <v>Tue</v>
      </c>
      <c r="C26" s="6" t="n">
        <f aca="false">IF(A26&gt;=Inputs!$C$9,1,0)</f>
        <v>1</v>
      </c>
      <c r="D26" s="6" t="n">
        <f aca="false">IF(C26=1,A26-Inputs!$C$9+1,"")</f>
        <v>15</v>
      </c>
      <c r="E26" s="51" t="n">
        <f aca="false">IF(C26=1,MIN(1,D26/Inputs!$C$29),0)</f>
        <v>1</v>
      </c>
      <c r="F26" s="6" t="n">
        <f aca="false">Inputs!$C$13+(Inputs!$C$32-Inputs!$C$13)*E26</f>
        <v>1073.06666666667</v>
      </c>
      <c r="G26" s="45"/>
      <c r="H26" s="7" t="str">
        <f aca="false">IF(G26="","",IFERROR(G26/F26-1,""))</f>
        <v/>
      </c>
      <c r="I26" s="6" t="n">
        <f aca="false">Inputs!$C$14+(Inputs!$C$24-Inputs!$C$14)*E26</f>
        <v>670.666666666667</v>
      </c>
      <c r="J26" s="45"/>
      <c r="K26" s="7" t="str">
        <f aca="false">IF(J26="","",IFERROR(J26/I26-1,""))</f>
        <v/>
      </c>
      <c r="L26" s="52" t="str">
        <f aca="false">IF(OR(G26="",J26=""),"",IFERROR(G26/J26,""))</f>
        <v/>
      </c>
      <c r="M26" s="53" t="str">
        <f aca="false">IF(OR(J26="",'Site Daily'!E26=""),"",IFERROR(J26/'Site Daily'!E26*1000,""))</f>
        <v/>
      </c>
      <c r="N26" s="53" t="n">
        <f aca="false">I26*(Inputs!$C$17+(Inputs!$C$26-Inputs!$C$17)*E26)</f>
        <v>75.45</v>
      </c>
      <c r="O26" s="45"/>
      <c r="P26" s="7" t="str">
        <f aca="false">IF(OR(O26="",J26=""),"",IFERROR(O26/J26,""))</f>
        <v/>
      </c>
      <c r="Q26" s="46"/>
      <c r="R26" s="8" t="n">
        <f aca="false">N26*(Inputs!$C$16+(Inputs!$C$27-Inputs!$C$16)*E26)</f>
        <v>135810</v>
      </c>
      <c r="S26" s="8" t="str">
        <f aca="false">IF(OR(O26="",Q26="",J26=""),"",IFERROR(O26*Q26/J26,""))</f>
        <v/>
      </c>
      <c r="T26" s="7" t="str">
        <f aca="false">IF(S26="","",IFERROR(S26/R26-1,""))</f>
        <v/>
      </c>
      <c r="U26" s="8" t="n">
        <f aca="false">C26*(R26-Inputs!$C$19)*Inputs!$C$28</f>
        <v>25545.6481444665</v>
      </c>
      <c r="V26" s="8" t="str">
        <f aca="false">IF(OR(C26=0,S26=""),"",(S26-Inputs!$C$19)*Inputs!$C$28)</f>
        <v/>
      </c>
      <c r="W26" s="45"/>
      <c r="X26" s="7" t="str">
        <f aca="false">IF(OR(W26="",G26=""),"",IFERROR(W26/G26,""))</f>
        <v/>
      </c>
      <c r="Y26" s="47"/>
    </row>
    <row r="27" customFormat="false" ht="15" hidden="false" customHeight="false" outlineLevel="0" collapsed="false">
      <c r="A27" s="44" t="n">
        <v>46316</v>
      </c>
      <c r="B27" s="20" t="str">
        <f aca="false">TEXT(A27,"ddd")</f>
        <v>Wed</v>
      </c>
      <c r="C27" s="6" t="n">
        <f aca="false">IF(A27&gt;=Inputs!$C$9,1,0)</f>
        <v>1</v>
      </c>
      <c r="D27" s="6" t="n">
        <f aca="false">IF(C27=1,A27-Inputs!$C$9+1,"")</f>
        <v>16</v>
      </c>
      <c r="E27" s="51" t="n">
        <f aca="false">IF(C27=1,MIN(1,D27/Inputs!$C$29),0)</f>
        <v>1</v>
      </c>
      <c r="F27" s="6" t="n">
        <f aca="false">Inputs!$C$13+(Inputs!$C$32-Inputs!$C$13)*E27</f>
        <v>1073.06666666667</v>
      </c>
      <c r="G27" s="45"/>
      <c r="H27" s="7" t="str">
        <f aca="false">IF(G27="","",IFERROR(G27/F27-1,""))</f>
        <v/>
      </c>
      <c r="I27" s="6" t="n">
        <f aca="false">Inputs!$C$14+(Inputs!$C$24-Inputs!$C$14)*E27</f>
        <v>670.666666666667</v>
      </c>
      <c r="J27" s="45"/>
      <c r="K27" s="7" t="str">
        <f aca="false">IF(J27="","",IFERROR(J27/I27-1,""))</f>
        <v/>
      </c>
      <c r="L27" s="52" t="str">
        <f aca="false">IF(OR(G27="",J27=""),"",IFERROR(G27/J27,""))</f>
        <v/>
      </c>
      <c r="M27" s="53" t="str">
        <f aca="false">IF(OR(J27="",'Site Daily'!E27=""),"",IFERROR(J27/'Site Daily'!E27*1000,""))</f>
        <v/>
      </c>
      <c r="N27" s="53" t="n">
        <f aca="false">I27*(Inputs!$C$17+(Inputs!$C$26-Inputs!$C$17)*E27)</f>
        <v>75.45</v>
      </c>
      <c r="O27" s="45"/>
      <c r="P27" s="7" t="str">
        <f aca="false">IF(OR(O27="",J27=""),"",IFERROR(O27/J27,""))</f>
        <v/>
      </c>
      <c r="Q27" s="46"/>
      <c r="R27" s="8" t="n">
        <f aca="false">N27*(Inputs!$C$16+(Inputs!$C$27-Inputs!$C$16)*E27)</f>
        <v>135810</v>
      </c>
      <c r="S27" s="8" t="str">
        <f aca="false">IF(OR(O27="",Q27="",J27=""),"",IFERROR(O27*Q27/J27,""))</f>
        <v/>
      </c>
      <c r="T27" s="7" t="str">
        <f aca="false">IF(S27="","",IFERROR(S27/R27-1,""))</f>
        <v/>
      </c>
      <c r="U27" s="8" t="n">
        <f aca="false">C27*(R27-Inputs!$C$19)*Inputs!$C$28</f>
        <v>25545.6481444665</v>
      </c>
      <c r="V27" s="8" t="str">
        <f aca="false">IF(OR(C27=0,S27=""),"",(S27-Inputs!$C$19)*Inputs!$C$28)</f>
        <v/>
      </c>
      <c r="W27" s="45"/>
      <c r="X27" s="7" t="str">
        <f aca="false">IF(OR(W27="",G27=""),"",IFERROR(W27/G27,""))</f>
        <v/>
      </c>
      <c r="Y27" s="47"/>
    </row>
    <row r="28" customFormat="false" ht="15" hidden="false" customHeight="false" outlineLevel="0" collapsed="false">
      <c r="A28" s="44" t="n">
        <v>46317</v>
      </c>
      <c r="B28" s="20" t="str">
        <f aca="false">TEXT(A28,"ddd")</f>
        <v>Thu</v>
      </c>
      <c r="C28" s="6" t="n">
        <f aca="false">IF(A28&gt;=Inputs!$C$9,1,0)</f>
        <v>1</v>
      </c>
      <c r="D28" s="6" t="n">
        <f aca="false">IF(C28=1,A28-Inputs!$C$9+1,"")</f>
        <v>17</v>
      </c>
      <c r="E28" s="51" t="n">
        <f aca="false">IF(C28=1,MIN(1,D28/Inputs!$C$29),0)</f>
        <v>1</v>
      </c>
      <c r="F28" s="6" t="n">
        <f aca="false">Inputs!$C$13+(Inputs!$C$32-Inputs!$C$13)*E28</f>
        <v>1073.06666666667</v>
      </c>
      <c r="G28" s="45"/>
      <c r="H28" s="7" t="str">
        <f aca="false">IF(G28="","",IFERROR(G28/F28-1,""))</f>
        <v/>
      </c>
      <c r="I28" s="6" t="n">
        <f aca="false">Inputs!$C$14+(Inputs!$C$24-Inputs!$C$14)*E28</f>
        <v>670.666666666667</v>
      </c>
      <c r="J28" s="45"/>
      <c r="K28" s="7" t="str">
        <f aca="false">IF(J28="","",IFERROR(J28/I28-1,""))</f>
        <v/>
      </c>
      <c r="L28" s="52" t="str">
        <f aca="false">IF(OR(G28="",J28=""),"",IFERROR(G28/J28,""))</f>
        <v/>
      </c>
      <c r="M28" s="53" t="str">
        <f aca="false">IF(OR(J28="",'Site Daily'!E28=""),"",IFERROR(J28/'Site Daily'!E28*1000,""))</f>
        <v/>
      </c>
      <c r="N28" s="53" t="n">
        <f aca="false">I28*(Inputs!$C$17+(Inputs!$C$26-Inputs!$C$17)*E28)</f>
        <v>75.45</v>
      </c>
      <c r="O28" s="45"/>
      <c r="P28" s="7" t="str">
        <f aca="false">IF(OR(O28="",J28=""),"",IFERROR(O28/J28,""))</f>
        <v/>
      </c>
      <c r="Q28" s="46"/>
      <c r="R28" s="8" t="n">
        <f aca="false">N28*(Inputs!$C$16+(Inputs!$C$27-Inputs!$C$16)*E28)</f>
        <v>135810</v>
      </c>
      <c r="S28" s="8" t="str">
        <f aca="false">IF(OR(O28="",Q28="",J28=""),"",IFERROR(O28*Q28/J28,""))</f>
        <v/>
      </c>
      <c r="T28" s="7" t="str">
        <f aca="false">IF(S28="","",IFERROR(S28/R28-1,""))</f>
        <v/>
      </c>
      <c r="U28" s="8" t="n">
        <f aca="false">C28*(R28-Inputs!$C$19)*Inputs!$C$28</f>
        <v>25545.6481444665</v>
      </c>
      <c r="V28" s="8" t="str">
        <f aca="false">IF(OR(C28=0,S28=""),"",(S28-Inputs!$C$19)*Inputs!$C$28)</f>
        <v/>
      </c>
      <c r="W28" s="45"/>
      <c r="X28" s="7" t="str">
        <f aca="false">IF(OR(W28="",G28=""),"",IFERROR(W28/G28,""))</f>
        <v/>
      </c>
      <c r="Y28" s="47"/>
    </row>
    <row r="29" customFormat="false" ht="15" hidden="false" customHeight="false" outlineLevel="0" collapsed="false">
      <c r="A29" s="44" t="n">
        <v>46318</v>
      </c>
      <c r="B29" s="20" t="str">
        <f aca="false">TEXT(A29,"ddd")</f>
        <v>Fri</v>
      </c>
      <c r="C29" s="6" t="n">
        <f aca="false">IF(A29&gt;=Inputs!$C$9,1,0)</f>
        <v>1</v>
      </c>
      <c r="D29" s="6" t="n">
        <f aca="false">IF(C29=1,A29-Inputs!$C$9+1,"")</f>
        <v>18</v>
      </c>
      <c r="E29" s="51" t="n">
        <f aca="false">IF(C29=1,MIN(1,D29/Inputs!$C$29),0)</f>
        <v>1</v>
      </c>
      <c r="F29" s="6" t="n">
        <f aca="false">Inputs!$C$13+(Inputs!$C$32-Inputs!$C$13)*E29</f>
        <v>1073.06666666667</v>
      </c>
      <c r="G29" s="45"/>
      <c r="H29" s="7" t="str">
        <f aca="false">IF(G29="","",IFERROR(G29/F29-1,""))</f>
        <v/>
      </c>
      <c r="I29" s="6" t="n">
        <f aca="false">Inputs!$C$14+(Inputs!$C$24-Inputs!$C$14)*E29</f>
        <v>670.666666666667</v>
      </c>
      <c r="J29" s="45"/>
      <c r="K29" s="7" t="str">
        <f aca="false">IF(J29="","",IFERROR(J29/I29-1,""))</f>
        <v/>
      </c>
      <c r="L29" s="52" t="str">
        <f aca="false">IF(OR(G29="",J29=""),"",IFERROR(G29/J29,""))</f>
        <v/>
      </c>
      <c r="M29" s="53" t="str">
        <f aca="false">IF(OR(J29="",'Site Daily'!E29=""),"",IFERROR(J29/'Site Daily'!E29*1000,""))</f>
        <v/>
      </c>
      <c r="N29" s="53" t="n">
        <f aca="false">I29*(Inputs!$C$17+(Inputs!$C$26-Inputs!$C$17)*E29)</f>
        <v>75.45</v>
      </c>
      <c r="O29" s="45"/>
      <c r="P29" s="7" t="str">
        <f aca="false">IF(OR(O29="",J29=""),"",IFERROR(O29/J29,""))</f>
        <v/>
      </c>
      <c r="Q29" s="46"/>
      <c r="R29" s="8" t="n">
        <f aca="false">N29*(Inputs!$C$16+(Inputs!$C$27-Inputs!$C$16)*E29)</f>
        <v>135810</v>
      </c>
      <c r="S29" s="8" t="str">
        <f aca="false">IF(OR(O29="",Q29="",J29=""),"",IFERROR(O29*Q29/J29,""))</f>
        <v/>
      </c>
      <c r="T29" s="7" t="str">
        <f aca="false">IF(S29="","",IFERROR(S29/R29-1,""))</f>
        <v/>
      </c>
      <c r="U29" s="8" t="n">
        <f aca="false">C29*(R29-Inputs!$C$19)*Inputs!$C$28</f>
        <v>25545.6481444665</v>
      </c>
      <c r="V29" s="8" t="str">
        <f aca="false">IF(OR(C29=0,S29=""),"",(S29-Inputs!$C$19)*Inputs!$C$28)</f>
        <v/>
      </c>
      <c r="W29" s="45"/>
      <c r="X29" s="7" t="str">
        <f aca="false">IF(OR(W29="",G29=""),"",IFERROR(W29/G29,""))</f>
        <v/>
      </c>
      <c r="Y29" s="47"/>
    </row>
    <row r="30" customFormat="false" ht="15" hidden="false" customHeight="false" outlineLevel="0" collapsed="false">
      <c r="A30" s="44" t="n">
        <v>46319</v>
      </c>
      <c r="B30" s="20" t="str">
        <f aca="false">TEXT(A30,"ddd")</f>
        <v>Sat</v>
      </c>
      <c r="C30" s="6" t="n">
        <f aca="false">IF(A30&gt;=Inputs!$C$9,1,0)</f>
        <v>1</v>
      </c>
      <c r="D30" s="6" t="n">
        <f aca="false">IF(C30=1,A30-Inputs!$C$9+1,"")</f>
        <v>19</v>
      </c>
      <c r="E30" s="51" t="n">
        <f aca="false">IF(C30=1,MIN(1,D30/Inputs!$C$29),0)</f>
        <v>1</v>
      </c>
      <c r="F30" s="6" t="n">
        <f aca="false">Inputs!$C$13+(Inputs!$C$32-Inputs!$C$13)*E30</f>
        <v>1073.06666666667</v>
      </c>
      <c r="G30" s="45"/>
      <c r="H30" s="7" t="str">
        <f aca="false">IF(G30="","",IFERROR(G30/F30-1,""))</f>
        <v/>
      </c>
      <c r="I30" s="6" t="n">
        <f aca="false">Inputs!$C$14+(Inputs!$C$24-Inputs!$C$14)*E30</f>
        <v>670.666666666667</v>
      </c>
      <c r="J30" s="45"/>
      <c r="K30" s="7" t="str">
        <f aca="false">IF(J30="","",IFERROR(J30/I30-1,""))</f>
        <v/>
      </c>
      <c r="L30" s="52" t="str">
        <f aca="false">IF(OR(G30="",J30=""),"",IFERROR(G30/J30,""))</f>
        <v/>
      </c>
      <c r="M30" s="53" t="str">
        <f aca="false">IF(OR(J30="",'Site Daily'!E30=""),"",IFERROR(J30/'Site Daily'!E30*1000,""))</f>
        <v/>
      </c>
      <c r="N30" s="53" t="n">
        <f aca="false">I30*(Inputs!$C$17+(Inputs!$C$26-Inputs!$C$17)*E30)</f>
        <v>75.45</v>
      </c>
      <c r="O30" s="45"/>
      <c r="P30" s="7" t="str">
        <f aca="false">IF(OR(O30="",J30=""),"",IFERROR(O30/J30,""))</f>
        <v/>
      </c>
      <c r="Q30" s="46"/>
      <c r="R30" s="8" t="n">
        <f aca="false">N30*(Inputs!$C$16+(Inputs!$C$27-Inputs!$C$16)*E30)</f>
        <v>135810</v>
      </c>
      <c r="S30" s="8" t="str">
        <f aca="false">IF(OR(O30="",Q30="",J30=""),"",IFERROR(O30*Q30/J30,""))</f>
        <v/>
      </c>
      <c r="T30" s="7" t="str">
        <f aca="false">IF(S30="","",IFERROR(S30/R30-1,""))</f>
        <v/>
      </c>
      <c r="U30" s="8" t="n">
        <f aca="false">C30*(R30-Inputs!$C$19)*Inputs!$C$28</f>
        <v>25545.6481444665</v>
      </c>
      <c r="V30" s="8" t="str">
        <f aca="false">IF(OR(C30=0,S30=""),"",(S30-Inputs!$C$19)*Inputs!$C$28)</f>
        <v/>
      </c>
      <c r="W30" s="45"/>
      <c r="X30" s="7" t="str">
        <f aca="false">IF(OR(W30="",G30=""),"",IFERROR(W30/G30,""))</f>
        <v/>
      </c>
      <c r="Y30" s="47"/>
    </row>
    <row r="31" customFormat="false" ht="15" hidden="false" customHeight="false" outlineLevel="0" collapsed="false">
      <c r="A31" s="44" t="n">
        <v>46320</v>
      </c>
      <c r="B31" s="20" t="str">
        <f aca="false">TEXT(A31,"ddd")</f>
        <v>Sun</v>
      </c>
      <c r="C31" s="6" t="n">
        <f aca="false">IF(A31&gt;=Inputs!$C$9,1,0)</f>
        <v>1</v>
      </c>
      <c r="D31" s="6" t="n">
        <f aca="false">IF(C31=1,A31-Inputs!$C$9+1,"")</f>
        <v>20</v>
      </c>
      <c r="E31" s="51" t="n">
        <f aca="false">IF(C31=1,MIN(1,D31/Inputs!$C$29),0)</f>
        <v>1</v>
      </c>
      <c r="F31" s="6" t="n">
        <f aca="false">Inputs!$C$13+(Inputs!$C$32-Inputs!$C$13)*E31</f>
        <v>1073.06666666667</v>
      </c>
      <c r="G31" s="45"/>
      <c r="H31" s="7" t="str">
        <f aca="false">IF(G31="","",IFERROR(G31/F31-1,""))</f>
        <v/>
      </c>
      <c r="I31" s="6" t="n">
        <f aca="false">Inputs!$C$14+(Inputs!$C$24-Inputs!$C$14)*E31</f>
        <v>670.666666666667</v>
      </c>
      <c r="J31" s="45"/>
      <c r="K31" s="7" t="str">
        <f aca="false">IF(J31="","",IFERROR(J31/I31-1,""))</f>
        <v/>
      </c>
      <c r="L31" s="52" t="str">
        <f aca="false">IF(OR(G31="",J31=""),"",IFERROR(G31/J31,""))</f>
        <v/>
      </c>
      <c r="M31" s="53" t="str">
        <f aca="false">IF(OR(J31="",'Site Daily'!E31=""),"",IFERROR(J31/'Site Daily'!E31*1000,""))</f>
        <v/>
      </c>
      <c r="N31" s="53" t="n">
        <f aca="false">I31*(Inputs!$C$17+(Inputs!$C$26-Inputs!$C$17)*E31)</f>
        <v>75.45</v>
      </c>
      <c r="O31" s="45"/>
      <c r="P31" s="7" t="str">
        <f aca="false">IF(OR(O31="",J31=""),"",IFERROR(O31/J31,""))</f>
        <v/>
      </c>
      <c r="Q31" s="46"/>
      <c r="R31" s="8" t="n">
        <f aca="false">N31*(Inputs!$C$16+(Inputs!$C$27-Inputs!$C$16)*E31)</f>
        <v>135810</v>
      </c>
      <c r="S31" s="8" t="str">
        <f aca="false">IF(OR(O31="",Q31="",J31=""),"",IFERROR(O31*Q31/J31,""))</f>
        <v/>
      </c>
      <c r="T31" s="7" t="str">
        <f aca="false">IF(S31="","",IFERROR(S31/R31-1,""))</f>
        <v/>
      </c>
      <c r="U31" s="8" t="n">
        <f aca="false">C31*(R31-Inputs!$C$19)*Inputs!$C$28</f>
        <v>25545.6481444665</v>
      </c>
      <c r="V31" s="8" t="str">
        <f aca="false">IF(OR(C31=0,S31=""),"",(S31-Inputs!$C$19)*Inputs!$C$28)</f>
        <v/>
      </c>
      <c r="W31" s="45"/>
      <c r="X31" s="7" t="str">
        <f aca="false">IF(OR(W31="",G31=""),"",IFERROR(W31/G31,""))</f>
        <v/>
      </c>
      <c r="Y31" s="47"/>
    </row>
    <row r="32" customFormat="false" ht="15" hidden="false" customHeight="false" outlineLevel="0" collapsed="false">
      <c r="A32" s="44" t="n">
        <v>46321</v>
      </c>
      <c r="B32" s="20" t="str">
        <f aca="false">TEXT(A32,"ddd")</f>
        <v>Mon</v>
      </c>
      <c r="C32" s="6" t="n">
        <f aca="false">IF(A32&gt;=Inputs!$C$9,1,0)</f>
        <v>1</v>
      </c>
      <c r="D32" s="6" t="n">
        <f aca="false">IF(C32=1,A32-Inputs!$C$9+1,"")</f>
        <v>21</v>
      </c>
      <c r="E32" s="51" t="n">
        <f aca="false">IF(C32=1,MIN(1,D32/Inputs!$C$29),0)</f>
        <v>1</v>
      </c>
      <c r="F32" s="6" t="n">
        <f aca="false">Inputs!$C$13+(Inputs!$C$32-Inputs!$C$13)*E32</f>
        <v>1073.06666666667</v>
      </c>
      <c r="G32" s="45"/>
      <c r="H32" s="7" t="str">
        <f aca="false">IF(G32="","",IFERROR(G32/F32-1,""))</f>
        <v/>
      </c>
      <c r="I32" s="6" t="n">
        <f aca="false">Inputs!$C$14+(Inputs!$C$24-Inputs!$C$14)*E32</f>
        <v>670.666666666667</v>
      </c>
      <c r="J32" s="45"/>
      <c r="K32" s="7" t="str">
        <f aca="false">IF(J32="","",IFERROR(J32/I32-1,""))</f>
        <v/>
      </c>
      <c r="L32" s="52" t="str">
        <f aca="false">IF(OR(G32="",J32=""),"",IFERROR(G32/J32,""))</f>
        <v/>
      </c>
      <c r="M32" s="53" t="str">
        <f aca="false">IF(OR(J32="",'Site Daily'!E32=""),"",IFERROR(J32/'Site Daily'!E32*1000,""))</f>
        <v/>
      </c>
      <c r="N32" s="53" t="n">
        <f aca="false">I32*(Inputs!$C$17+(Inputs!$C$26-Inputs!$C$17)*E32)</f>
        <v>75.45</v>
      </c>
      <c r="O32" s="45"/>
      <c r="P32" s="7" t="str">
        <f aca="false">IF(OR(O32="",J32=""),"",IFERROR(O32/J32,""))</f>
        <v/>
      </c>
      <c r="Q32" s="46"/>
      <c r="R32" s="8" t="n">
        <f aca="false">N32*(Inputs!$C$16+(Inputs!$C$27-Inputs!$C$16)*E32)</f>
        <v>135810</v>
      </c>
      <c r="S32" s="8" t="str">
        <f aca="false">IF(OR(O32="",Q32="",J32=""),"",IFERROR(O32*Q32/J32,""))</f>
        <v/>
      </c>
      <c r="T32" s="7" t="str">
        <f aca="false">IF(S32="","",IFERROR(S32/R32-1,""))</f>
        <v/>
      </c>
      <c r="U32" s="8" t="n">
        <f aca="false">C32*(R32-Inputs!$C$19)*Inputs!$C$28</f>
        <v>25545.6481444665</v>
      </c>
      <c r="V32" s="8" t="str">
        <f aca="false">IF(OR(C32=0,S32=""),"",(S32-Inputs!$C$19)*Inputs!$C$28)</f>
        <v/>
      </c>
      <c r="W32" s="45"/>
      <c r="X32" s="7" t="str">
        <f aca="false">IF(OR(W32="",G32=""),"",IFERROR(W32/G32,""))</f>
        <v/>
      </c>
      <c r="Y32" s="47"/>
    </row>
    <row r="33" customFormat="false" ht="15" hidden="false" customHeight="false" outlineLevel="0" collapsed="false">
      <c r="A33" s="44" t="n">
        <v>46322</v>
      </c>
      <c r="B33" s="20" t="str">
        <f aca="false">TEXT(A33,"ddd")</f>
        <v>Tue</v>
      </c>
      <c r="C33" s="6" t="n">
        <f aca="false">IF(A33&gt;=Inputs!$C$9,1,0)</f>
        <v>1</v>
      </c>
      <c r="D33" s="6" t="n">
        <f aca="false">IF(C33=1,A33-Inputs!$C$9+1,"")</f>
        <v>22</v>
      </c>
      <c r="E33" s="51" t="n">
        <f aca="false">IF(C33=1,MIN(1,D33/Inputs!$C$29),0)</f>
        <v>1</v>
      </c>
      <c r="F33" s="6" t="n">
        <f aca="false">Inputs!$C$13+(Inputs!$C$32-Inputs!$C$13)*E33</f>
        <v>1073.06666666667</v>
      </c>
      <c r="G33" s="45"/>
      <c r="H33" s="7" t="str">
        <f aca="false">IF(G33="","",IFERROR(G33/F33-1,""))</f>
        <v/>
      </c>
      <c r="I33" s="6" t="n">
        <f aca="false">Inputs!$C$14+(Inputs!$C$24-Inputs!$C$14)*E33</f>
        <v>670.666666666667</v>
      </c>
      <c r="J33" s="45"/>
      <c r="K33" s="7" t="str">
        <f aca="false">IF(J33="","",IFERROR(J33/I33-1,""))</f>
        <v/>
      </c>
      <c r="L33" s="52" t="str">
        <f aca="false">IF(OR(G33="",J33=""),"",IFERROR(G33/J33,""))</f>
        <v/>
      </c>
      <c r="M33" s="53" t="str">
        <f aca="false">IF(OR(J33="",'Site Daily'!E33=""),"",IFERROR(J33/'Site Daily'!E33*1000,""))</f>
        <v/>
      </c>
      <c r="N33" s="53" t="n">
        <f aca="false">I33*(Inputs!$C$17+(Inputs!$C$26-Inputs!$C$17)*E33)</f>
        <v>75.45</v>
      </c>
      <c r="O33" s="45"/>
      <c r="P33" s="7" t="str">
        <f aca="false">IF(OR(O33="",J33=""),"",IFERROR(O33/J33,""))</f>
        <v/>
      </c>
      <c r="Q33" s="46"/>
      <c r="R33" s="8" t="n">
        <f aca="false">N33*(Inputs!$C$16+(Inputs!$C$27-Inputs!$C$16)*E33)</f>
        <v>135810</v>
      </c>
      <c r="S33" s="8" t="str">
        <f aca="false">IF(OR(O33="",Q33="",J33=""),"",IFERROR(O33*Q33/J33,""))</f>
        <v/>
      </c>
      <c r="T33" s="7" t="str">
        <f aca="false">IF(S33="","",IFERROR(S33/R33-1,""))</f>
        <v/>
      </c>
      <c r="U33" s="8" t="n">
        <f aca="false">C33*(R33-Inputs!$C$19)*Inputs!$C$28</f>
        <v>25545.6481444665</v>
      </c>
      <c r="V33" s="8" t="str">
        <f aca="false">IF(OR(C33=0,S33=""),"",(S33-Inputs!$C$19)*Inputs!$C$28)</f>
        <v/>
      </c>
      <c r="W33" s="45"/>
      <c r="X33" s="7" t="str">
        <f aca="false">IF(OR(W33="",G33=""),"",IFERROR(W33/G33,""))</f>
        <v/>
      </c>
      <c r="Y33" s="47"/>
    </row>
    <row r="34" customFormat="false" ht="15" hidden="false" customHeight="false" outlineLevel="0" collapsed="false">
      <c r="A34" s="44" t="n">
        <v>46323</v>
      </c>
      <c r="B34" s="20" t="str">
        <f aca="false">TEXT(A34,"ddd")</f>
        <v>Wed</v>
      </c>
      <c r="C34" s="6" t="n">
        <f aca="false">IF(A34&gt;=Inputs!$C$9,1,0)</f>
        <v>1</v>
      </c>
      <c r="D34" s="6" t="n">
        <f aca="false">IF(C34=1,A34-Inputs!$C$9+1,"")</f>
        <v>23</v>
      </c>
      <c r="E34" s="51" t="n">
        <f aca="false">IF(C34=1,MIN(1,D34/Inputs!$C$29),0)</f>
        <v>1</v>
      </c>
      <c r="F34" s="6" t="n">
        <f aca="false">Inputs!$C$13+(Inputs!$C$32-Inputs!$C$13)*E34</f>
        <v>1073.06666666667</v>
      </c>
      <c r="G34" s="45"/>
      <c r="H34" s="7" t="str">
        <f aca="false">IF(G34="","",IFERROR(G34/F34-1,""))</f>
        <v/>
      </c>
      <c r="I34" s="6" t="n">
        <f aca="false">Inputs!$C$14+(Inputs!$C$24-Inputs!$C$14)*E34</f>
        <v>670.666666666667</v>
      </c>
      <c r="J34" s="45"/>
      <c r="K34" s="7" t="str">
        <f aca="false">IF(J34="","",IFERROR(J34/I34-1,""))</f>
        <v/>
      </c>
      <c r="L34" s="52" t="str">
        <f aca="false">IF(OR(G34="",J34=""),"",IFERROR(G34/J34,""))</f>
        <v/>
      </c>
      <c r="M34" s="53" t="str">
        <f aca="false">IF(OR(J34="",'Site Daily'!E34=""),"",IFERROR(J34/'Site Daily'!E34*1000,""))</f>
        <v/>
      </c>
      <c r="N34" s="53" t="n">
        <f aca="false">I34*(Inputs!$C$17+(Inputs!$C$26-Inputs!$C$17)*E34)</f>
        <v>75.45</v>
      </c>
      <c r="O34" s="45"/>
      <c r="P34" s="7" t="str">
        <f aca="false">IF(OR(O34="",J34=""),"",IFERROR(O34/J34,""))</f>
        <v/>
      </c>
      <c r="Q34" s="46"/>
      <c r="R34" s="8" t="n">
        <f aca="false">N34*(Inputs!$C$16+(Inputs!$C$27-Inputs!$C$16)*E34)</f>
        <v>135810</v>
      </c>
      <c r="S34" s="8" t="str">
        <f aca="false">IF(OR(O34="",Q34="",J34=""),"",IFERROR(O34*Q34/J34,""))</f>
        <v/>
      </c>
      <c r="T34" s="7" t="str">
        <f aca="false">IF(S34="","",IFERROR(S34/R34-1,""))</f>
        <v/>
      </c>
      <c r="U34" s="8" t="n">
        <f aca="false">C34*(R34-Inputs!$C$19)*Inputs!$C$28</f>
        <v>25545.6481444665</v>
      </c>
      <c r="V34" s="8" t="str">
        <f aca="false">IF(OR(C34=0,S34=""),"",(S34-Inputs!$C$19)*Inputs!$C$28)</f>
        <v/>
      </c>
      <c r="W34" s="45"/>
      <c r="X34" s="7" t="str">
        <f aca="false">IF(OR(W34="",G34=""),"",IFERROR(W34/G34,""))</f>
        <v/>
      </c>
      <c r="Y34" s="47"/>
    </row>
    <row r="35" customFormat="false" ht="15" hidden="false" customHeight="false" outlineLevel="0" collapsed="false">
      <c r="A35" s="44" t="n">
        <v>46324</v>
      </c>
      <c r="B35" s="20" t="str">
        <f aca="false">TEXT(A35,"ddd")</f>
        <v>Thu</v>
      </c>
      <c r="C35" s="6" t="n">
        <f aca="false">IF(A35&gt;=Inputs!$C$9,1,0)</f>
        <v>1</v>
      </c>
      <c r="D35" s="6" t="n">
        <f aca="false">IF(C35=1,A35-Inputs!$C$9+1,"")</f>
        <v>24</v>
      </c>
      <c r="E35" s="51" t="n">
        <f aca="false">IF(C35=1,MIN(1,D35/Inputs!$C$29),0)</f>
        <v>1</v>
      </c>
      <c r="F35" s="6" t="n">
        <f aca="false">Inputs!$C$13+(Inputs!$C$32-Inputs!$C$13)*E35</f>
        <v>1073.06666666667</v>
      </c>
      <c r="G35" s="45"/>
      <c r="H35" s="7" t="str">
        <f aca="false">IF(G35="","",IFERROR(G35/F35-1,""))</f>
        <v/>
      </c>
      <c r="I35" s="6" t="n">
        <f aca="false">Inputs!$C$14+(Inputs!$C$24-Inputs!$C$14)*E35</f>
        <v>670.666666666667</v>
      </c>
      <c r="J35" s="45"/>
      <c r="K35" s="7" t="str">
        <f aca="false">IF(J35="","",IFERROR(J35/I35-1,""))</f>
        <v/>
      </c>
      <c r="L35" s="52" t="str">
        <f aca="false">IF(OR(G35="",J35=""),"",IFERROR(G35/J35,""))</f>
        <v/>
      </c>
      <c r="M35" s="53" t="str">
        <f aca="false">IF(OR(J35="",'Site Daily'!E35=""),"",IFERROR(J35/'Site Daily'!E35*1000,""))</f>
        <v/>
      </c>
      <c r="N35" s="53" t="n">
        <f aca="false">I35*(Inputs!$C$17+(Inputs!$C$26-Inputs!$C$17)*E35)</f>
        <v>75.45</v>
      </c>
      <c r="O35" s="45"/>
      <c r="P35" s="7" t="str">
        <f aca="false">IF(OR(O35="",J35=""),"",IFERROR(O35/J35,""))</f>
        <v/>
      </c>
      <c r="Q35" s="46"/>
      <c r="R35" s="8" t="n">
        <f aca="false">N35*(Inputs!$C$16+(Inputs!$C$27-Inputs!$C$16)*E35)</f>
        <v>135810</v>
      </c>
      <c r="S35" s="8" t="str">
        <f aca="false">IF(OR(O35="",Q35="",J35=""),"",IFERROR(O35*Q35/J35,""))</f>
        <v/>
      </c>
      <c r="T35" s="7" t="str">
        <f aca="false">IF(S35="","",IFERROR(S35/R35-1,""))</f>
        <v/>
      </c>
      <c r="U35" s="8" t="n">
        <f aca="false">C35*(R35-Inputs!$C$19)*Inputs!$C$28</f>
        <v>25545.6481444665</v>
      </c>
      <c r="V35" s="8" t="str">
        <f aca="false">IF(OR(C35=0,S35=""),"",(S35-Inputs!$C$19)*Inputs!$C$28)</f>
        <v/>
      </c>
      <c r="W35" s="45"/>
      <c r="X35" s="7" t="str">
        <f aca="false">IF(OR(W35="",G35=""),"",IFERROR(W35/G35,""))</f>
        <v/>
      </c>
      <c r="Y35" s="47"/>
    </row>
    <row r="36" customFormat="false" ht="15" hidden="false" customHeight="false" outlineLevel="0" collapsed="false">
      <c r="A36" s="44" t="n">
        <v>46325</v>
      </c>
      <c r="B36" s="20" t="str">
        <f aca="false">TEXT(A36,"ddd")</f>
        <v>Fri</v>
      </c>
      <c r="C36" s="6" t="n">
        <f aca="false">IF(A36&gt;=Inputs!$C$9,1,0)</f>
        <v>1</v>
      </c>
      <c r="D36" s="6" t="n">
        <f aca="false">IF(C36=1,A36-Inputs!$C$9+1,"")</f>
        <v>25</v>
      </c>
      <c r="E36" s="51" t="n">
        <f aca="false">IF(C36=1,MIN(1,D36/Inputs!$C$29),0)</f>
        <v>1</v>
      </c>
      <c r="F36" s="6" t="n">
        <f aca="false">Inputs!$C$13+(Inputs!$C$32-Inputs!$C$13)*E36</f>
        <v>1073.06666666667</v>
      </c>
      <c r="G36" s="45"/>
      <c r="H36" s="7" t="str">
        <f aca="false">IF(G36="","",IFERROR(G36/F36-1,""))</f>
        <v/>
      </c>
      <c r="I36" s="6" t="n">
        <f aca="false">Inputs!$C$14+(Inputs!$C$24-Inputs!$C$14)*E36</f>
        <v>670.666666666667</v>
      </c>
      <c r="J36" s="45"/>
      <c r="K36" s="7" t="str">
        <f aca="false">IF(J36="","",IFERROR(J36/I36-1,""))</f>
        <v/>
      </c>
      <c r="L36" s="52" t="str">
        <f aca="false">IF(OR(G36="",J36=""),"",IFERROR(G36/J36,""))</f>
        <v/>
      </c>
      <c r="M36" s="53" t="str">
        <f aca="false">IF(OR(J36="",'Site Daily'!E36=""),"",IFERROR(J36/'Site Daily'!E36*1000,""))</f>
        <v/>
      </c>
      <c r="N36" s="53" t="n">
        <f aca="false">I36*(Inputs!$C$17+(Inputs!$C$26-Inputs!$C$17)*E36)</f>
        <v>75.45</v>
      </c>
      <c r="O36" s="45"/>
      <c r="P36" s="7" t="str">
        <f aca="false">IF(OR(O36="",J36=""),"",IFERROR(O36/J36,""))</f>
        <v/>
      </c>
      <c r="Q36" s="46"/>
      <c r="R36" s="8" t="n">
        <f aca="false">N36*(Inputs!$C$16+(Inputs!$C$27-Inputs!$C$16)*E36)</f>
        <v>135810</v>
      </c>
      <c r="S36" s="8" t="str">
        <f aca="false">IF(OR(O36="",Q36="",J36=""),"",IFERROR(O36*Q36/J36,""))</f>
        <v/>
      </c>
      <c r="T36" s="7" t="str">
        <f aca="false">IF(S36="","",IFERROR(S36/R36-1,""))</f>
        <v/>
      </c>
      <c r="U36" s="8" t="n">
        <f aca="false">C36*(R36-Inputs!$C$19)*Inputs!$C$28</f>
        <v>25545.6481444665</v>
      </c>
      <c r="V36" s="8" t="str">
        <f aca="false">IF(OR(C36=0,S36=""),"",(S36-Inputs!$C$19)*Inputs!$C$28)</f>
        <v/>
      </c>
      <c r="W36" s="45"/>
      <c r="X36" s="7" t="str">
        <f aca="false">IF(OR(W36="",G36=""),"",IFERROR(W36/G36,""))</f>
        <v/>
      </c>
      <c r="Y36" s="47"/>
    </row>
    <row r="37" customFormat="false" ht="15" hidden="false" customHeight="false" outlineLevel="0" collapsed="false">
      <c r="A37" s="44" t="n">
        <v>46326</v>
      </c>
      <c r="B37" s="20" t="str">
        <f aca="false">TEXT(A37,"ddd")</f>
        <v>Sat</v>
      </c>
      <c r="C37" s="6" t="n">
        <f aca="false">IF(A37&gt;=Inputs!$C$9,1,0)</f>
        <v>1</v>
      </c>
      <c r="D37" s="6" t="n">
        <f aca="false">IF(C37=1,A37-Inputs!$C$9+1,"")</f>
        <v>26</v>
      </c>
      <c r="E37" s="51" t="n">
        <f aca="false">IF(C37=1,MIN(1,D37/Inputs!$C$29),0)</f>
        <v>1</v>
      </c>
      <c r="F37" s="6" t="n">
        <f aca="false">Inputs!$C$13+(Inputs!$C$32-Inputs!$C$13)*E37</f>
        <v>1073.06666666667</v>
      </c>
      <c r="G37" s="45"/>
      <c r="H37" s="7" t="str">
        <f aca="false">IF(G37="","",IFERROR(G37/F37-1,""))</f>
        <v/>
      </c>
      <c r="I37" s="6" t="n">
        <f aca="false">Inputs!$C$14+(Inputs!$C$24-Inputs!$C$14)*E37</f>
        <v>670.666666666667</v>
      </c>
      <c r="J37" s="45"/>
      <c r="K37" s="7" t="str">
        <f aca="false">IF(J37="","",IFERROR(J37/I37-1,""))</f>
        <v/>
      </c>
      <c r="L37" s="52" t="str">
        <f aca="false">IF(OR(G37="",J37=""),"",IFERROR(G37/J37,""))</f>
        <v/>
      </c>
      <c r="M37" s="53" t="str">
        <f aca="false">IF(OR(J37="",'Site Daily'!E37=""),"",IFERROR(J37/'Site Daily'!E37*1000,""))</f>
        <v/>
      </c>
      <c r="N37" s="53" t="n">
        <f aca="false">I37*(Inputs!$C$17+(Inputs!$C$26-Inputs!$C$17)*E37)</f>
        <v>75.45</v>
      </c>
      <c r="O37" s="45"/>
      <c r="P37" s="7" t="str">
        <f aca="false">IF(OR(O37="",J37=""),"",IFERROR(O37/J37,""))</f>
        <v/>
      </c>
      <c r="Q37" s="46"/>
      <c r="R37" s="8" t="n">
        <f aca="false">N37*(Inputs!$C$16+(Inputs!$C$27-Inputs!$C$16)*E37)</f>
        <v>135810</v>
      </c>
      <c r="S37" s="8" t="str">
        <f aca="false">IF(OR(O37="",Q37="",J37=""),"",IFERROR(O37*Q37/J37,""))</f>
        <v/>
      </c>
      <c r="T37" s="7" t="str">
        <f aca="false">IF(S37="","",IFERROR(S37/R37-1,""))</f>
        <v/>
      </c>
      <c r="U37" s="8" t="n">
        <f aca="false">C37*(R37-Inputs!$C$19)*Inputs!$C$28</f>
        <v>25545.6481444665</v>
      </c>
      <c r="V37" s="8" t="str">
        <f aca="false">IF(OR(C37=0,S37=""),"",(S37-Inputs!$C$19)*Inputs!$C$28)</f>
        <v/>
      </c>
      <c r="W37" s="45"/>
      <c r="X37" s="7" t="str">
        <f aca="false">IF(OR(W37="",G37=""),"",IFERROR(W37/G37,""))</f>
        <v/>
      </c>
      <c r="Y37" s="47"/>
    </row>
    <row r="38" customFormat="false" ht="15" hidden="false" customHeight="false" outlineLevel="0" collapsed="false">
      <c r="A38" s="44" t="n">
        <v>46327</v>
      </c>
      <c r="B38" s="20" t="str">
        <f aca="false">TEXT(A38,"ddd")</f>
        <v>Sun</v>
      </c>
      <c r="C38" s="6" t="n">
        <f aca="false">IF(A38&gt;=Inputs!$C$9,1,0)</f>
        <v>1</v>
      </c>
      <c r="D38" s="6" t="n">
        <f aca="false">IF(C38=1,A38-Inputs!$C$9+1,"")</f>
        <v>27</v>
      </c>
      <c r="E38" s="51" t="n">
        <f aca="false">IF(C38=1,MIN(1,D38/Inputs!$C$29),0)</f>
        <v>1</v>
      </c>
      <c r="F38" s="6" t="n">
        <f aca="false">Inputs!$C$13+(Inputs!$C$32-Inputs!$C$13)*E38</f>
        <v>1073.06666666667</v>
      </c>
      <c r="G38" s="45"/>
      <c r="H38" s="7" t="str">
        <f aca="false">IF(G38="","",IFERROR(G38/F38-1,""))</f>
        <v/>
      </c>
      <c r="I38" s="6" t="n">
        <f aca="false">Inputs!$C$14+(Inputs!$C$24-Inputs!$C$14)*E38</f>
        <v>670.666666666667</v>
      </c>
      <c r="J38" s="45"/>
      <c r="K38" s="7" t="str">
        <f aca="false">IF(J38="","",IFERROR(J38/I38-1,""))</f>
        <v/>
      </c>
      <c r="L38" s="52" t="str">
        <f aca="false">IF(OR(G38="",J38=""),"",IFERROR(G38/J38,""))</f>
        <v/>
      </c>
      <c r="M38" s="53" t="str">
        <f aca="false">IF(OR(J38="",'Site Daily'!E38=""),"",IFERROR(J38/'Site Daily'!E38*1000,""))</f>
        <v/>
      </c>
      <c r="N38" s="53" t="n">
        <f aca="false">I38*(Inputs!$C$17+(Inputs!$C$26-Inputs!$C$17)*E38)</f>
        <v>75.45</v>
      </c>
      <c r="O38" s="45"/>
      <c r="P38" s="7" t="str">
        <f aca="false">IF(OR(O38="",J38=""),"",IFERROR(O38/J38,""))</f>
        <v/>
      </c>
      <c r="Q38" s="46"/>
      <c r="R38" s="8" t="n">
        <f aca="false">N38*(Inputs!$C$16+(Inputs!$C$27-Inputs!$C$16)*E38)</f>
        <v>135810</v>
      </c>
      <c r="S38" s="8" t="str">
        <f aca="false">IF(OR(O38="",Q38="",J38=""),"",IFERROR(O38*Q38/J38,""))</f>
        <v/>
      </c>
      <c r="T38" s="7" t="str">
        <f aca="false">IF(S38="","",IFERROR(S38/R38-1,""))</f>
        <v/>
      </c>
      <c r="U38" s="8" t="n">
        <f aca="false">C38*(R38-Inputs!$C$19)*Inputs!$C$28</f>
        <v>25545.6481444665</v>
      </c>
      <c r="V38" s="8" t="str">
        <f aca="false">IF(OR(C38=0,S38=""),"",(S38-Inputs!$C$19)*Inputs!$C$28)</f>
        <v/>
      </c>
      <c r="W38" s="45"/>
      <c r="X38" s="7" t="str">
        <f aca="false">IF(OR(W38="",G38=""),"",IFERROR(W38/G38,""))</f>
        <v/>
      </c>
      <c r="Y38" s="47"/>
    </row>
    <row r="39" customFormat="false" ht="15" hidden="false" customHeight="false" outlineLevel="0" collapsed="false">
      <c r="A39" s="44" t="n">
        <v>46328</v>
      </c>
      <c r="B39" s="20" t="str">
        <f aca="false">TEXT(A39,"ddd")</f>
        <v>Mon</v>
      </c>
      <c r="C39" s="6" t="n">
        <f aca="false">IF(A39&gt;=Inputs!$C$9,1,0)</f>
        <v>1</v>
      </c>
      <c r="D39" s="6" t="n">
        <f aca="false">IF(C39=1,A39-Inputs!$C$9+1,"")</f>
        <v>28</v>
      </c>
      <c r="E39" s="51" t="n">
        <f aca="false">IF(C39=1,MIN(1,D39/Inputs!$C$29),0)</f>
        <v>1</v>
      </c>
      <c r="F39" s="6" t="n">
        <f aca="false">Inputs!$C$13+(Inputs!$C$32-Inputs!$C$13)*E39</f>
        <v>1073.06666666667</v>
      </c>
      <c r="G39" s="45"/>
      <c r="H39" s="7" t="str">
        <f aca="false">IF(G39="","",IFERROR(G39/F39-1,""))</f>
        <v/>
      </c>
      <c r="I39" s="6" t="n">
        <f aca="false">Inputs!$C$14+(Inputs!$C$24-Inputs!$C$14)*E39</f>
        <v>670.666666666667</v>
      </c>
      <c r="J39" s="45"/>
      <c r="K39" s="7" t="str">
        <f aca="false">IF(J39="","",IFERROR(J39/I39-1,""))</f>
        <v/>
      </c>
      <c r="L39" s="52" t="str">
        <f aca="false">IF(OR(G39="",J39=""),"",IFERROR(G39/J39,""))</f>
        <v/>
      </c>
      <c r="M39" s="53" t="str">
        <f aca="false">IF(OR(J39="",'Site Daily'!E39=""),"",IFERROR(J39/'Site Daily'!E39*1000,""))</f>
        <v/>
      </c>
      <c r="N39" s="53" t="n">
        <f aca="false">I39*(Inputs!$C$17+(Inputs!$C$26-Inputs!$C$17)*E39)</f>
        <v>75.45</v>
      </c>
      <c r="O39" s="45"/>
      <c r="P39" s="7" t="str">
        <f aca="false">IF(OR(O39="",J39=""),"",IFERROR(O39/J39,""))</f>
        <v/>
      </c>
      <c r="Q39" s="46"/>
      <c r="R39" s="8" t="n">
        <f aca="false">N39*(Inputs!$C$16+(Inputs!$C$27-Inputs!$C$16)*E39)</f>
        <v>135810</v>
      </c>
      <c r="S39" s="8" t="str">
        <f aca="false">IF(OR(O39="",Q39="",J39=""),"",IFERROR(O39*Q39/J39,""))</f>
        <v/>
      </c>
      <c r="T39" s="7" t="str">
        <f aca="false">IF(S39="","",IFERROR(S39/R39-1,""))</f>
        <v/>
      </c>
      <c r="U39" s="8" t="n">
        <f aca="false">C39*(R39-Inputs!$C$19)*Inputs!$C$28</f>
        <v>25545.6481444665</v>
      </c>
      <c r="V39" s="8" t="str">
        <f aca="false">IF(OR(C39=0,S39=""),"",(S39-Inputs!$C$19)*Inputs!$C$28)</f>
        <v/>
      </c>
      <c r="W39" s="45"/>
      <c r="X39" s="7" t="str">
        <f aca="false">IF(OR(W39="",G39=""),"",IFERROR(W39/G39,""))</f>
        <v/>
      </c>
      <c r="Y39" s="47"/>
    </row>
    <row r="40" customFormat="false" ht="15" hidden="false" customHeight="false" outlineLevel="0" collapsed="false">
      <c r="A40" s="44" t="n">
        <v>46329</v>
      </c>
      <c r="B40" s="20" t="str">
        <f aca="false">TEXT(A40,"ddd")</f>
        <v>Tue</v>
      </c>
      <c r="C40" s="6" t="n">
        <f aca="false">IF(A40&gt;=Inputs!$C$9,1,0)</f>
        <v>1</v>
      </c>
      <c r="D40" s="6" t="n">
        <f aca="false">IF(C40=1,A40-Inputs!$C$9+1,"")</f>
        <v>29</v>
      </c>
      <c r="E40" s="51" t="n">
        <f aca="false">IF(C40=1,MIN(1,D40/Inputs!$C$29),0)</f>
        <v>1</v>
      </c>
      <c r="F40" s="6" t="n">
        <f aca="false">Inputs!$C$13+(Inputs!$C$32-Inputs!$C$13)*E40</f>
        <v>1073.06666666667</v>
      </c>
      <c r="G40" s="45"/>
      <c r="H40" s="7" t="str">
        <f aca="false">IF(G40="","",IFERROR(G40/F40-1,""))</f>
        <v/>
      </c>
      <c r="I40" s="6" t="n">
        <f aca="false">Inputs!$C$14+(Inputs!$C$24-Inputs!$C$14)*E40</f>
        <v>670.666666666667</v>
      </c>
      <c r="J40" s="45"/>
      <c r="K40" s="7" t="str">
        <f aca="false">IF(J40="","",IFERROR(J40/I40-1,""))</f>
        <v/>
      </c>
      <c r="L40" s="52" t="str">
        <f aca="false">IF(OR(G40="",J40=""),"",IFERROR(G40/J40,""))</f>
        <v/>
      </c>
      <c r="M40" s="53" t="str">
        <f aca="false">IF(OR(J40="",'Site Daily'!E40=""),"",IFERROR(J40/'Site Daily'!E40*1000,""))</f>
        <v/>
      </c>
      <c r="N40" s="53" t="n">
        <f aca="false">I40*(Inputs!$C$17+(Inputs!$C$26-Inputs!$C$17)*E40)</f>
        <v>75.45</v>
      </c>
      <c r="O40" s="45"/>
      <c r="P40" s="7" t="str">
        <f aca="false">IF(OR(O40="",J40=""),"",IFERROR(O40/J40,""))</f>
        <v/>
      </c>
      <c r="Q40" s="46"/>
      <c r="R40" s="8" t="n">
        <f aca="false">N40*(Inputs!$C$16+(Inputs!$C$27-Inputs!$C$16)*E40)</f>
        <v>135810</v>
      </c>
      <c r="S40" s="8" t="str">
        <f aca="false">IF(OR(O40="",Q40="",J40=""),"",IFERROR(O40*Q40/J40,""))</f>
        <v/>
      </c>
      <c r="T40" s="7" t="str">
        <f aca="false">IF(S40="","",IFERROR(S40/R40-1,""))</f>
        <v/>
      </c>
      <c r="U40" s="8" t="n">
        <f aca="false">C40*(R40-Inputs!$C$19)*Inputs!$C$28</f>
        <v>25545.6481444665</v>
      </c>
      <c r="V40" s="8" t="str">
        <f aca="false">IF(OR(C40=0,S40=""),"",(S40-Inputs!$C$19)*Inputs!$C$28)</f>
        <v/>
      </c>
      <c r="W40" s="45"/>
      <c r="X40" s="7" t="str">
        <f aca="false">IF(OR(W40="",G40=""),"",IFERROR(W40/G40,""))</f>
        <v/>
      </c>
      <c r="Y40" s="47"/>
    </row>
    <row r="41" customFormat="false" ht="15" hidden="false" customHeight="false" outlineLevel="0" collapsed="false">
      <c r="A41" s="44" t="n">
        <v>46330</v>
      </c>
      <c r="B41" s="20" t="str">
        <f aca="false">TEXT(A41,"ddd")</f>
        <v>Wed</v>
      </c>
      <c r="C41" s="6" t="n">
        <f aca="false">IF(A41&gt;=Inputs!$C$9,1,0)</f>
        <v>1</v>
      </c>
      <c r="D41" s="6" t="n">
        <f aca="false">IF(C41=1,A41-Inputs!$C$9+1,"")</f>
        <v>30</v>
      </c>
      <c r="E41" s="51" t="n">
        <f aca="false">IF(C41=1,MIN(1,D41/Inputs!$C$29),0)</f>
        <v>1</v>
      </c>
      <c r="F41" s="6" t="n">
        <f aca="false">Inputs!$C$13+(Inputs!$C$32-Inputs!$C$13)*E41</f>
        <v>1073.06666666667</v>
      </c>
      <c r="G41" s="45"/>
      <c r="H41" s="7" t="str">
        <f aca="false">IF(G41="","",IFERROR(G41/F41-1,""))</f>
        <v/>
      </c>
      <c r="I41" s="6" t="n">
        <f aca="false">Inputs!$C$14+(Inputs!$C$24-Inputs!$C$14)*E41</f>
        <v>670.666666666667</v>
      </c>
      <c r="J41" s="45"/>
      <c r="K41" s="7" t="str">
        <f aca="false">IF(J41="","",IFERROR(J41/I41-1,""))</f>
        <v/>
      </c>
      <c r="L41" s="52" t="str">
        <f aca="false">IF(OR(G41="",J41=""),"",IFERROR(G41/J41,""))</f>
        <v/>
      </c>
      <c r="M41" s="53" t="str">
        <f aca="false">IF(OR(J41="",'Site Daily'!E41=""),"",IFERROR(J41/'Site Daily'!E41*1000,""))</f>
        <v/>
      </c>
      <c r="N41" s="53" t="n">
        <f aca="false">I41*(Inputs!$C$17+(Inputs!$C$26-Inputs!$C$17)*E41)</f>
        <v>75.45</v>
      </c>
      <c r="O41" s="45"/>
      <c r="P41" s="7" t="str">
        <f aca="false">IF(OR(O41="",J41=""),"",IFERROR(O41/J41,""))</f>
        <v/>
      </c>
      <c r="Q41" s="46"/>
      <c r="R41" s="8" t="n">
        <f aca="false">N41*(Inputs!$C$16+(Inputs!$C$27-Inputs!$C$16)*E41)</f>
        <v>135810</v>
      </c>
      <c r="S41" s="8" t="str">
        <f aca="false">IF(OR(O41="",Q41="",J41=""),"",IFERROR(O41*Q41/J41,""))</f>
        <v/>
      </c>
      <c r="T41" s="7" t="str">
        <f aca="false">IF(S41="","",IFERROR(S41/R41-1,""))</f>
        <v/>
      </c>
      <c r="U41" s="8" t="n">
        <f aca="false">C41*(R41-Inputs!$C$19)*Inputs!$C$28</f>
        <v>25545.6481444665</v>
      </c>
      <c r="V41" s="8" t="str">
        <f aca="false">IF(OR(C41=0,S41=""),"",(S41-Inputs!$C$19)*Inputs!$C$28)</f>
        <v/>
      </c>
      <c r="W41" s="45"/>
      <c r="X41" s="7" t="str">
        <f aca="false">IF(OR(W41="",G41=""),"",IFERROR(W41/G41,""))</f>
        <v/>
      </c>
      <c r="Y41" s="47"/>
    </row>
    <row r="42" customFormat="false" ht="15" hidden="false" customHeight="false" outlineLevel="0" collapsed="false">
      <c r="A42" s="44" t="n">
        <v>46331</v>
      </c>
      <c r="B42" s="20" t="str">
        <f aca="false">TEXT(A42,"ddd")</f>
        <v>Thu</v>
      </c>
      <c r="C42" s="6" t="n">
        <f aca="false">IF(A42&gt;=Inputs!$C$9,1,0)</f>
        <v>1</v>
      </c>
      <c r="D42" s="6" t="n">
        <f aca="false">IF(C42=1,A42-Inputs!$C$9+1,"")</f>
        <v>31</v>
      </c>
      <c r="E42" s="51" t="n">
        <f aca="false">IF(C42=1,MIN(1,D42/Inputs!$C$29),0)</f>
        <v>1</v>
      </c>
      <c r="F42" s="6" t="n">
        <f aca="false">Inputs!$C$13+(Inputs!$C$32-Inputs!$C$13)*E42</f>
        <v>1073.06666666667</v>
      </c>
      <c r="G42" s="45"/>
      <c r="H42" s="7" t="str">
        <f aca="false">IF(G42="","",IFERROR(G42/F42-1,""))</f>
        <v/>
      </c>
      <c r="I42" s="6" t="n">
        <f aca="false">Inputs!$C$14+(Inputs!$C$24-Inputs!$C$14)*E42</f>
        <v>670.666666666667</v>
      </c>
      <c r="J42" s="45"/>
      <c r="K42" s="7" t="str">
        <f aca="false">IF(J42="","",IFERROR(J42/I42-1,""))</f>
        <v/>
      </c>
      <c r="L42" s="52" t="str">
        <f aca="false">IF(OR(G42="",J42=""),"",IFERROR(G42/J42,""))</f>
        <v/>
      </c>
      <c r="M42" s="53" t="str">
        <f aca="false">IF(OR(J42="",'Site Daily'!E42=""),"",IFERROR(J42/'Site Daily'!E42*1000,""))</f>
        <v/>
      </c>
      <c r="N42" s="53" t="n">
        <f aca="false">I42*(Inputs!$C$17+(Inputs!$C$26-Inputs!$C$17)*E42)</f>
        <v>75.45</v>
      </c>
      <c r="O42" s="45"/>
      <c r="P42" s="7" t="str">
        <f aca="false">IF(OR(O42="",J42=""),"",IFERROR(O42/J42,""))</f>
        <v/>
      </c>
      <c r="Q42" s="46"/>
      <c r="R42" s="8" t="n">
        <f aca="false">N42*(Inputs!$C$16+(Inputs!$C$27-Inputs!$C$16)*E42)</f>
        <v>135810</v>
      </c>
      <c r="S42" s="8" t="str">
        <f aca="false">IF(OR(O42="",Q42="",J42=""),"",IFERROR(O42*Q42/J42,""))</f>
        <v/>
      </c>
      <c r="T42" s="7" t="str">
        <f aca="false">IF(S42="","",IFERROR(S42/R42-1,""))</f>
        <v/>
      </c>
      <c r="U42" s="8" t="n">
        <f aca="false">C42*(R42-Inputs!$C$19)*Inputs!$C$28</f>
        <v>25545.6481444665</v>
      </c>
      <c r="V42" s="8" t="str">
        <f aca="false">IF(OR(C42=0,S42=""),"",(S42-Inputs!$C$19)*Inputs!$C$28)</f>
        <v/>
      </c>
      <c r="W42" s="45"/>
      <c r="X42" s="7" t="str">
        <f aca="false">IF(OR(W42="",G42=""),"",IFERROR(W42/G42,""))</f>
        <v/>
      </c>
      <c r="Y42" s="47"/>
    </row>
    <row r="43" customFormat="false" ht="15" hidden="false" customHeight="false" outlineLevel="0" collapsed="false">
      <c r="A43" s="44" t="n">
        <v>46332</v>
      </c>
      <c r="B43" s="20" t="str">
        <f aca="false">TEXT(A43,"ddd")</f>
        <v>Fri</v>
      </c>
      <c r="C43" s="6" t="n">
        <f aca="false">IF(A43&gt;=Inputs!$C$9,1,0)</f>
        <v>1</v>
      </c>
      <c r="D43" s="6" t="n">
        <f aca="false">IF(C43=1,A43-Inputs!$C$9+1,"")</f>
        <v>32</v>
      </c>
      <c r="E43" s="51" t="n">
        <f aca="false">IF(C43=1,MIN(1,D43/Inputs!$C$29),0)</f>
        <v>1</v>
      </c>
      <c r="F43" s="6" t="n">
        <f aca="false">Inputs!$C$13+(Inputs!$C$32-Inputs!$C$13)*E43</f>
        <v>1073.06666666667</v>
      </c>
      <c r="G43" s="45"/>
      <c r="H43" s="7" t="str">
        <f aca="false">IF(G43="","",IFERROR(G43/F43-1,""))</f>
        <v/>
      </c>
      <c r="I43" s="6" t="n">
        <f aca="false">Inputs!$C$14+(Inputs!$C$24-Inputs!$C$14)*E43</f>
        <v>670.666666666667</v>
      </c>
      <c r="J43" s="45"/>
      <c r="K43" s="7" t="str">
        <f aca="false">IF(J43="","",IFERROR(J43/I43-1,""))</f>
        <v/>
      </c>
      <c r="L43" s="52" t="str">
        <f aca="false">IF(OR(G43="",J43=""),"",IFERROR(G43/J43,""))</f>
        <v/>
      </c>
      <c r="M43" s="53" t="str">
        <f aca="false">IF(OR(J43="",'Site Daily'!E43=""),"",IFERROR(J43/'Site Daily'!E43*1000,""))</f>
        <v/>
      </c>
      <c r="N43" s="53" t="n">
        <f aca="false">I43*(Inputs!$C$17+(Inputs!$C$26-Inputs!$C$17)*E43)</f>
        <v>75.45</v>
      </c>
      <c r="O43" s="45"/>
      <c r="P43" s="7" t="str">
        <f aca="false">IF(OR(O43="",J43=""),"",IFERROR(O43/J43,""))</f>
        <v/>
      </c>
      <c r="Q43" s="46"/>
      <c r="R43" s="8" t="n">
        <f aca="false">N43*(Inputs!$C$16+(Inputs!$C$27-Inputs!$C$16)*E43)</f>
        <v>135810</v>
      </c>
      <c r="S43" s="8" t="str">
        <f aca="false">IF(OR(O43="",Q43="",J43=""),"",IFERROR(O43*Q43/J43,""))</f>
        <v/>
      </c>
      <c r="T43" s="7" t="str">
        <f aca="false">IF(S43="","",IFERROR(S43/R43-1,""))</f>
        <v/>
      </c>
      <c r="U43" s="8" t="n">
        <f aca="false">C43*(R43-Inputs!$C$19)*Inputs!$C$28</f>
        <v>25545.6481444665</v>
      </c>
      <c r="V43" s="8" t="str">
        <f aca="false">IF(OR(C43=0,S43=""),"",(S43-Inputs!$C$19)*Inputs!$C$28)</f>
        <v/>
      </c>
      <c r="W43" s="45"/>
      <c r="X43" s="7" t="str">
        <f aca="false">IF(OR(W43="",G43=""),"",IFERROR(W43/G43,""))</f>
        <v/>
      </c>
      <c r="Y43" s="47"/>
    </row>
    <row r="44" customFormat="false" ht="15" hidden="false" customHeight="false" outlineLevel="0" collapsed="false">
      <c r="A44" s="44" t="n">
        <v>46333</v>
      </c>
      <c r="B44" s="20" t="str">
        <f aca="false">TEXT(A44,"ddd")</f>
        <v>Sat</v>
      </c>
      <c r="C44" s="6" t="n">
        <f aca="false">IF(A44&gt;=Inputs!$C$9,1,0)</f>
        <v>1</v>
      </c>
      <c r="D44" s="6" t="n">
        <f aca="false">IF(C44=1,A44-Inputs!$C$9+1,"")</f>
        <v>33</v>
      </c>
      <c r="E44" s="51" t="n">
        <f aca="false">IF(C44=1,MIN(1,D44/Inputs!$C$29),0)</f>
        <v>1</v>
      </c>
      <c r="F44" s="6" t="n">
        <f aca="false">Inputs!$C$13+(Inputs!$C$32-Inputs!$C$13)*E44</f>
        <v>1073.06666666667</v>
      </c>
      <c r="G44" s="45"/>
      <c r="H44" s="7" t="str">
        <f aca="false">IF(G44="","",IFERROR(G44/F44-1,""))</f>
        <v/>
      </c>
      <c r="I44" s="6" t="n">
        <f aca="false">Inputs!$C$14+(Inputs!$C$24-Inputs!$C$14)*E44</f>
        <v>670.666666666667</v>
      </c>
      <c r="J44" s="45"/>
      <c r="K44" s="7" t="str">
        <f aca="false">IF(J44="","",IFERROR(J44/I44-1,""))</f>
        <v/>
      </c>
      <c r="L44" s="52" t="str">
        <f aca="false">IF(OR(G44="",J44=""),"",IFERROR(G44/J44,""))</f>
        <v/>
      </c>
      <c r="M44" s="53" t="str">
        <f aca="false">IF(OR(J44="",'Site Daily'!E44=""),"",IFERROR(J44/'Site Daily'!E44*1000,""))</f>
        <v/>
      </c>
      <c r="N44" s="53" t="n">
        <f aca="false">I44*(Inputs!$C$17+(Inputs!$C$26-Inputs!$C$17)*E44)</f>
        <v>75.45</v>
      </c>
      <c r="O44" s="45"/>
      <c r="P44" s="7" t="str">
        <f aca="false">IF(OR(O44="",J44=""),"",IFERROR(O44/J44,""))</f>
        <v/>
      </c>
      <c r="Q44" s="46"/>
      <c r="R44" s="8" t="n">
        <f aca="false">N44*(Inputs!$C$16+(Inputs!$C$27-Inputs!$C$16)*E44)</f>
        <v>135810</v>
      </c>
      <c r="S44" s="8" t="str">
        <f aca="false">IF(OR(O44="",Q44="",J44=""),"",IFERROR(O44*Q44/J44,""))</f>
        <v/>
      </c>
      <c r="T44" s="7" t="str">
        <f aca="false">IF(S44="","",IFERROR(S44/R44-1,""))</f>
        <v/>
      </c>
      <c r="U44" s="8" t="n">
        <f aca="false">C44*(R44-Inputs!$C$19)*Inputs!$C$28</f>
        <v>25545.6481444665</v>
      </c>
      <c r="V44" s="8" t="str">
        <f aca="false">IF(OR(C44=0,S44=""),"",(S44-Inputs!$C$19)*Inputs!$C$28)</f>
        <v/>
      </c>
      <c r="W44" s="45"/>
      <c r="X44" s="7" t="str">
        <f aca="false">IF(OR(W44="",G44=""),"",IFERROR(W44/G44,""))</f>
        <v/>
      </c>
      <c r="Y44" s="47"/>
    </row>
    <row r="45" customFormat="false" ht="15" hidden="false" customHeight="false" outlineLevel="0" collapsed="false">
      <c r="A45" s="44" t="n">
        <v>46334</v>
      </c>
      <c r="B45" s="20" t="str">
        <f aca="false">TEXT(A45,"ddd")</f>
        <v>Sun</v>
      </c>
      <c r="C45" s="6" t="n">
        <f aca="false">IF(A45&gt;=Inputs!$C$9,1,0)</f>
        <v>1</v>
      </c>
      <c r="D45" s="6" t="n">
        <f aca="false">IF(C45=1,A45-Inputs!$C$9+1,"")</f>
        <v>34</v>
      </c>
      <c r="E45" s="51" t="n">
        <f aca="false">IF(C45=1,MIN(1,D45/Inputs!$C$29),0)</f>
        <v>1</v>
      </c>
      <c r="F45" s="6" t="n">
        <f aca="false">Inputs!$C$13+(Inputs!$C$32-Inputs!$C$13)*E45</f>
        <v>1073.06666666667</v>
      </c>
      <c r="G45" s="45"/>
      <c r="H45" s="7" t="str">
        <f aca="false">IF(G45="","",IFERROR(G45/F45-1,""))</f>
        <v/>
      </c>
      <c r="I45" s="6" t="n">
        <f aca="false">Inputs!$C$14+(Inputs!$C$24-Inputs!$C$14)*E45</f>
        <v>670.666666666667</v>
      </c>
      <c r="J45" s="45"/>
      <c r="K45" s="7" t="str">
        <f aca="false">IF(J45="","",IFERROR(J45/I45-1,""))</f>
        <v/>
      </c>
      <c r="L45" s="52" t="str">
        <f aca="false">IF(OR(G45="",J45=""),"",IFERROR(G45/J45,""))</f>
        <v/>
      </c>
      <c r="M45" s="53" t="str">
        <f aca="false">IF(OR(J45="",'Site Daily'!E45=""),"",IFERROR(J45/'Site Daily'!E45*1000,""))</f>
        <v/>
      </c>
      <c r="N45" s="53" t="n">
        <f aca="false">I45*(Inputs!$C$17+(Inputs!$C$26-Inputs!$C$17)*E45)</f>
        <v>75.45</v>
      </c>
      <c r="O45" s="45"/>
      <c r="P45" s="7" t="str">
        <f aca="false">IF(OR(O45="",J45=""),"",IFERROR(O45/J45,""))</f>
        <v/>
      </c>
      <c r="Q45" s="46"/>
      <c r="R45" s="8" t="n">
        <f aca="false">N45*(Inputs!$C$16+(Inputs!$C$27-Inputs!$C$16)*E45)</f>
        <v>135810</v>
      </c>
      <c r="S45" s="8" t="str">
        <f aca="false">IF(OR(O45="",Q45="",J45=""),"",IFERROR(O45*Q45/J45,""))</f>
        <v/>
      </c>
      <c r="T45" s="7" t="str">
        <f aca="false">IF(S45="","",IFERROR(S45/R45-1,""))</f>
        <v/>
      </c>
      <c r="U45" s="8" t="n">
        <f aca="false">C45*(R45-Inputs!$C$19)*Inputs!$C$28</f>
        <v>25545.6481444665</v>
      </c>
      <c r="V45" s="8" t="str">
        <f aca="false">IF(OR(C45=0,S45=""),"",(S45-Inputs!$C$19)*Inputs!$C$28)</f>
        <v/>
      </c>
      <c r="W45" s="45"/>
      <c r="X45" s="7" t="str">
        <f aca="false">IF(OR(W45="",G45=""),"",IFERROR(W45/G45,""))</f>
        <v/>
      </c>
      <c r="Y45" s="47"/>
    </row>
    <row r="46" customFormat="false" ht="15" hidden="false" customHeight="false" outlineLevel="0" collapsed="false">
      <c r="A46" s="44" t="n">
        <v>46335</v>
      </c>
      <c r="B46" s="20" t="str">
        <f aca="false">TEXT(A46,"ddd")</f>
        <v>Mon</v>
      </c>
      <c r="C46" s="6" t="n">
        <f aca="false">IF(A46&gt;=Inputs!$C$9,1,0)</f>
        <v>1</v>
      </c>
      <c r="D46" s="6" t="n">
        <f aca="false">IF(C46=1,A46-Inputs!$C$9+1,"")</f>
        <v>35</v>
      </c>
      <c r="E46" s="51" t="n">
        <f aca="false">IF(C46=1,MIN(1,D46/Inputs!$C$29),0)</f>
        <v>1</v>
      </c>
      <c r="F46" s="6" t="n">
        <f aca="false">Inputs!$C$13+(Inputs!$C$32-Inputs!$C$13)*E46</f>
        <v>1073.06666666667</v>
      </c>
      <c r="G46" s="45"/>
      <c r="H46" s="7" t="str">
        <f aca="false">IF(G46="","",IFERROR(G46/F46-1,""))</f>
        <v/>
      </c>
      <c r="I46" s="6" t="n">
        <f aca="false">Inputs!$C$14+(Inputs!$C$24-Inputs!$C$14)*E46</f>
        <v>670.666666666667</v>
      </c>
      <c r="J46" s="45"/>
      <c r="K46" s="7" t="str">
        <f aca="false">IF(J46="","",IFERROR(J46/I46-1,""))</f>
        <v/>
      </c>
      <c r="L46" s="52" t="str">
        <f aca="false">IF(OR(G46="",J46=""),"",IFERROR(G46/J46,""))</f>
        <v/>
      </c>
      <c r="M46" s="53" t="str">
        <f aca="false">IF(OR(J46="",'Site Daily'!E46=""),"",IFERROR(J46/'Site Daily'!E46*1000,""))</f>
        <v/>
      </c>
      <c r="N46" s="53" t="n">
        <f aca="false">I46*(Inputs!$C$17+(Inputs!$C$26-Inputs!$C$17)*E46)</f>
        <v>75.45</v>
      </c>
      <c r="O46" s="45"/>
      <c r="P46" s="7" t="str">
        <f aca="false">IF(OR(O46="",J46=""),"",IFERROR(O46/J46,""))</f>
        <v/>
      </c>
      <c r="Q46" s="46"/>
      <c r="R46" s="8" t="n">
        <f aca="false">N46*(Inputs!$C$16+(Inputs!$C$27-Inputs!$C$16)*E46)</f>
        <v>135810</v>
      </c>
      <c r="S46" s="8" t="str">
        <f aca="false">IF(OR(O46="",Q46="",J46=""),"",IFERROR(O46*Q46/J46,""))</f>
        <v/>
      </c>
      <c r="T46" s="7" t="str">
        <f aca="false">IF(S46="","",IFERROR(S46/R46-1,""))</f>
        <v/>
      </c>
      <c r="U46" s="8" t="n">
        <f aca="false">C46*(R46-Inputs!$C$19)*Inputs!$C$28</f>
        <v>25545.6481444665</v>
      </c>
      <c r="V46" s="8" t="str">
        <f aca="false">IF(OR(C46=0,S46=""),"",(S46-Inputs!$C$19)*Inputs!$C$28)</f>
        <v/>
      </c>
      <c r="W46" s="45"/>
      <c r="X46" s="7" t="str">
        <f aca="false">IF(OR(W46="",G46=""),"",IFERROR(W46/G46,""))</f>
        <v/>
      </c>
      <c r="Y46" s="47"/>
    </row>
    <row r="47" customFormat="false" ht="15" hidden="false" customHeight="false" outlineLevel="0" collapsed="false">
      <c r="A47" s="44" t="n">
        <v>46336</v>
      </c>
      <c r="B47" s="20" t="str">
        <f aca="false">TEXT(A47,"ddd")</f>
        <v>Tue</v>
      </c>
      <c r="C47" s="6" t="n">
        <f aca="false">IF(A47&gt;=Inputs!$C$9,1,0)</f>
        <v>1</v>
      </c>
      <c r="D47" s="6" t="n">
        <f aca="false">IF(C47=1,A47-Inputs!$C$9+1,"")</f>
        <v>36</v>
      </c>
      <c r="E47" s="51" t="n">
        <f aca="false">IF(C47=1,MIN(1,D47/Inputs!$C$29),0)</f>
        <v>1</v>
      </c>
      <c r="F47" s="6" t="n">
        <f aca="false">Inputs!$C$13+(Inputs!$C$32-Inputs!$C$13)*E47</f>
        <v>1073.06666666667</v>
      </c>
      <c r="G47" s="45"/>
      <c r="H47" s="7" t="str">
        <f aca="false">IF(G47="","",IFERROR(G47/F47-1,""))</f>
        <v/>
      </c>
      <c r="I47" s="6" t="n">
        <f aca="false">Inputs!$C$14+(Inputs!$C$24-Inputs!$C$14)*E47</f>
        <v>670.666666666667</v>
      </c>
      <c r="J47" s="45"/>
      <c r="K47" s="7" t="str">
        <f aca="false">IF(J47="","",IFERROR(J47/I47-1,""))</f>
        <v/>
      </c>
      <c r="L47" s="52" t="str">
        <f aca="false">IF(OR(G47="",J47=""),"",IFERROR(G47/J47,""))</f>
        <v/>
      </c>
      <c r="M47" s="53" t="str">
        <f aca="false">IF(OR(J47="",'Site Daily'!E47=""),"",IFERROR(J47/'Site Daily'!E47*1000,""))</f>
        <v/>
      </c>
      <c r="N47" s="53" t="n">
        <f aca="false">I47*(Inputs!$C$17+(Inputs!$C$26-Inputs!$C$17)*E47)</f>
        <v>75.45</v>
      </c>
      <c r="O47" s="45"/>
      <c r="P47" s="7" t="str">
        <f aca="false">IF(OR(O47="",J47=""),"",IFERROR(O47/J47,""))</f>
        <v/>
      </c>
      <c r="Q47" s="46"/>
      <c r="R47" s="8" t="n">
        <f aca="false">N47*(Inputs!$C$16+(Inputs!$C$27-Inputs!$C$16)*E47)</f>
        <v>135810</v>
      </c>
      <c r="S47" s="8" t="str">
        <f aca="false">IF(OR(O47="",Q47="",J47=""),"",IFERROR(O47*Q47/J47,""))</f>
        <v/>
      </c>
      <c r="T47" s="7" t="str">
        <f aca="false">IF(S47="","",IFERROR(S47/R47-1,""))</f>
        <v/>
      </c>
      <c r="U47" s="8" t="n">
        <f aca="false">C47*(R47-Inputs!$C$19)*Inputs!$C$28</f>
        <v>25545.6481444665</v>
      </c>
      <c r="V47" s="8" t="str">
        <f aca="false">IF(OR(C47=0,S47=""),"",(S47-Inputs!$C$19)*Inputs!$C$28)</f>
        <v/>
      </c>
      <c r="W47" s="45"/>
      <c r="X47" s="7" t="str">
        <f aca="false">IF(OR(W47="",G47=""),"",IFERROR(W47/G47,""))</f>
        <v/>
      </c>
      <c r="Y47" s="47"/>
    </row>
    <row r="48" customFormat="false" ht="15" hidden="false" customHeight="false" outlineLevel="0" collapsed="false">
      <c r="A48" s="44" t="n">
        <v>46337</v>
      </c>
      <c r="B48" s="20" t="str">
        <f aca="false">TEXT(A48,"ddd")</f>
        <v>Wed</v>
      </c>
      <c r="C48" s="6" t="n">
        <f aca="false">IF(A48&gt;=Inputs!$C$9,1,0)</f>
        <v>1</v>
      </c>
      <c r="D48" s="6" t="n">
        <f aca="false">IF(C48=1,A48-Inputs!$C$9+1,"")</f>
        <v>37</v>
      </c>
      <c r="E48" s="51" t="n">
        <f aca="false">IF(C48=1,MIN(1,D48/Inputs!$C$29),0)</f>
        <v>1</v>
      </c>
      <c r="F48" s="6" t="n">
        <f aca="false">Inputs!$C$13+(Inputs!$C$32-Inputs!$C$13)*E48</f>
        <v>1073.06666666667</v>
      </c>
      <c r="G48" s="45"/>
      <c r="H48" s="7" t="str">
        <f aca="false">IF(G48="","",IFERROR(G48/F48-1,""))</f>
        <v/>
      </c>
      <c r="I48" s="6" t="n">
        <f aca="false">Inputs!$C$14+(Inputs!$C$24-Inputs!$C$14)*E48</f>
        <v>670.666666666667</v>
      </c>
      <c r="J48" s="45"/>
      <c r="K48" s="7" t="str">
        <f aca="false">IF(J48="","",IFERROR(J48/I48-1,""))</f>
        <v/>
      </c>
      <c r="L48" s="52" t="str">
        <f aca="false">IF(OR(G48="",J48=""),"",IFERROR(G48/J48,""))</f>
        <v/>
      </c>
      <c r="M48" s="53" t="str">
        <f aca="false">IF(OR(J48="",'Site Daily'!E48=""),"",IFERROR(J48/'Site Daily'!E48*1000,""))</f>
        <v/>
      </c>
      <c r="N48" s="53" t="n">
        <f aca="false">I48*(Inputs!$C$17+(Inputs!$C$26-Inputs!$C$17)*E48)</f>
        <v>75.45</v>
      </c>
      <c r="O48" s="45"/>
      <c r="P48" s="7" t="str">
        <f aca="false">IF(OR(O48="",J48=""),"",IFERROR(O48/J48,""))</f>
        <v/>
      </c>
      <c r="Q48" s="46"/>
      <c r="R48" s="8" t="n">
        <f aca="false">N48*(Inputs!$C$16+(Inputs!$C$27-Inputs!$C$16)*E48)</f>
        <v>135810</v>
      </c>
      <c r="S48" s="8" t="str">
        <f aca="false">IF(OR(O48="",Q48="",J48=""),"",IFERROR(O48*Q48/J48,""))</f>
        <v/>
      </c>
      <c r="T48" s="7" t="str">
        <f aca="false">IF(S48="","",IFERROR(S48/R48-1,""))</f>
        <v/>
      </c>
      <c r="U48" s="8" t="n">
        <f aca="false">C48*(R48-Inputs!$C$19)*Inputs!$C$28</f>
        <v>25545.6481444665</v>
      </c>
      <c r="V48" s="8" t="str">
        <f aca="false">IF(OR(C48=0,S48=""),"",(S48-Inputs!$C$19)*Inputs!$C$28)</f>
        <v/>
      </c>
      <c r="W48" s="45"/>
      <c r="X48" s="7" t="str">
        <f aca="false">IF(OR(W48="",G48=""),"",IFERROR(W48/G48,""))</f>
        <v/>
      </c>
      <c r="Y48" s="47"/>
    </row>
    <row r="49" customFormat="false" ht="15" hidden="false" customHeight="false" outlineLevel="0" collapsed="false">
      <c r="A49" s="44" t="n">
        <v>46338</v>
      </c>
      <c r="B49" s="20" t="str">
        <f aca="false">TEXT(A49,"ddd")</f>
        <v>Thu</v>
      </c>
      <c r="C49" s="6" t="n">
        <f aca="false">IF(A49&gt;=Inputs!$C$9,1,0)</f>
        <v>1</v>
      </c>
      <c r="D49" s="6" t="n">
        <f aca="false">IF(C49=1,A49-Inputs!$C$9+1,"")</f>
        <v>38</v>
      </c>
      <c r="E49" s="51" t="n">
        <f aca="false">IF(C49=1,MIN(1,D49/Inputs!$C$29),0)</f>
        <v>1</v>
      </c>
      <c r="F49" s="6" t="n">
        <f aca="false">Inputs!$C$13+(Inputs!$C$32-Inputs!$C$13)*E49</f>
        <v>1073.06666666667</v>
      </c>
      <c r="G49" s="45"/>
      <c r="H49" s="7" t="str">
        <f aca="false">IF(G49="","",IFERROR(G49/F49-1,""))</f>
        <v/>
      </c>
      <c r="I49" s="6" t="n">
        <f aca="false">Inputs!$C$14+(Inputs!$C$24-Inputs!$C$14)*E49</f>
        <v>670.666666666667</v>
      </c>
      <c r="J49" s="45"/>
      <c r="K49" s="7" t="str">
        <f aca="false">IF(J49="","",IFERROR(J49/I49-1,""))</f>
        <v/>
      </c>
      <c r="L49" s="52" t="str">
        <f aca="false">IF(OR(G49="",J49=""),"",IFERROR(G49/J49,""))</f>
        <v/>
      </c>
      <c r="M49" s="53" t="str">
        <f aca="false">IF(OR(J49="",'Site Daily'!E49=""),"",IFERROR(J49/'Site Daily'!E49*1000,""))</f>
        <v/>
      </c>
      <c r="N49" s="53" t="n">
        <f aca="false">I49*(Inputs!$C$17+(Inputs!$C$26-Inputs!$C$17)*E49)</f>
        <v>75.45</v>
      </c>
      <c r="O49" s="45"/>
      <c r="P49" s="7" t="str">
        <f aca="false">IF(OR(O49="",J49=""),"",IFERROR(O49/J49,""))</f>
        <v/>
      </c>
      <c r="Q49" s="46"/>
      <c r="R49" s="8" t="n">
        <f aca="false">N49*(Inputs!$C$16+(Inputs!$C$27-Inputs!$C$16)*E49)</f>
        <v>135810</v>
      </c>
      <c r="S49" s="8" t="str">
        <f aca="false">IF(OR(O49="",Q49="",J49=""),"",IFERROR(O49*Q49/J49,""))</f>
        <v/>
      </c>
      <c r="T49" s="7" t="str">
        <f aca="false">IF(S49="","",IFERROR(S49/R49-1,""))</f>
        <v/>
      </c>
      <c r="U49" s="8" t="n">
        <f aca="false">C49*(R49-Inputs!$C$19)*Inputs!$C$28</f>
        <v>25545.6481444665</v>
      </c>
      <c r="V49" s="8" t="str">
        <f aca="false">IF(OR(C49=0,S49=""),"",(S49-Inputs!$C$19)*Inputs!$C$28)</f>
        <v/>
      </c>
      <c r="W49" s="45"/>
      <c r="X49" s="7" t="str">
        <f aca="false">IF(OR(W49="",G49=""),"",IFERROR(W49/G49,""))</f>
        <v/>
      </c>
      <c r="Y49" s="47"/>
    </row>
    <row r="50" customFormat="false" ht="15" hidden="false" customHeight="false" outlineLevel="0" collapsed="false">
      <c r="A50" s="44" t="n">
        <v>46339</v>
      </c>
      <c r="B50" s="20" t="str">
        <f aca="false">TEXT(A50,"ddd")</f>
        <v>Fri</v>
      </c>
      <c r="C50" s="6" t="n">
        <f aca="false">IF(A50&gt;=Inputs!$C$9,1,0)</f>
        <v>1</v>
      </c>
      <c r="D50" s="6" t="n">
        <f aca="false">IF(C50=1,A50-Inputs!$C$9+1,"")</f>
        <v>39</v>
      </c>
      <c r="E50" s="51" t="n">
        <f aca="false">IF(C50=1,MIN(1,D50/Inputs!$C$29),0)</f>
        <v>1</v>
      </c>
      <c r="F50" s="6" t="n">
        <f aca="false">Inputs!$C$13+(Inputs!$C$32-Inputs!$C$13)*E50</f>
        <v>1073.06666666667</v>
      </c>
      <c r="G50" s="45"/>
      <c r="H50" s="7" t="str">
        <f aca="false">IF(G50="","",IFERROR(G50/F50-1,""))</f>
        <v/>
      </c>
      <c r="I50" s="6" t="n">
        <f aca="false">Inputs!$C$14+(Inputs!$C$24-Inputs!$C$14)*E50</f>
        <v>670.666666666667</v>
      </c>
      <c r="J50" s="45"/>
      <c r="K50" s="7" t="str">
        <f aca="false">IF(J50="","",IFERROR(J50/I50-1,""))</f>
        <v/>
      </c>
      <c r="L50" s="52" t="str">
        <f aca="false">IF(OR(G50="",J50=""),"",IFERROR(G50/J50,""))</f>
        <v/>
      </c>
      <c r="M50" s="53" t="str">
        <f aca="false">IF(OR(J50="",'Site Daily'!E50=""),"",IFERROR(J50/'Site Daily'!E50*1000,""))</f>
        <v/>
      </c>
      <c r="N50" s="53" t="n">
        <f aca="false">I50*(Inputs!$C$17+(Inputs!$C$26-Inputs!$C$17)*E50)</f>
        <v>75.45</v>
      </c>
      <c r="O50" s="45"/>
      <c r="P50" s="7" t="str">
        <f aca="false">IF(OR(O50="",J50=""),"",IFERROR(O50/J50,""))</f>
        <v/>
      </c>
      <c r="Q50" s="46"/>
      <c r="R50" s="8" t="n">
        <f aca="false">N50*(Inputs!$C$16+(Inputs!$C$27-Inputs!$C$16)*E50)</f>
        <v>135810</v>
      </c>
      <c r="S50" s="8" t="str">
        <f aca="false">IF(OR(O50="",Q50="",J50=""),"",IFERROR(O50*Q50/J50,""))</f>
        <v/>
      </c>
      <c r="T50" s="7" t="str">
        <f aca="false">IF(S50="","",IFERROR(S50/R50-1,""))</f>
        <v/>
      </c>
      <c r="U50" s="8" t="n">
        <f aca="false">C50*(R50-Inputs!$C$19)*Inputs!$C$28</f>
        <v>25545.6481444665</v>
      </c>
      <c r="V50" s="8" t="str">
        <f aca="false">IF(OR(C50=0,S50=""),"",(S50-Inputs!$C$19)*Inputs!$C$28)</f>
        <v/>
      </c>
      <c r="W50" s="45"/>
      <c r="X50" s="7" t="str">
        <f aca="false">IF(OR(W50="",G50=""),"",IFERROR(W50/G50,""))</f>
        <v/>
      </c>
      <c r="Y50" s="47"/>
    </row>
    <row r="51" customFormat="false" ht="15" hidden="false" customHeight="false" outlineLevel="0" collapsed="false">
      <c r="A51" s="44" t="n">
        <v>46340</v>
      </c>
      <c r="B51" s="20" t="str">
        <f aca="false">TEXT(A51,"ddd")</f>
        <v>Sat</v>
      </c>
      <c r="C51" s="6" t="n">
        <f aca="false">IF(A51&gt;=Inputs!$C$9,1,0)</f>
        <v>1</v>
      </c>
      <c r="D51" s="6" t="n">
        <f aca="false">IF(C51=1,A51-Inputs!$C$9+1,"")</f>
        <v>40</v>
      </c>
      <c r="E51" s="51" t="n">
        <f aca="false">IF(C51=1,MIN(1,D51/Inputs!$C$29),0)</f>
        <v>1</v>
      </c>
      <c r="F51" s="6" t="n">
        <f aca="false">Inputs!$C$13+(Inputs!$C$32-Inputs!$C$13)*E51</f>
        <v>1073.06666666667</v>
      </c>
      <c r="G51" s="45"/>
      <c r="H51" s="7" t="str">
        <f aca="false">IF(G51="","",IFERROR(G51/F51-1,""))</f>
        <v/>
      </c>
      <c r="I51" s="6" t="n">
        <f aca="false">Inputs!$C$14+(Inputs!$C$24-Inputs!$C$14)*E51</f>
        <v>670.666666666667</v>
      </c>
      <c r="J51" s="45"/>
      <c r="K51" s="7" t="str">
        <f aca="false">IF(J51="","",IFERROR(J51/I51-1,""))</f>
        <v/>
      </c>
      <c r="L51" s="52" t="str">
        <f aca="false">IF(OR(G51="",J51=""),"",IFERROR(G51/J51,""))</f>
        <v/>
      </c>
      <c r="M51" s="53" t="str">
        <f aca="false">IF(OR(J51="",'Site Daily'!E51=""),"",IFERROR(J51/'Site Daily'!E51*1000,""))</f>
        <v/>
      </c>
      <c r="N51" s="53" t="n">
        <f aca="false">I51*(Inputs!$C$17+(Inputs!$C$26-Inputs!$C$17)*E51)</f>
        <v>75.45</v>
      </c>
      <c r="O51" s="45"/>
      <c r="P51" s="7" t="str">
        <f aca="false">IF(OR(O51="",J51=""),"",IFERROR(O51/J51,""))</f>
        <v/>
      </c>
      <c r="Q51" s="46"/>
      <c r="R51" s="8" t="n">
        <f aca="false">N51*(Inputs!$C$16+(Inputs!$C$27-Inputs!$C$16)*E51)</f>
        <v>135810</v>
      </c>
      <c r="S51" s="8" t="str">
        <f aca="false">IF(OR(O51="",Q51="",J51=""),"",IFERROR(O51*Q51/J51,""))</f>
        <v/>
      </c>
      <c r="T51" s="7" t="str">
        <f aca="false">IF(S51="","",IFERROR(S51/R51-1,""))</f>
        <v/>
      </c>
      <c r="U51" s="8" t="n">
        <f aca="false">C51*(R51-Inputs!$C$19)*Inputs!$C$28</f>
        <v>25545.6481444665</v>
      </c>
      <c r="V51" s="8" t="str">
        <f aca="false">IF(OR(C51=0,S51=""),"",(S51-Inputs!$C$19)*Inputs!$C$28)</f>
        <v/>
      </c>
      <c r="W51" s="45"/>
      <c r="X51" s="7" t="str">
        <f aca="false">IF(OR(W51="",G51=""),"",IFERROR(W51/G51,""))</f>
        <v/>
      </c>
      <c r="Y51" s="47"/>
    </row>
    <row r="52" customFormat="false" ht="15" hidden="false" customHeight="false" outlineLevel="0" collapsed="false">
      <c r="A52" s="44" t="n">
        <v>46341</v>
      </c>
      <c r="B52" s="20" t="str">
        <f aca="false">TEXT(A52,"ddd")</f>
        <v>Sun</v>
      </c>
      <c r="C52" s="6" t="n">
        <f aca="false">IF(A52&gt;=Inputs!$C$9,1,0)</f>
        <v>1</v>
      </c>
      <c r="D52" s="6" t="n">
        <f aca="false">IF(C52=1,A52-Inputs!$C$9+1,"")</f>
        <v>41</v>
      </c>
      <c r="E52" s="51" t="n">
        <f aca="false">IF(C52=1,MIN(1,D52/Inputs!$C$29),0)</f>
        <v>1</v>
      </c>
      <c r="F52" s="6" t="n">
        <f aca="false">Inputs!$C$13+(Inputs!$C$32-Inputs!$C$13)*E52</f>
        <v>1073.06666666667</v>
      </c>
      <c r="G52" s="45"/>
      <c r="H52" s="7" t="str">
        <f aca="false">IF(G52="","",IFERROR(G52/F52-1,""))</f>
        <v/>
      </c>
      <c r="I52" s="6" t="n">
        <f aca="false">Inputs!$C$14+(Inputs!$C$24-Inputs!$C$14)*E52</f>
        <v>670.666666666667</v>
      </c>
      <c r="J52" s="45"/>
      <c r="K52" s="7" t="str">
        <f aca="false">IF(J52="","",IFERROR(J52/I52-1,""))</f>
        <v/>
      </c>
      <c r="L52" s="52" t="str">
        <f aca="false">IF(OR(G52="",J52=""),"",IFERROR(G52/J52,""))</f>
        <v/>
      </c>
      <c r="M52" s="53" t="str">
        <f aca="false">IF(OR(J52="",'Site Daily'!E52=""),"",IFERROR(J52/'Site Daily'!E52*1000,""))</f>
        <v/>
      </c>
      <c r="N52" s="53" t="n">
        <f aca="false">I52*(Inputs!$C$17+(Inputs!$C$26-Inputs!$C$17)*E52)</f>
        <v>75.45</v>
      </c>
      <c r="O52" s="45"/>
      <c r="P52" s="7" t="str">
        <f aca="false">IF(OR(O52="",J52=""),"",IFERROR(O52/J52,""))</f>
        <v/>
      </c>
      <c r="Q52" s="46"/>
      <c r="R52" s="8" t="n">
        <f aca="false">N52*(Inputs!$C$16+(Inputs!$C$27-Inputs!$C$16)*E52)</f>
        <v>135810</v>
      </c>
      <c r="S52" s="8" t="str">
        <f aca="false">IF(OR(O52="",Q52="",J52=""),"",IFERROR(O52*Q52/J52,""))</f>
        <v/>
      </c>
      <c r="T52" s="7" t="str">
        <f aca="false">IF(S52="","",IFERROR(S52/R52-1,""))</f>
        <v/>
      </c>
      <c r="U52" s="8" t="n">
        <f aca="false">C52*(R52-Inputs!$C$19)*Inputs!$C$28</f>
        <v>25545.6481444665</v>
      </c>
      <c r="V52" s="8" t="str">
        <f aca="false">IF(OR(C52=0,S52=""),"",(S52-Inputs!$C$19)*Inputs!$C$28)</f>
        <v/>
      </c>
      <c r="W52" s="45"/>
      <c r="X52" s="7" t="str">
        <f aca="false">IF(OR(W52="",G52=""),"",IFERROR(W52/G52,""))</f>
        <v/>
      </c>
      <c r="Y52" s="47"/>
    </row>
    <row r="53" customFormat="false" ht="15" hidden="false" customHeight="false" outlineLevel="0" collapsed="false">
      <c r="A53" s="44" t="n">
        <v>46342</v>
      </c>
      <c r="B53" s="20" t="str">
        <f aca="false">TEXT(A53,"ddd")</f>
        <v>Mon</v>
      </c>
      <c r="C53" s="6" t="n">
        <f aca="false">IF(A53&gt;=Inputs!$C$9,1,0)</f>
        <v>1</v>
      </c>
      <c r="D53" s="6" t="n">
        <f aca="false">IF(C53=1,A53-Inputs!$C$9+1,"")</f>
        <v>42</v>
      </c>
      <c r="E53" s="51" t="n">
        <f aca="false">IF(C53=1,MIN(1,D53/Inputs!$C$29),0)</f>
        <v>1</v>
      </c>
      <c r="F53" s="6" t="n">
        <f aca="false">Inputs!$C$13+(Inputs!$C$32-Inputs!$C$13)*E53</f>
        <v>1073.06666666667</v>
      </c>
      <c r="G53" s="45"/>
      <c r="H53" s="7" t="str">
        <f aca="false">IF(G53="","",IFERROR(G53/F53-1,""))</f>
        <v/>
      </c>
      <c r="I53" s="6" t="n">
        <f aca="false">Inputs!$C$14+(Inputs!$C$24-Inputs!$C$14)*E53</f>
        <v>670.666666666667</v>
      </c>
      <c r="J53" s="45"/>
      <c r="K53" s="7" t="str">
        <f aca="false">IF(J53="","",IFERROR(J53/I53-1,""))</f>
        <v/>
      </c>
      <c r="L53" s="52" t="str">
        <f aca="false">IF(OR(G53="",J53=""),"",IFERROR(G53/J53,""))</f>
        <v/>
      </c>
      <c r="M53" s="53" t="str">
        <f aca="false">IF(OR(J53="",'Site Daily'!E53=""),"",IFERROR(J53/'Site Daily'!E53*1000,""))</f>
        <v/>
      </c>
      <c r="N53" s="53" t="n">
        <f aca="false">I53*(Inputs!$C$17+(Inputs!$C$26-Inputs!$C$17)*E53)</f>
        <v>75.45</v>
      </c>
      <c r="O53" s="45"/>
      <c r="P53" s="7" t="str">
        <f aca="false">IF(OR(O53="",J53=""),"",IFERROR(O53/J53,""))</f>
        <v/>
      </c>
      <c r="Q53" s="46"/>
      <c r="R53" s="8" t="n">
        <f aca="false">N53*(Inputs!$C$16+(Inputs!$C$27-Inputs!$C$16)*E53)</f>
        <v>135810</v>
      </c>
      <c r="S53" s="8" t="str">
        <f aca="false">IF(OR(O53="",Q53="",J53=""),"",IFERROR(O53*Q53/J53,""))</f>
        <v/>
      </c>
      <c r="T53" s="7" t="str">
        <f aca="false">IF(S53="","",IFERROR(S53/R53-1,""))</f>
        <v/>
      </c>
      <c r="U53" s="8" t="n">
        <f aca="false">C53*(R53-Inputs!$C$19)*Inputs!$C$28</f>
        <v>25545.6481444665</v>
      </c>
      <c r="V53" s="8" t="str">
        <f aca="false">IF(OR(C53=0,S53=""),"",(S53-Inputs!$C$19)*Inputs!$C$28)</f>
        <v/>
      </c>
      <c r="W53" s="45"/>
      <c r="X53" s="7" t="str">
        <f aca="false">IF(OR(W53="",G53=""),"",IFERROR(W53/G53,""))</f>
        <v/>
      </c>
      <c r="Y53" s="47"/>
    </row>
    <row r="54" customFormat="false" ht="15" hidden="false" customHeight="false" outlineLevel="0" collapsed="false">
      <c r="A54" s="44" t="n">
        <v>46343</v>
      </c>
      <c r="B54" s="20" t="str">
        <f aca="false">TEXT(A54,"ddd")</f>
        <v>Tue</v>
      </c>
      <c r="C54" s="6" t="n">
        <f aca="false">IF(A54&gt;=Inputs!$C$9,1,0)</f>
        <v>1</v>
      </c>
      <c r="D54" s="6" t="n">
        <f aca="false">IF(C54=1,A54-Inputs!$C$9+1,"")</f>
        <v>43</v>
      </c>
      <c r="E54" s="51" t="n">
        <f aca="false">IF(C54=1,MIN(1,D54/Inputs!$C$29),0)</f>
        <v>1</v>
      </c>
      <c r="F54" s="6" t="n">
        <f aca="false">Inputs!$C$13+(Inputs!$C$32-Inputs!$C$13)*E54</f>
        <v>1073.06666666667</v>
      </c>
      <c r="G54" s="45"/>
      <c r="H54" s="7" t="str">
        <f aca="false">IF(G54="","",IFERROR(G54/F54-1,""))</f>
        <v/>
      </c>
      <c r="I54" s="6" t="n">
        <f aca="false">Inputs!$C$14+(Inputs!$C$24-Inputs!$C$14)*E54</f>
        <v>670.666666666667</v>
      </c>
      <c r="J54" s="45"/>
      <c r="K54" s="7" t="str">
        <f aca="false">IF(J54="","",IFERROR(J54/I54-1,""))</f>
        <v/>
      </c>
      <c r="L54" s="52" t="str">
        <f aca="false">IF(OR(G54="",J54=""),"",IFERROR(G54/J54,""))</f>
        <v/>
      </c>
      <c r="M54" s="53" t="str">
        <f aca="false">IF(OR(J54="",'Site Daily'!E54=""),"",IFERROR(J54/'Site Daily'!E54*1000,""))</f>
        <v/>
      </c>
      <c r="N54" s="53" t="n">
        <f aca="false">I54*(Inputs!$C$17+(Inputs!$C$26-Inputs!$C$17)*E54)</f>
        <v>75.45</v>
      </c>
      <c r="O54" s="45"/>
      <c r="P54" s="7" t="str">
        <f aca="false">IF(OR(O54="",J54=""),"",IFERROR(O54/J54,""))</f>
        <v/>
      </c>
      <c r="Q54" s="46"/>
      <c r="R54" s="8" t="n">
        <f aca="false">N54*(Inputs!$C$16+(Inputs!$C$27-Inputs!$C$16)*E54)</f>
        <v>135810</v>
      </c>
      <c r="S54" s="8" t="str">
        <f aca="false">IF(OR(O54="",Q54="",J54=""),"",IFERROR(O54*Q54/J54,""))</f>
        <v/>
      </c>
      <c r="T54" s="7" t="str">
        <f aca="false">IF(S54="","",IFERROR(S54/R54-1,""))</f>
        <v/>
      </c>
      <c r="U54" s="8" t="n">
        <f aca="false">C54*(R54-Inputs!$C$19)*Inputs!$C$28</f>
        <v>25545.6481444665</v>
      </c>
      <c r="V54" s="8" t="str">
        <f aca="false">IF(OR(C54=0,S54=""),"",(S54-Inputs!$C$19)*Inputs!$C$28)</f>
        <v/>
      </c>
      <c r="W54" s="45"/>
      <c r="X54" s="7" t="str">
        <f aca="false">IF(OR(W54="",G54=""),"",IFERROR(W54/G54,""))</f>
        <v/>
      </c>
      <c r="Y54" s="47"/>
    </row>
    <row r="55" customFormat="false" ht="15" hidden="false" customHeight="false" outlineLevel="0" collapsed="false">
      <c r="A55" s="44" t="n">
        <v>46344</v>
      </c>
      <c r="B55" s="20" t="str">
        <f aca="false">TEXT(A55,"ddd")</f>
        <v>Wed</v>
      </c>
      <c r="C55" s="6" t="n">
        <f aca="false">IF(A55&gt;=Inputs!$C$9,1,0)</f>
        <v>1</v>
      </c>
      <c r="D55" s="6" t="n">
        <f aca="false">IF(C55=1,A55-Inputs!$C$9+1,"")</f>
        <v>44</v>
      </c>
      <c r="E55" s="51" t="n">
        <f aca="false">IF(C55=1,MIN(1,D55/Inputs!$C$29),0)</f>
        <v>1</v>
      </c>
      <c r="F55" s="6" t="n">
        <f aca="false">Inputs!$C$13+(Inputs!$C$32-Inputs!$C$13)*E55</f>
        <v>1073.06666666667</v>
      </c>
      <c r="G55" s="45"/>
      <c r="H55" s="7" t="str">
        <f aca="false">IF(G55="","",IFERROR(G55/F55-1,""))</f>
        <v/>
      </c>
      <c r="I55" s="6" t="n">
        <f aca="false">Inputs!$C$14+(Inputs!$C$24-Inputs!$C$14)*E55</f>
        <v>670.666666666667</v>
      </c>
      <c r="J55" s="45"/>
      <c r="K55" s="7" t="str">
        <f aca="false">IF(J55="","",IFERROR(J55/I55-1,""))</f>
        <v/>
      </c>
      <c r="L55" s="52" t="str">
        <f aca="false">IF(OR(G55="",J55=""),"",IFERROR(G55/J55,""))</f>
        <v/>
      </c>
      <c r="M55" s="53" t="str">
        <f aca="false">IF(OR(J55="",'Site Daily'!E55=""),"",IFERROR(J55/'Site Daily'!E55*1000,""))</f>
        <v/>
      </c>
      <c r="N55" s="53" t="n">
        <f aca="false">I55*(Inputs!$C$17+(Inputs!$C$26-Inputs!$C$17)*E55)</f>
        <v>75.45</v>
      </c>
      <c r="O55" s="45"/>
      <c r="P55" s="7" t="str">
        <f aca="false">IF(OR(O55="",J55=""),"",IFERROR(O55/J55,""))</f>
        <v/>
      </c>
      <c r="Q55" s="46"/>
      <c r="R55" s="8" t="n">
        <f aca="false">N55*(Inputs!$C$16+(Inputs!$C$27-Inputs!$C$16)*E55)</f>
        <v>135810</v>
      </c>
      <c r="S55" s="8" t="str">
        <f aca="false">IF(OR(O55="",Q55="",J55=""),"",IFERROR(O55*Q55/J55,""))</f>
        <v/>
      </c>
      <c r="T55" s="7" t="str">
        <f aca="false">IF(S55="","",IFERROR(S55/R55-1,""))</f>
        <v/>
      </c>
      <c r="U55" s="8" t="n">
        <f aca="false">C55*(R55-Inputs!$C$19)*Inputs!$C$28</f>
        <v>25545.6481444665</v>
      </c>
      <c r="V55" s="8" t="str">
        <f aca="false">IF(OR(C55=0,S55=""),"",(S55-Inputs!$C$19)*Inputs!$C$28)</f>
        <v/>
      </c>
      <c r="W55" s="45"/>
      <c r="X55" s="7" t="str">
        <f aca="false">IF(OR(W55="",G55=""),"",IFERROR(W55/G55,""))</f>
        <v/>
      </c>
      <c r="Y55" s="47"/>
    </row>
    <row r="56" customFormat="false" ht="15" hidden="false" customHeight="false" outlineLevel="0" collapsed="false">
      <c r="A56" s="44" t="n">
        <v>46345</v>
      </c>
      <c r="B56" s="20" t="str">
        <f aca="false">TEXT(A56,"ddd")</f>
        <v>Thu</v>
      </c>
      <c r="C56" s="6" t="n">
        <f aca="false">IF(A56&gt;=Inputs!$C$9,1,0)</f>
        <v>1</v>
      </c>
      <c r="D56" s="6" t="n">
        <f aca="false">IF(C56=1,A56-Inputs!$C$9+1,"")</f>
        <v>45</v>
      </c>
      <c r="E56" s="51" t="n">
        <f aca="false">IF(C56=1,MIN(1,D56/Inputs!$C$29),0)</f>
        <v>1</v>
      </c>
      <c r="F56" s="6" t="n">
        <f aca="false">Inputs!$C$13+(Inputs!$C$32-Inputs!$C$13)*E56</f>
        <v>1073.06666666667</v>
      </c>
      <c r="G56" s="45"/>
      <c r="H56" s="7" t="str">
        <f aca="false">IF(G56="","",IFERROR(G56/F56-1,""))</f>
        <v/>
      </c>
      <c r="I56" s="6" t="n">
        <f aca="false">Inputs!$C$14+(Inputs!$C$24-Inputs!$C$14)*E56</f>
        <v>670.666666666667</v>
      </c>
      <c r="J56" s="45"/>
      <c r="K56" s="7" t="str">
        <f aca="false">IF(J56="","",IFERROR(J56/I56-1,""))</f>
        <v/>
      </c>
      <c r="L56" s="52" t="str">
        <f aca="false">IF(OR(G56="",J56=""),"",IFERROR(G56/J56,""))</f>
        <v/>
      </c>
      <c r="M56" s="53" t="str">
        <f aca="false">IF(OR(J56="",'Site Daily'!E56=""),"",IFERROR(J56/'Site Daily'!E56*1000,""))</f>
        <v/>
      </c>
      <c r="N56" s="53" t="n">
        <f aca="false">I56*(Inputs!$C$17+(Inputs!$C$26-Inputs!$C$17)*E56)</f>
        <v>75.45</v>
      </c>
      <c r="O56" s="45"/>
      <c r="P56" s="7" t="str">
        <f aca="false">IF(OR(O56="",J56=""),"",IFERROR(O56/J56,""))</f>
        <v/>
      </c>
      <c r="Q56" s="46"/>
      <c r="R56" s="8" t="n">
        <f aca="false">N56*(Inputs!$C$16+(Inputs!$C$27-Inputs!$C$16)*E56)</f>
        <v>135810</v>
      </c>
      <c r="S56" s="8" t="str">
        <f aca="false">IF(OR(O56="",Q56="",J56=""),"",IFERROR(O56*Q56/J56,""))</f>
        <v/>
      </c>
      <c r="T56" s="7" t="str">
        <f aca="false">IF(S56="","",IFERROR(S56/R56-1,""))</f>
        <v/>
      </c>
      <c r="U56" s="8" t="n">
        <f aca="false">C56*(R56-Inputs!$C$19)*Inputs!$C$28</f>
        <v>25545.6481444665</v>
      </c>
      <c r="V56" s="8" t="str">
        <f aca="false">IF(OR(C56=0,S56=""),"",(S56-Inputs!$C$19)*Inputs!$C$28)</f>
        <v/>
      </c>
      <c r="W56" s="45"/>
      <c r="X56" s="7" t="str">
        <f aca="false">IF(OR(W56="",G56=""),"",IFERROR(W56/G56,""))</f>
        <v/>
      </c>
      <c r="Y56" s="47"/>
    </row>
    <row r="57" customFormat="false" ht="15" hidden="false" customHeight="false" outlineLevel="0" collapsed="false">
      <c r="A57" s="44" t="n">
        <v>46346</v>
      </c>
      <c r="B57" s="20" t="str">
        <f aca="false">TEXT(A57,"ddd")</f>
        <v>Fri</v>
      </c>
      <c r="C57" s="6" t="n">
        <f aca="false">IF(A57&gt;=Inputs!$C$9,1,0)</f>
        <v>1</v>
      </c>
      <c r="D57" s="6" t="n">
        <f aca="false">IF(C57=1,A57-Inputs!$C$9+1,"")</f>
        <v>46</v>
      </c>
      <c r="E57" s="51" t="n">
        <f aca="false">IF(C57=1,MIN(1,D57/Inputs!$C$29),0)</f>
        <v>1</v>
      </c>
      <c r="F57" s="6" t="n">
        <f aca="false">Inputs!$C$13+(Inputs!$C$32-Inputs!$C$13)*E57</f>
        <v>1073.06666666667</v>
      </c>
      <c r="G57" s="45"/>
      <c r="H57" s="7" t="str">
        <f aca="false">IF(G57="","",IFERROR(G57/F57-1,""))</f>
        <v/>
      </c>
      <c r="I57" s="6" t="n">
        <f aca="false">Inputs!$C$14+(Inputs!$C$24-Inputs!$C$14)*E57</f>
        <v>670.666666666667</v>
      </c>
      <c r="J57" s="45"/>
      <c r="K57" s="7" t="str">
        <f aca="false">IF(J57="","",IFERROR(J57/I57-1,""))</f>
        <v/>
      </c>
      <c r="L57" s="52" t="str">
        <f aca="false">IF(OR(G57="",J57=""),"",IFERROR(G57/J57,""))</f>
        <v/>
      </c>
      <c r="M57" s="53" t="str">
        <f aca="false">IF(OR(J57="",'Site Daily'!E57=""),"",IFERROR(J57/'Site Daily'!E57*1000,""))</f>
        <v/>
      </c>
      <c r="N57" s="53" t="n">
        <f aca="false">I57*(Inputs!$C$17+(Inputs!$C$26-Inputs!$C$17)*E57)</f>
        <v>75.45</v>
      </c>
      <c r="O57" s="45"/>
      <c r="P57" s="7" t="str">
        <f aca="false">IF(OR(O57="",J57=""),"",IFERROR(O57/J57,""))</f>
        <v/>
      </c>
      <c r="Q57" s="46"/>
      <c r="R57" s="8" t="n">
        <f aca="false">N57*(Inputs!$C$16+(Inputs!$C$27-Inputs!$C$16)*E57)</f>
        <v>135810</v>
      </c>
      <c r="S57" s="8" t="str">
        <f aca="false">IF(OR(O57="",Q57="",J57=""),"",IFERROR(O57*Q57/J57,""))</f>
        <v/>
      </c>
      <c r="T57" s="7" t="str">
        <f aca="false">IF(S57="","",IFERROR(S57/R57-1,""))</f>
        <v/>
      </c>
      <c r="U57" s="8" t="n">
        <f aca="false">C57*(R57-Inputs!$C$19)*Inputs!$C$28</f>
        <v>25545.6481444665</v>
      </c>
      <c r="V57" s="8" t="str">
        <f aca="false">IF(OR(C57=0,S57=""),"",(S57-Inputs!$C$19)*Inputs!$C$28)</f>
        <v/>
      </c>
      <c r="W57" s="45"/>
      <c r="X57" s="7" t="str">
        <f aca="false">IF(OR(W57="",G57=""),"",IFERROR(W57/G57,""))</f>
        <v/>
      </c>
      <c r="Y57" s="47"/>
    </row>
    <row r="58" customFormat="false" ht="15" hidden="false" customHeight="false" outlineLevel="0" collapsed="false">
      <c r="A58" s="44" t="n">
        <v>46347</v>
      </c>
      <c r="B58" s="20" t="str">
        <f aca="false">TEXT(A58,"ddd")</f>
        <v>Sat</v>
      </c>
      <c r="C58" s="6" t="n">
        <f aca="false">IF(A58&gt;=Inputs!$C$9,1,0)</f>
        <v>1</v>
      </c>
      <c r="D58" s="6" t="n">
        <f aca="false">IF(C58=1,A58-Inputs!$C$9+1,"")</f>
        <v>47</v>
      </c>
      <c r="E58" s="51" t="n">
        <f aca="false">IF(C58=1,MIN(1,D58/Inputs!$C$29),0)</f>
        <v>1</v>
      </c>
      <c r="F58" s="6" t="n">
        <f aca="false">Inputs!$C$13+(Inputs!$C$32-Inputs!$C$13)*E58</f>
        <v>1073.06666666667</v>
      </c>
      <c r="G58" s="45"/>
      <c r="H58" s="7" t="str">
        <f aca="false">IF(G58="","",IFERROR(G58/F58-1,""))</f>
        <v/>
      </c>
      <c r="I58" s="6" t="n">
        <f aca="false">Inputs!$C$14+(Inputs!$C$24-Inputs!$C$14)*E58</f>
        <v>670.666666666667</v>
      </c>
      <c r="J58" s="45"/>
      <c r="K58" s="7" t="str">
        <f aca="false">IF(J58="","",IFERROR(J58/I58-1,""))</f>
        <v/>
      </c>
      <c r="L58" s="52" t="str">
        <f aca="false">IF(OR(G58="",J58=""),"",IFERROR(G58/J58,""))</f>
        <v/>
      </c>
      <c r="M58" s="53" t="str">
        <f aca="false">IF(OR(J58="",'Site Daily'!E58=""),"",IFERROR(J58/'Site Daily'!E58*1000,""))</f>
        <v/>
      </c>
      <c r="N58" s="53" t="n">
        <f aca="false">I58*(Inputs!$C$17+(Inputs!$C$26-Inputs!$C$17)*E58)</f>
        <v>75.45</v>
      </c>
      <c r="O58" s="45"/>
      <c r="P58" s="7" t="str">
        <f aca="false">IF(OR(O58="",J58=""),"",IFERROR(O58/J58,""))</f>
        <v/>
      </c>
      <c r="Q58" s="46"/>
      <c r="R58" s="8" t="n">
        <f aca="false">N58*(Inputs!$C$16+(Inputs!$C$27-Inputs!$C$16)*E58)</f>
        <v>135810</v>
      </c>
      <c r="S58" s="8" t="str">
        <f aca="false">IF(OR(O58="",Q58="",J58=""),"",IFERROR(O58*Q58/J58,""))</f>
        <v/>
      </c>
      <c r="T58" s="7" t="str">
        <f aca="false">IF(S58="","",IFERROR(S58/R58-1,""))</f>
        <v/>
      </c>
      <c r="U58" s="8" t="n">
        <f aca="false">C58*(R58-Inputs!$C$19)*Inputs!$C$28</f>
        <v>25545.6481444665</v>
      </c>
      <c r="V58" s="8" t="str">
        <f aca="false">IF(OR(C58=0,S58=""),"",(S58-Inputs!$C$19)*Inputs!$C$28)</f>
        <v/>
      </c>
      <c r="W58" s="45"/>
      <c r="X58" s="7" t="str">
        <f aca="false">IF(OR(W58="",G58=""),"",IFERROR(W58/G58,""))</f>
        <v/>
      </c>
      <c r="Y58" s="47"/>
    </row>
    <row r="59" customFormat="false" ht="15" hidden="false" customHeight="false" outlineLevel="0" collapsed="false">
      <c r="A59" s="44" t="n">
        <v>46348</v>
      </c>
      <c r="B59" s="20" t="str">
        <f aca="false">TEXT(A59,"ddd")</f>
        <v>Sun</v>
      </c>
      <c r="C59" s="6" t="n">
        <f aca="false">IF(A59&gt;=Inputs!$C$9,1,0)</f>
        <v>1</v>
      </c>
      <c r="D59" s="6" t="n">
        <f aca="false">IF(C59=1,A59-Inputs!$C$9+1,"")</f>
        <v>48</v>
      </c>
      <c r="E59" s="51" t="n">
        <f aca="false">IF(C59=1,MIN(1,D59/Inputs!$C$29),0)</f>
        <v>1</v>
      </c>
      <c r="F59" s="6" t="n">
        <f aca="false">Inputs!$C$13+(Inputs!$C$32-Inputs!$C$13)*E59</f>
        <v>1073.06666666667</v>
      </c>
      <c r="G59" s="45"/>
      <c r="H59" s="7" t="str">
        <f aca="false">IF(G59="","",IFERROR(G59/F59-1,""))</f>
        <v/>
      </c>
      <c r="I59" s="6" t="n">
        <f aca="false">Inputs!$C$14+(Inputs!$C$24-Inputs!$C$14)*E59</f>
        <v>670.666666666667</v>
      </c>
      <c r="J59" s="45"/>
      <c r="K59" s="7" t="str">
        <f aca="false">IF(J59="","",IFERROR(J59/I59-1,""))</f>
        <v/>
      </c>
      <c r="L59" s="52" t="str">
        <f aca="false">IF(OR(G59="",J59=""),"",IFERROR(G59/J59,""))</f>
        <v/>
      </c>
      <c r="M59" s="53" t="str">
        <f aca="false">IF(OR(J59="",'Site Daily'!E59=""),"",IFERROR(J59/'Site Daily'!E59*1000,""))</f>
        <v/>
      </c>
      <c r="N59" s="53" t="n">
        <f aca="false">I59*(Inputs!$C$17+(Inputs!$C$26-Inputs!$C$17)*E59)</f>
        <v>75.45</v>
      </c>
      <c r="O59" s="45"/>
      <c r="P59" s="7" t="str">
        <f aca="false">IF(OR(O59="",J59=""),"",IFERROR(O59/J59,""))</f>
        <v/>
      </c>
      <c r="Q59" s="46"/>
      <c r="R59" s="8" t="n">
        <f aca="false">N59*(Inputs!$C$16+(Inputs!$C$27-Inputs!$C$16)*E59)</f>
        <v>135810</v>
      </c>
      <c r="S59" s="8" t="str">
        <f aca="false">IF(OR(O59="",Q59="",J59=""),"",IFERROR(O59*Q59/J59,""))</f>
        <v/>
      </c>
      <c r="T59" s="7" t="str">
        <f aca="false">IF(S59="","",IFERROR(S59/R59-1,""))</f>
        <v/>
      </c>
      <c r="U59" s="8" t="n">
        <f aca="false">C59*(R59-Inputs!$C$19)*Inputs!$C$28</f>
        <v>25545.6481444665</v>
      </c>
      <c r="V59" s="8" t="str">
        <f aca="false">IF(OR(C59=0,S59=""),"",(S59-Inputs!$C$19)*Inputs!$C$28)</f>
        <v/>
      </c>
      <c r="W59" s="45"/>
      <c r="X59" s="7" t="str">
        <f aca="false">IF(OR(W59="",G59=""),"",IFERROR(W59/G59,""))</f>
        <v/>
      </c>
      <c r="Y59" s="47"/>
    </row>
    <row r="60" customFormat="false" ht="15" hidden="false" customHeight="false" outlineLevel="0" collapsed="false">
      <c r="A60" s="44" t="n">
        <v>46349</v>
      </c>
      <c r="B60" s="20" t="str">
        <f aca="false">TEXT(A60,"ddd")</f>
        <v>Mon</v>
      </c>
      <c r="C60" s="6" t="n">
        <f aca="false">IF(A60&gt;=Inputs!$C$9,1,0)</f>
        <v>1</v>
      </c>
      <c r="D60" s="6" t="n">
        <f aca="false">IF(C60=1,A60-Inputs!$C$9+1,"")</f>
        <v>49</v>
      </c>
      <c r="E60" s="51" t="n">
        <f aca="false">IF(C60=1,MIN(1,D60/Inputs!$C$29),0)</f>
        <v>1</v>
      </c>
      <c r="F60" s="6" t="n">
        <f aca="false">Inputs!$C$13+(Inputs!$C$32-Inputs!$C$13)*E60</f>
        <v>1073.06666666667</v>
      </c>
      <c r="G60" s="45"/>
      <c r="H60" s="7" t="str">
        <f aca="false">IF(G60="","",IFERROR(G60/F60-1,""))</f>
        <v/>
      </c>
      <c r="I60" s="6" t="n">
        <f aca="false">Inputs!$C$14+(Inputs!$C$24-Inputs!$C$14)*E60</f>
        <v>670.666666666667</v>
      </c>
      <c r="J60" s="45"/>
      <c r="K60" s="7" t="str">
        <f aca="false">IF(J60="","",IFERROR(J60/I60-1,""))</f>
        <v/>
      </c>
      <c r="L60" s="52" t="str">
        <f aca="false">IF(OR(G60="",J60=""),"",IFERROR(G60/J60,""))</f>
        <v/>
      </c>
      <c r="M60" s="53" t="str">
        <f aca="false">IF(OR(J60="",'Site Daily'!E60=""),"",IFERROR(J60/'Site Daily'!E60*1000,""))</f>
        <v/>
      </c>
      <c r="N60" s="53" t="n">
        <f aca="false">I60*(Inputs!$C$17+(Inputs!$C$26-Inputs!$C$17)*E60)</f>
        <v>75.45</v>
      </c>
      <c r="O60" s="45"/>
      <c r="P60" s="7" t="str">
        <f aca="false">IF(OR(O60="",J60=""),"",IFERROR(O60/J60,""))</f>
        <v/>
      </c>
      <c r="Q60" s="46"/>
      <c r="R60" s="8" t="n">
        <f aca="false">N60*(Inputs!$C$16+(Inputs!$C$27-Inputs!$C$16)*E60)</f>
        <v>135810</v>
      </c>
      <c r="S60" s="8" t="str">
        <f aca="false">IF(OR(O60="",Q60="",J60=""),"",IFERROR(O60*Q60/J60,""))</f>
        <v/>
      </c>
      <c r="T60" s="7" t="str">
        <f aca="false">IF(S60="","",IFERROR(S60/R60-1,""))</f>
        <v/>
      </c>
      <c r="U60" s="8" t="n">
        <f aca="false">C60*(R60-Inputs!$C$19)*Inputs!$C$28</f>
        <v>25545.6481444665</v>
      </c>
      <c r="V60" s="8" t="str">
        <f aca="false">IF(OR(C60=0,S60=""),"",(S60-Inputs!$C$19)*Inputs!$C$28)</f>
        <v/>
      </c>
      <c r="W60" s="45"/>
      <c r="X60" s="7" t="str">
        <f aca="false">IF(OR(W60="",G60=""),"",IFERROR(W60/G60,""))</f>
        <v/>
      </c>
      <c r="Y60" s="47"/>
    </row>
    <row r="61" customFormat="false" ht="15" hidden="false" customHeight="false" outlineLevel="0" collapsed="false">
      <c r="A61" s="44" t="n">
        <v>46350</v>
      </c>
      <c r="B61" s="20" t="str">
        <f aca="false">TEXT(A61,"ddd")</f>
        <v>Tue</v>
      </c>
      <c r="C61" s="6" t="n">
        <f aca="false">IF(A61&gt;=Inputs!$C$9,1,0)</f>
        <v>1</v>
      </c>
      <c r="D61" s="6" t="n">
        <f aca="false">IF(C61=1,A61-Inputs!$C$9+1,"")</f>
        <v>50</v>
      </c>
      <c r="E61" s="51" t="n">
        <f aca="false">IF(C61=1,MIN(1,D61/Inputs!$C$29),0)</f>
        <v>1</v>
      </c>
      <c r="F61" s="6" t="n">
        <f aca="false">Inputs!$C$13+(Inputs!$C$32-Inputs!$C$13)*E61</f>
        <v>1073.06666666667</v>
      </c>
      <c r="G61" s="45"/>
      <c r="H61" s="7" t="str">
        <f aca="false">IF(G61="","",IFERROR(G61/F61-1,""))</f>
        <v/>
      </c>
      <c r="I61" s="6" t="n">
        <f aca="false">Inputs!$C$14+(Inputs!$C$24-Inputs!$C$14)*E61</f>
        <v>670.666666666667</v>
      </c>
      <c r="J61" s="45"/>
      <c r="K61" s="7" t="str">
        <f aca="false">IF(J61="","",IFERROR(J61/I61-1,""))</f>
        <v/>
      </c>
      <c r="L61" s="52" t="str">
        <f aca="false">IF(OR(G61="",J61=""),"",IFERROR(G61/J61,""))</f>
        <v/>
      </c>
      <c r="M61" s="53" t="str">
        <f aca="false">IF(OR(J61="",'Site Daily'!E61=""),"",IFERROR(J61/'Site Daily'!E61*1000,""))</f>
        <v/>
      </c>
      <c r="N61" s="53" t="n">
        <f aca="false">I61*(Inputs!$C$17+(Inputs!$C$26-Inputs!$C$17)*E61)</f>
        <v>75.45</v>
      </c>
      <c r="O61" s="45"/>
      <c r="P61" s="7" t="str">
        <f aca="false">IF(OR(O61="",J61=""),"",IFERROR(O61/J61,""))</f>
        <v/>
      </c>
      <c r="Q61" s="46"/>
      <c r="R61" s="8" t="n">
        <f aca="false">N61*(Inputs!$C$16+(Inputs!$C$27-Inputs!$C$16)*E61)</f>
        <v>135810</v>
      </c>
      <c r="S61" s="8" t="str">
        <f aca="false">IF(OR(O61="",Q61="",J61=""),"",IFERROR(O61*Q61/J61,""))</f>
        <v/>
      </c>
      <c r="T61" s="7" t="str">
        <f aca="false">IF(S61="","",IFERROR(S61/R61-1,""))</f>
        <v/>
      </c>
      <c r="U61" s="8" t="n">
        <f aca="false">C61*(R61-Inputs!$C$19)*Inputs!$C$28</f>
        <v>25545.6481444665</v>
      </c>
      <c r="V61" s="8" t="str">
        <f aca="false">IF(OR(C61=0,S61=""),"",(S61-Inputs!$C$19)*Inputs!$C$28)</f>
        <v/>
      </c>
      <c r="W61" s="45"/>
      <c r="X61" s="7" t="str">
        <f aca="false">IF(OR(W61="",G61=""),"",IFERROR(W61/G61,""))</f>
        <v/>
      </c>
      <c r="Y61" s="47"/>
    </row>
    <row r="62" customFormat="false" ht="15" hidden="false" customHeight="false" outlineLevel="0" collapsed="false">
      <c r="A62" s="44" t="n">
        <v>46351</v>
      </c>
      <c r="B62" s="20" t="str">
        <f aca="false">TEXT(A62,"ddd")</f>
        <v>Wed</v>
      </c>
      <c r="C62" s="6" t="n">
        <f aca="false">IF(A62&gt;=Inputs!$C$9,1,0)</f>
        <v>1</v>
      </c>
      <c r="D62" s="6" t="n">
        <f aca="false">IF(C62=1,A62-Inputs!$C$9+1,"")</f>
        <v>51</v>
      </c>
      <c r="E62" s="51" t="n">
        <f aca="false">IF(C62=1,MIN(1,D62/Inputs!$C$29),0)</f>
        <v>1</v>
      </c>
      <c r="F62" s="6" t="n">
        <f aca="false">Inputs!$C$13+(Inputs!$C$32-Inputs!$C$13)*E62</f>
        <v>1073.06666666667</v>
      </c>
      <c r="G62" s="45"/>
      <c r="H62" s="7" t="str">
        <f aca="false">IF(G62="","",IFERROR(G62/F62-1,""))</f>
        <v/>
      </c>
      <c r="I62" s="6" t="n">
        <f aca="false">Inputs!$C$14+(Inputs!$C$24-Inputs!$C$14)*E62</f>
        <v>670.666666666667</v>
      </c>
      <c r="J62" s="45"/>
      <c r="K62" s="7" t="str">
        <f aca="false">IF(J62="","",IFERROR(J62/I62-1,""))</f>
        <v/>
      </c>
      <c r="L62" s="52" t="str">
        <f aca="false">IF(OR(G62="",J62=""),"",IFERROR(G62/J62,""))</f>
        <v/>
      </c>
      <c r="M62" s="53" t="str">
        <f aca="false">IF(OR(J62="",'Site Daily'!E62=""),"",IFERROR(J62/'Site Daily'!E62*1000,""))</f>
        <v/>
      </c>
      <c r="N62" s="53" t="n">
        <f aca="false">I62*(Inputs!$C$17+(Inputs!$C$26-Inputs!$C$17)*E62)</f>
        <v>75.45</v>
      </c>
      <c r="O62" s="45"/>
      <c r="P62" s="7" t="str">
        <f aca="false">IF(OR(O62="",J62=""),"",IFERROR(O62/J62,""))</f>
        <v/>
      </c>
      <c r="Q62" s="46"/>
      <c r="R62" s="8" t="n">
        <f aca="false">N62*(Inputs!$C$16+(Inputs!$C$27-Inputs!$C$16)*E62)</f>
        <v>135810</v>
      </c>
      <c r="S62" s="8" t="str">
        <f aca="false">IF(OR(O62="",Q62="",J62=""),"",IFERROR(O62*Q62/J62,""))</f>
        <v/>
      </c>
      <c r="T62" s="7" t="str">
        <f aca="false">IF(S62="","",IFERROR(S62/R62-1,""))</f>
        <v/>
      </c>
      <c r="U62" s="8" t="n">
        <f aca="false">C62*(R62-Inputs!$C$19)*Inputs!$C$28</f>
        <v>25545.6481444665</v>
      </c>
      <c r="V62" s="8" t="str">
        <f aca="false">IF(OR(C62=0,S62=""),"",(S62-Inputs!$C$19)*Inputs!$C$28)</f>
        <v/>
      </c>
      <c r="W62" s="45"/>
      <c r="X62" s="7" t="str">
        <f aca="false">IF(OR(W62="",G62=""),"",IFERROR(W62/G62,""))</f>
        <v/>
      </c>
      <c r="Y62" s="47"/>
    </row>
    <row r="63" customFormat="false" ht="15" hidden="false" customHeight="false" outlineLevel="0" collapsed="false">
      <c r="A63" s="44" t="n">
        <v>46352</v>
      </c>
      <c r="B63" s="20" t="str">
        <f aca="false">TEXT(A63,"ddd")</f>
        <v>Thu</v>
      </c>
      <c r="C63" s="6" t="n">
        <f aca="false">IF(A63&gt;=Inputs!$C$9,1,0)</f>
        <v>1</v>
      </c>
      <c r="D63" s="6" t="n">
        <f aca="false">IF(C63=1,A63-Inputs!$C$9+1,"")</f>
        <v>52</v>
      </c>
      <c r="E63" s="51" t="n">
        <f aca="false">IF(C63=1,MIN(1,D63/Inputs!$C$29),0)</f>
        <v>1</v>
      </c>
      <c r="F63" s="6" t="n">
        <f aca="false">Inputs!$C$13+(Inputs!$C$32-Inputs!$C$13)*E63</f>
        <v>1073.06666666667</v>
      </c>
      <c r="G63" s="45"/>
      <c r="H63" s="7" t="str">
        <f aca="false">IF(G63="","",IFERROR(G63/F63-1,""))</f>
        <v/>
      </c>
      <c r="I63" s="6" t="n">
        <f aca="false">Inputs!$C$14+(Inputs!$C$24-Inputs!$C$14)*E63</f>
        <v>670.666666666667</v>
      </c>
      <c r="J63" s="45"/>
      <c r="K63" s="7" t="str">
        <f aca="false">IF(J63="","",IFERROR(J63/I63-1,""))</f>
        <v/>
      </c>
      <c r="L63" s="52" t="str">
        <f aca="false">IF(OR(G63="",J63=""),"",IFERROR(G63/J63,""))</f>
        <v/>
      </c>
      <c r="M63" s="53" t="str">
        <f aca="false">IF(OR(J63="",'Site Daily'!E63=""),"",IFERROR(J63/'Site Daily'!E63*1000,""))</f>
        <v/>
      </c>
      <c r="N63" s="53" t="n">
        <f aca="false">I63*(Inputs!$C$17+(Inputs!$C$26-Inputs!$C$17)*E63)</f>
        <v>75.45</v>
      </c>
      <c r="O63" s="45"/>
      <c r="P63" s="7" t="str">
        <f aca="false">IF(OR(O63="",J63=""),"",IFERROR(O63/J63,""))</f>
        <v/>
      </c>
      <c r="Q63" s="46"/>
      <c r="R63" s="8" t="n">
        <f aca="false">N63*(Inputs!$C$16+(Inputs!$C$27-Inputs!$C$16)*E63)</f>
        <v>135810</v>
      </c>
      <c r="S63" s="8" t="str">
        <f aca="false">IF(OR(O63="",Q63="",J63=""),"",IFERROR(O63*Q63/J63,""))</f>
        <v/>
      </c>
      <c r="T63" s="7" t="str">
        <f aca="false">IF(S63="","",IFERROR(S63/R63-1,""))</f>
        <v/>
      </c>
      <c r="U63" s="8" t="n">
        <f aca="false">C63*(R63-Inputs!$C$19)*Inputs!$C$28</f>
        <v>25545.6481444665</v>
      </c>
      <c r="V63" s="8" t="str">
        <f aca="false">IF(OR(C63=0,S63=""),"",(S63-Inputs!$C$19)*Inputs!$C$28)</f>
        <v/>
      </c>
      <c r="W63" s="45"/>
      <c r="X63" s="7" t="str">
        <f aca="false">IF(OR(W63="",G63=""),"",IFERROR(W63/G63,""))</f>
        <v/>
      </c>
      <c r="Y63" s="47"/>
    </row>
    <row r="64" customFormat="false" ht="15" hidden="false" customHeight="false" outlineLevel="0" collapsed="false">
      <c r="A64" s="44" t="n">
        <v>46353</v>
      </c>
      <c r="B64" s="20" t="str">
        <f aca="false">TEXT(A64,"ddd")</f>
        <v>Fri</v>
      </c>
      <c r="C64" s="6" t="n">
        <f aca="false">IF(A64&gt;=Inputs!$C$9,1,0)</f>
        <v>1</v>
      </c>
      <c r="D64" s="6" t="n">
        <f aca="false">IF(C64=1,A64-Inputs!$C$9+1,"")</f>
        <v>53</v>
      </c>
      <c r="E64" s="51" t="n">
        <f aca="false">IF(C64=1,MIN(1,D64/Inputs!$C$29),0)</f>
        <v>1</v>
      </c>
      <c r="F64" s="6" t="n">
        <f aca="false">Inputs!$C$13+(Inputs!$C$32-Inputs!$C$13)*E64</f>
        <v>1073.06666666667</v>
      </c>
      <c r="G64" s="45"/>
      <c r="H64" s="7" t="str">
        <f aca="false">IF(G64="","",IFERROR(G64/F64-1,""))</f>
        <v/>
      </c>
      <c r="I64" s="6" t="n">
        <f aca="false">Inputs!$C$14+(Inputs!$C$24-Inputs!$C$14)*E64</f>
        <v>670.666666666667</v>
      </c>
      <c r="J64" s="45"/>
      <c r="K64" s="7" t="str">
        <f aca="false">IF(J64="","",IFERROR(J64/I64-1,""))</f>
        <v/>
      </c>
      <c r="L64" s="52" t="str">
        <f aca="false">IF(OR(G64="",J64=""),"",IFERROR(G64/J64,""))</f>
        <v/>
      </c>
      <c r="M64" s="53" t="str">
        <f aca="false">IF(OR(J64="",'Site Daily'!E64=""),"",IFERROR(J64/'Site Daily'!E64*1000,""))</f>
        <v/>
      </c>
      <c r="N64" s="53" t="n">
        <f aca="false">I64*(Inputs!$C$17+(Inputs!$C$26-Inputs!$C$17)*E64)</f>
        <v>75.45</v>
      </c>
      <c r="O64" s="45"/>
      <c r="P64" s="7" t="str">
        <f aca="false">IF(OR(O64="",J64=""),"",IFERROR(O64/J64,""))</f>
        <v/>
      </c>
      <c r="Q64" s="46"/>
      <c r="R64" s="8" t="n">
        <f aca="false">N64*(Inputs!$C$16+(Inputs!$C$27-Inputs!$C$16)*E64)</f>
        <v>135810</v>
      </c>
      <c r="S64" s="8" t="str">
        <f aca="false">IF(OR(O64="",Q64="",J64=""),"",IFERROR(O64*Q64/J64,""))</f>
        <v/>
      </c>
      <c r="T64" s="7" t="str">
        <f aca="false">IF(S64="","",IFERROR(S64/R64-1,""))</f>
        <v/>
      </c>
      <c r="U64" s="8" t="n">
        <f aca="false">C64*(R64-Inputs!$C$19)*Inputs!$C$28</f>
        <v>25545.6481444665</v>
      </c>
      <c r="V64" s="8" t="str">
        <f aca="false">IF(OR(C64=0,S64=""),"",(S64-Inputs!$C$19)*Inputs!$C$28)</f>
        <v/>
      </c>
      <c r="W64" s="45"/>
      <c r="X64" s="7" t="str">
        <f aca="false">IF(OR(W64="",G64=""),"",IFERROR(W64/G64,""))</f>
        <v/>
      </c>
      <c r="Y64" s="47"/>
    </row>
    <row r="65" customFormat="false" ht="15" hidden="false" customHeight="false" outlineLevel="0" collapsed="false">
      <c r="A65" s="44" t="n">
        <v>46354</v>
      </c>
      <c r="B65" s="20" t="str">
        <f aca="false">TEXT(A65,"ddd")</f>
        <v>Sat</v>
      </c>
      <c r="C65" s="6" t="n">
        <f aca="false">IF(A65&gt;=Inputs!$C$9,1,0)</f>
        <v>1</v>
      </c>
      <c r="D65" s="6" t="n">
        <f aca="false">IF(C65=1,A65-Inputs!$C$9+1,"")</f>
        <v>54</v>
      </c>
      <c r="E65" s="51" t="n">
        <f aca="false">IF(C65=1,MIN(1,D65/Inputs!$C$29),0)</f>
        <v>1</v>
      </c>
      <c r="F65" s="6" t="n">
        <f aca="false">Inputs!$C$13+(Inputs!$C$32-Inputs!$C$13)*E65</f>
        <v>1073.06666666667</v>
      </c>
      <c r="G65" s="45"/>
      <c r="H65" s="7" t="str">
        <f aca="false">IF(G65="","",IFERROR(G65/F65-1,""))</f>
        <v/>
      </c>
      <c r="I65" s="6" t="n">
        <f aca="false">Inputs!$C$14+(Inputs!$C$24-Inputs!$C$14)*E65</f>
        <v>670.666666666667</v>
      </c>
      <c r="J65" s="45"/>
      <c r="K65" s="7" t="str">
        <f aca="false">IF(J65="","",IFERROR(J65/I65-1,""))</f>
        <v/>
      </c>
      <c r="L65" s="52" t="str">
        <f aca="false">IF(OR(G65="",J65=""),"",IFERROR(G65/J65,""))</f>
        <v/>
      </c>
      <c r="M65" s="53" t="str">
        <f aca="false">IF(OR(J65="",'Site Daily'!E65=""),"",IFERROR(J65/'Site Daily'!E65*1000,""))</f>
        <v/>
      </c>
      <c r="N65" s="53" t="n">
        <f aca="false">I65*(Inputs!$C$17+(Inputs!$C$26-Inputs!$C$17)*E65)</f>
        <v>75.45</v>
      </c>
      <c r="O65" s="45"/>
      <c r="P65" s="7" t="str">
        <f aca="false">IF(OR(O65="",J65=""),"",IFERROR(O65/J65,""))</f>
        <v/>
      </c>
      <c r="Q65" s="46"/>
      <c r="R65" s="8" t="n">
        <f aca="false">N65*(Inputs!$C$16+(Inputs!$C$27-Inputs!$C$16)*E65)</f>
        <v>135810</v>
      </c>
      <c r="S65" s="8" t="str">
        <f aca="false">IF(OR(O65="",Q65="",J65=""),"",IFERROR(O65*Q65/J65,""))</f>
        <v/>
      </c>
      <c r="T65" s="7" t="str">
        <f aca="false">IF(S65="","",IFERROR(S65/R65-1,""))</f>
        <v/>
      </c>
      <c r="U65" s="8" t="n">
        <f aca="false">C65*(R65-Inputs!$C$19)*Inputs!$C$28</f>
        <v>25545.6481444665</v>
      </c>
      <c r="V65" s="8" t="str">
        <f aca="false">IF(OR(C65=0,S65=""),"",(S65-Inputs!$C$19)*Inputs!$C$28)</f>
        <v/>
      </c>
      <c r="W65" s="45"/>
      <c r="X65" s="7" t="str">
        <f aca="false">IF(OR(W65="",G65=""),"",IFERROR(W65/G65,""))</f>
        <v/>
      </c>
      <c r="Y65" s="47"/>
    </row>
    <row r="66" customFormat="false" ht="15" hidden="false" customHeight="false" outlineLevel="0" collapsed="false">
      <c r="A66" s="44" t="n">
        <v>46355</v>
      </c>
      <c r="B66" s="20" t="str">
        <f aca="false">TEXT(A66,"ddd")</f>
        <v>Sun</v>
      </c>
      <c r="C66" s="6" t="n">
        <f aca="false">IF(A66&gt;=Inputs!$C$9,1,0)</f>
        <v>1</v>
      </c>
      <c r="D66" s="6" t="n">
        <f aca="false">IF(C66=1,A66-Inputs!$C$9+1,"")</f>
        <v>55</v>
      </c>
      <c r="E66" s="51" t="n">
        <f aca="false">IF(C66=1,MIN(1,D66/Inputs!$C$29),0)</f>
        <v>1</v>
      </c>
      <c r="F66" s="6" t="n">
        <f aca="false">Inputs!$C$13+(Inputs!$C$32-Inputs!$C$13)*E66</f>
        <v>1073.06666666667</v>
      </c>
      <c r="G66" s="45"/>
      <c r="H66" s="7" t="str">
        <f aca="false">IF(G66="","",IFERROR(G66/F66-1,""))</f>
        <v/>
      </c>
      <c r="I66" s="6" t="n">
        <f aca="false">Inputs!$C$14+(Inputs!$C$24-Inputs!$C$14)*E66</f>
        <v>670.666666666667</v>
      </c>
      <c r="J66" s="45"/>
      <c r="K66" s="7" t="str">
        <f aca="false">IF(J66="","",IFERROR(J66/I66-1,""))</f>
        <v/>
      </c>
      <c r="L66" s="52" t="str">
        <f aca="false">IF(OR(G66="",J66=""),"",IFERROR(G66/J66,""))</f>
        <v/>
      </c>
      <c r="M66" s="53" t="str">
        <f aca="false">IF(OR(J66="",'Site Daily'!E66=""),"",IFERROR(J66/'Site Daily'!E66*1000,""))</f>
        <v/>
      </c>
      <c r="N66" s="53" t="n">
        <f aca="false">I66*(Inputs!$C$17+(Inputs!$C$26-Inputs!$C$17)*E66)</f>
        <v>75.45</v>
      </c>
      <c r="O66" s="45"/>
      <c r="P66" s="7" t="str">
        <f aca="false">IF(OR(O66="",J66=""),"",IFERROR(O66/J66,""))</f>
        <v/>
      </c>
      <c r="Q66" s="46"/>
      <c r="R66" s="8" t="n">
        <f aca="false">N66*(Inputs!$C$16+(Inputs!$C$27-Inputs!$C$16)*E66)</f>
        <v>135810</v>
      </c>
      <c r="S66" s="8" t="str">
        <f aca="false">IF(OR(O66="",Q66="",J66=""),"",IFERROR(O66*Q66/J66,""))</f>
        <v/>
      </c>
      <c r="T66" s="7" t="str">
        <f aca="false">IF(S66="","",IFERROR(S66/R66-1,""))</f>
        <v/>
      </c>
      <c r="U66" s="8" t="n">
        <f aca="false">C66*(R66-Inputs!$C$19)*Inputs!$C$28</f>
        <v>25545.6481444665</v>
      </c>
      <c r="V66" s="8" t="str">
        <f aca="false">IF(OR(C66=0,S66=""),"",(S66-Inputs!$C$19)*Inputs!$C$28)</f>
        <v/>
      </c>
      <c r="W66" s="45"/>
      <c r="X66" s="7" t="str">
        <f aca="false">IF(OR(W66="",G66=""),"",IFERROR(W66/G66,""))</f>
        <v/>
      </c>
      <c r="Y66" s="47"/>
    </row>
    <row r="67" customFormat="false" ht="15" hidden="false" customHeight="false" outlineLevel="0" collapsed="false">
      <c r="A67" s="44" t="n">
        <v>46356</v>
      </c>
      <c r="B67" s="20" t="str">
        <f aca="false">TEXT(A67,"ddd")</f>
        <v>Mon</v>
      </c>
      <c r="C67" s="6" t="n">
        <f aca="false">IF(A67&gt;=Inputs!$C$9,1,0)</f>
        <v>1</v>
      </c>
      <c r="D67" s="6" t="n">
        <f aca="false">IF(C67=1,A67-Inputs!$C$9+1,"")</f>
        <v>56</v>
      </c>
      <c r="E67" s="51" t="n">
        <f aca="false">IF(C67=1,MIN(1,D67/Inputs!$C$29),0)</f>
        <v>1</v>
      </c>
      <c r="F67" s="6" t="n">
        <f aca="false">Inputs!$C$13+(Inputs!$C$32-Inputs!$C$13)*E67</f>
        <v>1073.06666666667</v>
      </c>
      <c r="G67" s="45"/>
      <c r="H67" s="7" t="str">
        <f aca="false">IF(G67="","",IFERROR(G67/F67-1,""))</f>
        <v/>
      </c>
      <c r="I67" s="6" t="n">
        <f aca="false">Inputs!$C$14+(Inputs!$C$24-Inputs!$C$14)*E67</f>
        <v>670.666666666667</v>
      </c>
      <c r="J67" s="45"/>
      <c r="K67" s="7" t="str">
        <f aca="false">IF(J67="","",IFERROR(J67/I67-1,""))</f>
        <v/>
      </c>
      <c r="L67" s="52" t="str">
        <f aca="false">IF(OR(G67="",J67=""),"",IFERROR(G67/J67,""))</f>
        <v/>
      </c>
      <c r="M67" s="53" t="str">
        <f aca="false">IF(OR(J67="",'Site Daily'!E67=""),"",IFERROR(J67/'Site Daily'!E67*1000,""))</f>
        <v/>
      </c>
      <c r="N67" s="53" t="n">
        <f aca="false">I67*(Inputs!$C$17+(Inputs!$C$26-Inputs!$C$17)*E67)</f>
        <v>75.45</v>
      </c>
      <c r="O67" s="45"/>
      <c r="P67" s="7" t="str">
        <f aca="false">IF(OR(O67="",J67=""),"",IFERROR(O67/J67,""))</f>
        <v/>
      </c>
      <c r="Q67" s="46"/>
      <c r="R67" s="8" t="n">
        <f aca="false">N67*(Inputs!$C$16+(Inputs!$C$27-Inputs!$C$16)*E67)</f>
        <v>135810</v>
      </c>
      <c r="S67" s="8" t="str">
        <f aca="false">IF(OR(O67="",Q67="",J67=""),"",IFERROR(O67*Q67/J67,""))</f>
        <v/>
      </c>
      <c r="T67" s="7" t="str">
        <f aca="false">IF(S67="","",IFERROR(S67/R67-1,""))</f>
        <v/>
      </c>
      <c r="U67" s="8" t="n">
        <f aca="false">C67*(R67-Inputs!$C$19)*Inputs!$C$28</f>
        <v>25545.6481444665</v>
      </c>
      <c r="V67" s="8" t="str">
        <f aca="false">IF(OR(C67=0,S67=""),"",(S67-Inputs!$C$19)*Inputs!$C$28)</f>
        <v/>
      </c>
      <c r="W67" s="45"/>
      <c r="X67" s="7" t="str">
        <f aca="false">IF(OR(W67="",G67=""),"",IFERROR(W67/G67,""))</f>
        <v/>
      </c>
      <c r="Y67" s="47"/>
    </row>
    <row r="68" customFormat="false" ht="15" hidden="false" customHeight="false" outlineLevel="0" collapsed="false">
      <c r="A68" s="44" t="n">
        <v>46357</v>
      </c>
      <c r="B68" s="20" t="str">
        <f aca="false">TEXT(A68,"ddd")</f>
        <v>Tue</v>
      </c>
      <c r="C68" s="6" t="n">
        <f aca="false">IF(A68&gt;=Inputs!$C$9,1,0)</f>
        <v>1</v>
      </c>
      <c r="D68" s="6" t="n">
        <f aca="false">IF(C68=1,A68-Inputs!$C$9+1,"")</f>
        <v>57</v>
      </c>
      <c r="E68" s="51" t="n">
        <f aca="false">IF(C68=1,MIN(1,D68/Inputs!$C$29),0)</f>
        <v>1</v>
      </c>
      <c r="F68" s="6" t="n">
        <f aca="false">Inputs!$C$13+(Inputs!$C$32-Inputs!$C$13)*E68</f>
        <v>1073.06666666667</v>
      </c>
      <c r="G68" s="45"/>
      <c r="H68" s="7" t="str">
        <f aca="false">IF(G68="","",IFERROR(G68/F68-1,""))</f>
        <v/>
      </c>
      <c r="I68" s="6" t="n">
        <f aca="false">Inputs!$C$14+(Inputs!$C$24-Inputs!$C$14)*E68</f>
        <v>670.666666666667</v>
      </c>
      <c r="J68" s="45"/>
      <c r="K68" s="7" t="str">
        <f aca="false">IF(J68="","",IFERROR(J68/I68-1,""))</f>
        <v/>
      </c>
      <c r="L68" s="52" t="str">
        <f aca="false">IF(OR(G68="",J68=""),"",IFERROR(G68/J68,""))</f>
        <v/>
      </c>
      <c r="M68" s="53" t="str">
        <f aca="false">IF(OR(J68="",'Site Daily'!E68=""),"",IFERROR(J68/'Site Daily'!E68*1000,""))</f>
        <v/>
      </c>
      <c r="N68" s="53" t="n">
        <f aca="false">I68*(Inputs!$C$17+(Inputs!$C$26-Inputs!$C$17)*E68)</f>
        <v>75.45</v>
      </c>
      <c r="O68" s="45"/>
      <c r="P68" s="7" t="str">
        <f aca="false">IF(OR(O68="",J68=""),"",IFERROR(O68/J68,""))</f>
        <v/>
      </c>
      <c r="Q68" s="46"/>
      <c r="R68" s="8" t="n">
        <f aca="false">N68*(Inputs!$C$16+(Inputs!$C$27-Inputs!$C$16)*E68)</f>
        <v>135810</v>
      </c>
      <c r="S68" s="8" t="str">
        <f aca="false">IF(OR(O68="",Q68="",J68=""),"",IFERROR(O68*Q68/J68,""))</f>
        <v/>
      </c>
      <c r="T68" s="7" t="str">
        <f aca="false">IF(S68="","",IFERROR(S68/R68-1,""))</f>
        <v/>
      </c>
      <c r="U68" s="8" t="n">
        <f aca="false">C68*(R68-Inputs!$C$19)*Inputs!$C$28</f>
        <v>25545.6481444665</v>
      </c>
      <c r="V68" s="8" t="str">
        <f aca="false">IF(OR(C68=0,S68=""),"",(S68-Inputs!$C$19)*Inputs!$C$28)</f>
        <v/>
      </c>
      <c r="W68" s="45"/>
      <c r="X68" s="7" t="str">
        <f aca="false">IF(OR(W68="",G68=""),"",IFERROR(W68/G68,""))</f>
        <v/>
      </c>
      <c r="Y68" s="47"/>
    </row>
    <row r="69" customFormat="false" ht="15" hidden="false" customHeight="false" outlineLevel="0" collapsed="false">
      <c r="A69" s="44" t="n">
        <v>46358</v>
      </c>
      <c r="B69" s="20" t="str">
        <f aca="false">TEXT(A69,"ddd")</f>
        <v>Wed</v>
      </c>
      <c r="C69" s="6" t="n">
        <f aca="false">IF(A69&gt;=Inputs!$C$9,1,0)</f>
        <v>1</v>
      </c>
      <c r="D69" s="6" t="n">
        <f aca="false">IF(C69=1,A69-Inputs!$C$9+1,"")</f>
        <v>58</v>
      </c>
      <c r="E69" s="51" t="n">
        <f aca="false">IF(C69=1,MIN(1,D69/Inputs!$C$29),0)</f>
        <v>1</v>
      </c>
      <c r="F69" s="6" t="n">
        <f aca="false">Inputs!$C$13+(Inputs!$C$32-Inputs!$C$13)*E69</f>
        <v>1073.06666666667</v>
      </c>
      <c r="G69" s="45"/>
      <c r="H69" s="7" t="str">
        <f aca="false">IF(G69="","",IFERROR(G69/F69-1,""))</f>
        <v/>
      </c>
      <c r="I69" s="6" t="n">
        <f aca="false">Inputs!$C$14+(Inputs!$C$24-Inputs!$C$14)*E69</f>
        <v>670.666666666667</v>
      </c>
      <c r="J69" s="45"/>
      <c r="K69" s="7" t="str">
        <f aca="false">IF(J69="","",IFERROR(J69/I69-1,""))</f>
        <v/>
      </c>
      <c r="L69" s="52" t="str">
        <f aca="false">IF(OR(G69="",J69=""),"",IFERROR(G69/J69,""))</f>
        <v/>
      </c>
      <c r="M69" s="53" t="str">
        <f aca="false">IF(OR(J69="",'Site Daily'!E69=""),"",IFERROR(J69/'Site Daily'!E69*1000,""))</f>
        <v/>
      </c>
      <c r="N69" s="53" t="n">
        <f aca="false">I69*(Inputs!$C$17+(Inputs!$C$26-Inputs!$C$17)*E69)</f>
        <v>75.45</v>
      </c>
      <c r="O69" s="45"/>
      <c r="P69" s="7" t="str">
        <f aca="false">IF(OR(O69="",J69=""),"",IFERROR(O69/J69,""))</f>
        <v/>
      </c>
      <c r="Q69" s="46"/>
      <c r="R69" s="8" t="n">
        <f aca="false">N69*(Inputs!$C$16+(Inputs!$C$27-Inputs!$C$16)*E69)</f>
        <v>135810</v>
      </c>
      <c r="S69" s="8" t="str">
        <f aca="false">IF(OR(O69="",Q69="",J69=""),"",IFERROR(O69*Q69/J69,""))</f>
        <v/>
      </c>
      <c r="T69" s="7" t="str">
        <f aca="false">IF(S69="","",IFERROR(S69/R69-1,""))</f>
        <v/>
      </c>
      <c r="U69" s="8" t="n">
        <f aca="false">C69*(R69-Inputs!$C$19)*Inputs!$C$28</f>
        <v>25545.6481444665</v>
      </c>
      <c r="V69" s="8" t="str">
        <f aca="false">IF(OR(C69=0,S69=""),"",(S69-Inputs!$C$19)*Inputs!$C$28)</f>
        <v/>
      </c>
      <c r="W69" s="45"/>
      <c r="X69" s="7" t="str">
        <f aca="false">IF(OR(W69="",G69=""),"",IFERROR(W69/G69,""))</f>
        <v/>
      </c>
      <c r="Y69" s="47"/>
    </row>
    <row r="70" customFormat="false" ht="15" hidden="false" customHeight="false" outlineLevel="0" collapsed="false">
      <c r="A70" s="44" t="n">
        <v>46359</v>
      </c>
      <c r="B70" s="20" t="str">
        <f aca="false">TEXT(A70,"ddd")</f>
        <v>Thu</v>
      </c>
      <c r="C70" s="6" t="n">
        <f aca="false">IF(A70&gt;=Inputs!$C$9,1,0)</f>
        <v>1</v>
      </c>
      <c r="D70" s="6" t="n">
        <f aca="false">IF(C70=1,A70-Inputs!$C$9+1,"")</f>
        <v>59</v>
      </c>
      <c r="E70" s="51" t="n">
        <f aca="false">IF(C70=1,MIN(1,D70/Inputs!$C$29),0)</f>
        <v>1</v>
      </c>
      <c r="F70" s="6" t="n">
        <f aca="false">Inputs!$C$13+(Inputs!$C$32-Inputs!$C$13)*E70</f>
        <v>1073.06666666667</v>
      </c>
      <c r="G70" s="45"/>
      <c r="H70" s="7" t="str">
        <f aca="false">IF(G70="","",IFERROR(G70/F70-1,""))</f>
        <v/>
      </c>
      <c r="I70" s="6" t="n">
        <f aca="false">Inputs!$C$14+(Inputs!$C$24-Inputs!$C$14)*E70</f>
        <v>670.666666666667</v>
      </c>
      <c r="J70" s="45"/>
      <c r="K70" s="7" t="str">
        <f aca="false">IF(J70="","",IFERROR(J70/I70-1,""))</f>
        <v/>
      </c>
      <c r="L70" s="52" t="str">
        <f aca="false">IF(OR(G70="",J70=""),"",IFERROR(G70/J70,""))</f>
        <v/>
      </c>
      <c r="M70" s="53" t="str">
        <f aca="false">IF(OR(J70="",'Site Daily'!E70=""),"",IFERROR(J70/'Site Daily'!E70*1000,""))</f>
        <v/>
      </c>
      <c r="N70" s="53" t="n">
        <f aca="false">I70*(Inputs!$C$17+(Inputs!$C$26-Inputs!$C$17)*E70)</f>
        <v>75.45</v>
      </c>
      <c r="O70" s="45"/>
      <c r="P70" s="7" t="str">
        <f aca="false">IF(OR(O70="",J70=""),"",IFERROR(O70/J70,""))</f>
        <v/>
      </c>
      <c r="Q70" s="46"/>
      <c r="R70" s="8" t="n">
        <f aca="false">N70*(Inputs!$C$16+(Inputs!$C$27-Inputs!$C$16)*E70)</f>
        <v>135810</v>
      </c>
      <c r="S70" s="8" t="str">
        <f aca="false">IF(OR(O70="",Q70="",J70=""),"",IFERROR(O70*Q70/J70,""))</f>
        <v/>
      </c>
      <c r="T70" s="7" t="str">
        <f aca="false">IF(S70="","",IFERROR(S70/R70-1,""))</f>
        <v/>
      </c>
      <c r="U70" s="8" t="n">
        <f aca="false">C70*(R70-Inputs!$C$19)*Inputs!$C$28</f>
        <v>25545.6481444665</v>
      </c>
      <c r="V70" s="8" t="str">
        <f aca="false">IF(OR(C70=0,S70=""),"",(S70-Inputs!$C$19)*Inputs!$C$28)</f>
        <v/>
      </c>
      <c r="W70" s="45"/>
      <c r="X70" s="7" t="str">
        <f aca="false">IF(OR(W70="",G70=""),"",IFERROR(W70/G70,""))</f>
        <v/>
      </c>
      <c r="Y70" s="47"/>
    </row>
    <row r="71" customFormat="false" ht="15" hidden="false" customHeight="false" outlineLevel="0" collapsed="false">
      <c r="A71" s="44" t="n">
        <v>46360</v>
      </c>
      <c r="B71" s="20" t="str">
        <f aca="false">TEXT(A71,"ddd")</f>
        <v>Fri</v>
      </c>
      <c r="C71" s="6" t="n">
        <f aca="false">IF(A71&gt;=Inputs!$C$9,1,0)</f>
        <v>1</v>
      </c>
      <c r="D71" s="6" t="n">
        <f aca="false">IF(C71=1,A71-Inputs!$C$9+1,"")</f>
        <v>60</v>
      </c>
      <c r="E71" s="51" t="n">
        <f aca="false">IF(C71=1,MIN(1,D71/Inputs!$C$29),0)</f>
        <v>1</v>
      </c>
      <c r="F71" s="6" t="n">
        <f aca="false">Inputs!$C$13+(Inputs!$C$32-Inputs!$C$13)*E71</f>
        <v>1073.06666666667</v>
      </c>
      <c r="G71" s="45"/>
      <c r="H71" s="7" t="str">
        <f aca="false">IF(G71="","",IFERROR(G71/F71-1,""))</f>
        <v/>
      </c>
      <c r="I71" s="6" t="n">
        <f aca="false">Inputs!$C$14+(Inputs!$C$24-Inputs!$C$14)*E71</f>
        <v>670.666666666667</v>
      </c>
      <c r="J71" s="45"/>
      <c r="K71" s="7" t="str">
        <f aca="false">IF(J71="","",IFERROR(J71/I71-1,""))</f>
        <v/>
      </c>
      <c r="L71" s="52" t="str">
        <f aca="false">IF(OR(G71="",J71=""),"",IFERROR(G71/J71,""))</f>
        <v/>
      </c>
      <c r="M71" s="53" t="str">
        <f aca="false">IF(OR(J71="",'Site Daily'!E71=""),"",IFERROR(J71/'Site Daily'!E71*1000,""))</f>
        <v/>
      </c>
      <c r="N71" s="53" t="n">
        <f aca="false">I71*(Inputs!$C$17+(Inputs!$C$26-Inputs!$C$17)*E71)</f>
        <v>75.45</v>
      </c>
      <c r="O71" s="45"/>
      <c r="P71" s="7" t="str">
        <f aca="false">IF(OR(O71="",J71=""),"",IFERROR(O71/J71,""))</f>
        <v/>
      </c>
      <c r="Q71" s="46"/>
      <c r="R71" s="8" t="n">
        <f aca="false">N71*(Inputs!$C$16+(Inputs!$C$27-Inputs!$C$16)*E71)</f>
        <v>135810</v>
      </c>
      <c r="S71" s="8" t="str">
        <f aca="false">IF(OR(O71="",Q71="",J71=""),"",IFERROR(O71*Q71/J71,""))</f>
        <v/>
      </c>
      <c r="T71" s="7" t="str">
        <f aca="false">IF(S71="","",IFERROR(S71/R71-1,""))</f>
        <v/>
      </c>
      <c r="U71" s="8" t="n">
        <f aca="false">C71*(R71-Inputs!$C$19)*Inputs!$C$28</f>
        <v>25545.6481444665</v>
      </c>
      <c r="V71" s="8" t="str">
        <f aca="false">IF(OR(C71=0,S71=""),"",(S71-Inputs!$C$19)*Inputs!$C$28)</f>
        <v/>
      </c>
      <c r="W71" s="45"/>
      <c r="X71" s="7" t="str">
        <f aca="false">IF(OR(W71="",G71=""),"",IFERROR(W71/G71,""))</f>
        <v/>
      </c>
      <c r="Y71" s="47"/>
    </row>
    <row r="72" customFormat="false" ht="15" hidden="false" customHeight="false" outlineLevel="0" collapsed="false">
      <c r="A72" s="44" t="n">
        <v>46361</v>
      </c>
      <c r="B72" s="20" t="str">
        <f aca="false">TEXT(A72,"ddd")</f>
        <v>Sat</v>
      </c>
      <c r="C72" s="6" t="n">
        <f aca="false">IF(A72&gt;=Inputs!$C$9,1,0)</f>
        <v>1</v>
      </c>
      <c r="D72" s="6" t="n">
        <f aca="false">IF(C72=1,A72-Inputs!$C$9+1,"")</f>
        <v>61</v>
      </c>
      <c r="E72" s="51" t="n">
        <f aca="false">IF(C72=1,MIN(1,D72/Inputs!$C$29),0)</f>
        <v>1</v>
      </c>
      <c r="F72" s="6" t="n">
        <f aca="false">Inputs!$C$13+(Inputs!$C$32-Inputs!$C$13)*E72</f>
        <v>1073.06666666667</v>
      </c>
      <c r="G72" s="45"/>
      <c r="H72" s="7" t="str">
        <f aca="false">IF(G72="","",IFERROR(G72/F72-1,""))</f>
        <v/>
      </c>
      <c r="I72" s="6" t="n">
        <f aca="false">Inputs!$C$14+(Inputs!$C$24-Inputs!$C$14)*E72</f>
        <v>670.666666666667</v>
      </c>
      <c r="J72" s="45"/>
      <c r="K72" s="7" t="str">
        <f aca="false">IF(J72="","",IFERROR(J72/I72-1,""))</f>
        <v/>
      </c>
      <c r="L72" s="52" t="str">
        <f aca="false">IF(OR(G72="",J72=""),"",IFERROR(G72/J72,""))</f>
        <v/>
      </c>
      <c r="M72" s="53" t="str">
        <f aca="false">IF(OR(J72="",'Site Daily'!E72=""),"",IFERROR(J72/'Site Daily'!E72*1000,""))</f>
        <v/>
      </c>
      <c r="N72" s="53" t="n">
        <f aca="false">I72*(Inputs!$C$17+(Inputs!$C$26-Inputs!$C$17)*E72)</f>
        <v>75.45</v>
      </c>
      <c r="O72" s="45"/>
      <c r="P72" s="7" t="str">
        <f aca="false">IF(OR(O72="",J72=""),"",IFERROR(O72/J72,""))</f>
        <v/>
      </c>
      <c r="Q72" s="46"/>
      <c r="R72" s="8" t="n">
        <f aca="false">N72*(Inputs!$C$16+(Inputs!$C$27-Inputs!$C$16)*E72)</f>
        <v>135810</v>
      </c>
      <c r="S72" s="8" t="str">
        <f aca="false">IF(OR(O72="",Q72="",J72=""),"",IFERROR(O72*Q72/J72,""))</f>
        <v/>
      </c>
      <c r="T72" s="7" t="str">
        <f aca="false">IF(S72="","",IFERROR(S72/R72-1,""))</f>
        <v/>
      </c>
      <c r="U72" s="8" t="n">
        <f aca="false">C72*(R72-Inputs!$C$19)*Inputs!$C$28</f>
        <v>25545.6481444665</v>
      </c>
      <c r="V72" s="8" t="str">
        <f aca="false">IF(OR(C72=0,S72=""),"",(S72-Inputs!$C$19)*Inputs!$C$28)</f>
        <v/>
      </c>
      <c r="W72" s="45"/>
      <c r="X72" s="7" t="str">
        <f aca="false">IF(OR(W72="",G72=""),"",IFERROR(W72/G72,""))</f>
        <v/>
      </c>
      <c r="Y72" s="47"/>
    </row>
    <row r="73" customFormat="false" ht="15" hidden="false" customHeight="false" outlineLevel="0" collapsed="false">
      <c r="A73" s="44" t="n">
        <v>46362</v>
      </c>
      <c r="B73" s="20" t="str">
        <f aca="false">TEXT(A73,"ddd")</f>
        <v>Sun</v>
      </c>
      <c r="C73" s="6" t="n">
        <f aca="false">IF(A73&gt;=Inputs!$C$9,1,0)</f>
        <v>1</v>
      </c>
      <c r="D73" s="6" t="n">
        <f aca="false">IF(C73=1,A73-Inputs!$C$9+1,"")</f>
        <v>62</v>
      </c>
      <c r="E73" s="51" t="n">
        <f aca="false">IF(C73=1,MIN(1,D73/Inputs!$C$29),0)</f>
        <v>1</v>
      </c>
      <c r="F73" s="6" t="n">
        <f aca="false">Inputs!$C$13+(Inputs!$C$32-Inputs!$C$13)*E73</f>
        <v>1073.06666666667</v>
      </c>
      <c r="G73" s="45"/>
      <c r="H73" s="7" t="str">
        <f aca="false">IF(G73="","",IFERROR(G73/F73-1,""))</f>
        <v/>
      </c>
      <c r="I73" s="6" t="n">
        <f aca="false">Inputs!$C$14+(Inputs!$C$24-Inputs!$C$14)*E73</f>
        <v>670.666666666667</v>
      </c>
      <c r="J73" s="45"/>
      <c r="K73" s="7" t="str">
        <f aca="false">IF(J73="","",IFERROR(J73/I73-1,""))</f>
        <v/>
      </c>
      <c r="L73" s="52" t="str">
        <f aca="false">IF(OR(G73="",J73=""),"",IFERROR(G73/J73,""))</f>
        <v/>
      </c>
      <c r="M73" s="53" t="str">
        <f aca="false">IF(OR(J73="",'Site Daily'!E73=""),"",IFERROR(J73/'Site Daily'!E73*1000,""))</f>
        <v/>
      </c>
      <c r="N73" s="53" t="n">
        <f aca="false">I73*(Inputs!$C$17+(Inputs!$C$26-Inputs!$C$17)*E73)</f>
        <v>75.45</v>
      </c>
      <c r="O73" s="45"/>
      <c r="P73" s="7" t="str">
        <f aca="false">IF(OR(O73="",J73=""),"",IFERROR(O73/J73,""))</f>
        <v/>
      </c>
      <c r="Q73" s="46"/>
      <c r="R73" s="8" t="n">
        <f aca="false">N73*(Inputs!$C$16+(Inputs!$C$27-Inputs!$C$16)*E73)</f>
        <v>135810</v>
      </c>
      <c r="S73" s="8" t="str">
        <f aca="false">IF(OR(O73="",Q73="",J73=""),"",IFERROR(O73*Q73/J73,""))</f>
        <v/>
      </c>
      <c r="T73" s="7" t="str">
        <f aca="false">IF(S73="","",IFERROR(S73/R73-1,""))</f>
        <v/>
      </c>
      <c r="U73" s="8" t="n">
        <f aca="false">C73*(R73-Inputs!$C$19)*Inputs!$C$28</f>
        <v>25545.6481444665</v>
      </c>
      <c r="V73" s="8" t="str">
        <f aca="false">IF(OR(C73=0,S73=""),"",(S73-Inputs!$C$19)*Inputs!$C$28)</f>
        <v/>
      </c>
      <c r="W73" s="45"/>
      <c r="X73" s="7" t="str">
        <f aca="false">IF(OR(W73="",G73=""),"",IFERROR(W73/G73,""))</f>
        <v/>
      </c>
      <c r="Y73" s="47"/>
    </row>
    <row r="74" customFormat="false" ht="15" hidden="false" customHeight="false" outlineLevel="0" collapsed="false">
      <c r="A74" s="44" t="n">
        <v>46363</v>
      </c>
      <c r="B74" s="20" t="str">
        <f aca="false">TEXT(A74,"ddd")</f>
        <v>Mon</v>
      </c>
      <c r="C74" s="6" t="n">
        <f aca="false">IF(A74&gt;=Inputs!$C$9,1,0)</f>
        <v>1</v>
      </c>
      <c r="D74" s="6" t="n">
        <f aca="false">IF(C74=1,A74-Inputs!$C$9+1,"")</f>
        <v>63</v>
      </c>
      <c r="E74" s="51" t="n">
        <f aca="false">IF(C74=1,MIN(1,D74/Inputs!$C$29),0)</f>
        <v>1</v>
      </c>
      <c r="F74" s="6" t="n">
        <f aca="false">Inputs!$C$13+(Inputs!$C$32-Inputs!$C$13)*E74</f>
        <v>1073.06666666667</v>
      </c>
      <c r="G74" s="45"/>
      <c r="H74" s="7" t="str">
        <f aca="false">IF(G74="","",IFERROR(G74/F74-1,""))</f>
        <v/>
      </c>
      <c r="I74" s="6" t="n">
        <f aca="false">Inputs!$C$14+(Inputs!$C$24-Inputs!$C$14)*E74</f>
        <v>670.666666666667</v>
      </c>
      <c r="J74" s="45"/>
      <c r="K74" s="7" t="str">
        <f aca="false">IF(J74="","",IFERROR(J74/I74-1,""))</f>
        <v/>
      </c>
      <c r="L74" s="52" t="str">
        <f aca="false">IF(OR(G74="",J74=""),"",IFERROR(G74/J74,""))</f>
        <v/>
      </c>
      <c r="M74" s="53" t="str">
        <f aca="false">IF(OR(J74="",'Site Daily'!E74=""),"",IFERROR(J74/'Site Daily'!E74*1000,""))</f>
        <v/>
      </c>
      <c r="N74" s="53" t="n">
        <f aca="false">I74*(Inputs!$C$17+(Inputs!$C$26-Inputs!$C$17)*E74)</f>
        <v>75.45</v>
      </c>
      <c r="O74" s="45"/>
      <c r="P74" s="7" t="str">
        <f aca="false">IF(OR(O74="",J74=""),"",IFERROR(O74/J74,""))</f>
        <v/>
      </c>
      <c r="Q74" s="46"/>
      <c r="R74" s="8" t="n">
        <f aca="false">N74*(Inputs!$C$16+(Inputs!$C$27-Inputs!$C$16)*E74)</f>
        <v>135810</v>
      </c>
      <c r="S74" s="8" t="str">
        <f aca="false">IF(OR(O74="",Q74="",J74=""),"",IFERROR(O74*Q74/J74,""))</f>
        <v/>
      </c>
      <c r="T74" s="7" t="str">
        <f aca="false">IF(S74="","",IFERROR(S74/R74-1,""))</f>
        <v/>
      </c>
      <c r="U74" s="8" t="n">
        <f aca="false">C74*(R74-Inputs!$C$19)*Inputs!$C$28</f>
        <v>25545.6481444665</v>
      </c>
      <c r="V74" s="8" t="str">
        <f aca="false">IF(OR(C74=0,S74=""),"",(S74-Inputs!$C$19)*Inputs!$C$28)</f>
        <v/>
      </c>
      <c r="W74" s="45"/>
      <c r="X74" s="7" t="str">
        <f aca="false">IF(OR(W74="",G74=""),"",IFERROR(W74/G74,""))</f>
        <v/>
      </c>
      <c r="Y74" s="47"/>
    </row>
    <row r="75" customFormat="false" ht="15" hidden="false" customHeight="false" outlineLevel="0" collapsed="false">
      <c r="A75" s="44" t="n">
        <v>46364</v>
      </c>
      <c r="B75" s="20" t="str">
        <f aca="false">TEXT(A75,"ddd")</f>
        <v>Tue</v>
      </c>
      <c r="C75" s="6" t="n">
        <f aca="false">IF(A75&gt;=Inputs!$C$9,1,0)</f>
        <v>1</v>
      </c>
      <c r="D75" s="6" t="n">
        <f aca="false">IF(C75=1,A75-Inputs!$C$9+1,"")</f>
        <v>64</v>
      </c>
      <c r="E75" s="51" t="n">
        <f aca="false">IF(C75=1,MIN(1,D75/Inputs!$C$29),0)</f>
        <v>1</v>
      </c>
      <c r="F75" s="6" t="n">
        <f aca="false">Inputs!$C$13+(Inputs!$C$32-Inputs!$C$13)*E75</f>
        <v>1073.06666666667</v>
      </c>
      <c r="G75" s="45"/>
      <c r="H75" s="7" t="str">
        <f aca="false">IF(G75="","",IFERROR(G75/F75-1,""))</f>
        <v/>
      </c>
      <c r="I75" s="6" t="n">
        <f aca="false">Inputs!$C$14+(Inputs!$C$24-Inputs!$C$14)*E75</f>
        <v>670.666666666667</v>
      </c>
      <c r="J75" s="45"/>
      <c r="K75" s="7" t="str">
        <f aca="false">IF(J75="","",IFERROR(J75/I75-1,""))</f>
        <v/>
      </c>
      <c r="L75" s="52" t="str">
        <f aca="false">IF(OR(G75="",J75=""),"",IFERROR(G75/J75,""))</f>
        <v/>
      </c>
      <c r="M75" s="53" t="str">
        <f aca="false">IF(OR(J75="",'Site Daily'!E75=""),"",IFERROR(J75/'Site Daily'!E75*1000,""))</f>
        <v/>
      </c>
      <c r="N75" s="53" t="n">
        <f aca="false">I75*(Inputs!$C$17+(Inputs!$C$26-Inputs!$C$17)*E75)</f>
        <v>75.45</v>
      </c>
      <c r="O75" s="45"/>
      <c r="P75" s="7" t="str">
        <f aca="false">IF(OR(O75="",J75=""),"",IFERROR(O75/J75,""))</f>
        <v/>
      </c>
      <c r="Q75" s="46"/>
      <c r="R75" s="8" t="n">
        <f aca="false">N75*(Inputs!$C$16+(Inputs!$C$27-Inputs!$C$16)*E75)</f>
        <v>135810</v>
      </c>
      <c r="S75" s="8" t="str">
        <f aca="false">IF(OR(O75="",Q75="",J75=""),"",IFERROR(O75*Q75/J75,""))</f>
        <v/>
      </c>
      <c r="T75" s="7" t="str">
        <f aca="false">IF(S75="","",IFERROR(S75/R75-1,""))</f>
        <v/>
      </c>
      <c r="U75" s="8" t="n">
        <f aca="false">C75*(R75-Inputs!$C$19)*Inputs!$C$28</f>
        <v>25545.6481444665</v>
      </c>
      <c r="V75" s="8" t="str">
        <f aca="false">IF(OR(C75=0,S75=""),"",(S75-Inputs!$C$19)*Inputs!$C$28)</f>
        <v/>
      </c>
      <c r="W75" s="45"/>
      <c r="X75" s="7" t="str">
        <f aca="false">IF(OR(W75="",G75=""),"",IFERROR(W75/G75,""))</f>
        <v/>
      </c>
      <c r="Y75" s="47"/>
    </row>
    <row r="76" customFormat="false" ht="15" hidden="false" customHeight="false" outlineLevel="0" collapsed="false">
      <c r="A76" s="44" t="n">
        <v>46365</v>
      </c>
      <c r="B76" s="20" t="str">
        <f aca="false">TEXT(A76,"ddd")</f>
        <v>Wed</v>
      </c>
      <c r="C76" s="6" t="n">
        <f aca="false">IF(A76&gt;=Inputs!$C$9,1,0)</f>
        <v>1</v>
      </c>
      <c r="D76" s="6" t="n">
        <f aca="false">IF(C76=1,A76-Inputs!$C$9+1,"")</f>
        <v>65</v>
      </c>
      <c r="E76" s="51" t="n">
        <f aca="false">IF(C76=1,MIN(1,D76/Inputs!$C$29),0)</f>
        <v>1</v>
      </c>
      <c r="F76" s="6" t="n">
        <f aca="false">Inputs!$C$13+(Inputs!$C$32-Inputs!$C$13)*E76</f>
        <v>1073.06666666667</v>
      </c>
      <c r="G76" s="45"/>
      <c r="H76" s="7" t="str">
        <f aca="false">IF(G76="","",IFERROR(G76/F76-1,""))</f>
        <v/>
      </c>
      <c r="I76" s="6" t="n">
        <f aca="false">Inputs!$C$14+(Inputs!$C$24-Inputs!$C$14)*E76</f>
        <v>670.666666666667</v>
      </c>
      <c r="J76" s="45"/>
      <c r="K76" s="7" t="str">
        <f aca="false">IF(J76="","",IFERROR(J76/I76-1,""))</f>
        <v/>
      </c>
      <c r="L76" s="52" t="str">
        <f aca="false">IF(OR(G76="",J76=""),"",IFERROR(G76/J76,""))</f>
        <v/>
      </c>
      <c r="M76" s="53" t="str">
        <f aca="false">IF(OR(J76="",'Site Daily'!E76=""),"",IFERROR(J76/'Site Daily'!E76*1000,""))</f>
        <v/>
      </c>
      <c r="N76" s="53" t="n">
        <f aca="false">I76*(Inputs!$C$17+(Inputs!$C$26-Inputs!$C$17)*E76)</f>
        <v>75.45</v>
      </c>
      <c r="O76" s="45"/>
      <c r="P76" s="7" t="str">
        <f aca="false">IF(OR(O76="",J76=""),"",IFERROR(O76/J76,""))</f>
        <v/>
      </c>
      <c r="Q76" s="46"/>
      <c r="R76" s="8" t="n">
        <f aca="false">N76*(Inputs!$C$16+(Inputs!$C$27-Inputs!$C$16)*E76)</f>
        <v>135810</v>
      </c>
      <c r="S76" s="8" t="str">
        <f aca="false">IF(OR(O76="",Q76="",J76=""),"",IFERROR(O76*Q76/J76,""))</f>
        <v/>
      </c>
      <c r="T76" s="7" t="str">
        <f aca="false">IF(S76="","",IFERROR(S76/R76-1,""))</f>
        <v/>
      </c>
      <c r="U76" s="8" t="n">
        <f aca="false">C76*(R76-Inputs!$C$19)*Inputs!$C$28</f>
        <v>25545.6481444665</v>
      </c>
      <c r="V76" s="8" t="str">
        <f aca="false">IF(OR(C76=0,S76=""),"",(S76-Inputs!$C$19)*Inputs!$C$28)</f>
        <v/>
      </c>
      <c r="W76" s="45"/>
      <c r="X76" s="7" t="str">
        <f aca="false">IF(OR(W76="",G76=""),"",IFERROR(W76/G76,""))</f>
        <v/>
      </c>
      <c r="Y76" s="47"/>
    </row>
    <row r="77" customFormat="false" ht="15" hidden="false" customHeight="false" outlineLevel="0" collapsed="false">
      <c r="A77" s="44" t="n">
        <v>46366</v>
      </c>
      <c r="B77" s="20" t="str">
        <f aca="false">TEXT(A77,"ddd")</f>
        <v>Thu</v>
      </c>
      <c r="C77" s="6" t="n">
        <f aca="false">IF(A77&gt;=Inputs!$C$9,1,0)</f>
        <v>1</v>
      </c>
      <c r="D77" s="6" t="n">
        <f aca="false">IF(C77=1,A77-Inputs!$C$9+1,"")</f>
        <v>66</v>
      </c>
      <c r="E77" s="51" t="n">
        <f aca="false">IF(C77=1,MIN(1,D77/Inputs!$C$29),0)</f>
        <v>1</v>
      </c>
      <c r="F77" s="6" t="n">
        <f aca="false">Inputs!$C$13+(Inputs!$C$32-Inputs!$C$13)*E77</f>
        <v>1073.06666666667</v>
      </c>
      <c r="G77" s="45"/>
      <c r="H77" s="7" t="str">
        <f aca="false">IF(G77="","",IFERROR(G77/F77-1,""))</f>
        <v/>
      </c>
      <c r="I77" s="6" t="n">
        <f aca="false">Inputs!$C$14+(Inputs!$C$24-Inputs!$C$14)*E77</f>
        <v>670.666666666667</v>
      </c>
      <c r="J77" s="45"/>
      <c r="K77" s="7" t="str">
        <f aca="false">IF(J77="","",IFERROR(J77/I77-1,""))</f>
        <v/>
      </c>
      <c r="L77" s="52" t="str">
        <f aca="false">IF(OR(G77="",J77=""),"",IFERROR(G77/J77,""))</f>
        <v/>
      </c>
      <c r="M77" s="53" t="str">
        <f aca="false">IF(OR(J77="",'Site Daily'!E77=""),"",IFERROR(J77/'Site Daily'!E77*1000,""))</f>
        <v/>
      </c>
      <c r="N77" s="53" t="n">
        <f aca="false">I77*(Inputs!$C$17+(Inputs!$C$26-Inputs!$C$17)*E77)</f>
        <v>75.45</v>
      </c>
      <c r="O77" s="45"/>
      <c r="P77" s="7" t="str">
        <f aca="false">IF(OR(O77="",J77=""),"",IFERROR(O77/J77,""))</f>
        <v/>
      </c>
      <c r="Q77" s="46"/>
      <c r="R77" s="8" t="n">
        <f aca="false">N77*(Inputs!$C$16+(Inputs!$C$27-Inputs!$C$16)*E77)</f>
        <v>135810</v>
      </c>
      <c r="S77" s="8" t="str">
        <f aca="false">IF(OR(O77="",Q77="",J77=""),"",IFERROR(O77*Q77/J77,""))</f>
        <v/>
      </c>
      <c r="T77" s="7" t="str">
        <f aca="false">IF(S77="","",IFERROR(S77/R77-1,""))</f>
        <v/>
      </c>
      <c r="U77" s="8" t="n">
        <f aca="false">C77*(R77-Inputs!$C$19)*Inputs!$C$28</f>
        <v>25545.6481444665</v>
      </c>
      <c r="V77" s="8" t="str">
        <f aca="false">IF(OR(C77=0,S77=""),"",(S77-Inputs!$C$19)*Inputs!$C$28)</f>
        <v/>
      </c>
      <c r="W77" s="45"/>
      <c r="X77" s="7" t="str">
        <f aca="false">IF(OR(W77="",G77=""),"",IFERROR(W77/G77,""))</f>
        <v/>
      </c>
      <c r="Y77" s="47"/>
    </row>
    <row r="78" customFormat="false" ht="15" hidden="false" customHeight="false" outlineLevel="0" collapsed="false">
      <c r="A78" s="44" t="n">
        <v>46367</v>
      </c>
      <c r="B78" s="20" t="str">
        <f aca="false">TEXT(A78,"ddd")</f>
        <v>Fri</v>
      </c>
      <c r="C78" s="6" t="n">
        <f aca="false">IF(A78&gt;=Inputs!$C$9,1,0)</f>
        <v>1</v>
      </c>
      <c r="D78" s="6" t="n">
        <f aca="false">IF(C78=1,A78-Inputs!$C$9+1,"")</f>
        <v>67</v>
      </c>
      <c r="E78" s="51" t="n">
        <f aca="false">IF(C78=1,MIN(1,D78/Inputs!$C$29),0)</f>
        <v>1</v>
      </c>
      <c r="F78" s="6" t="n">
        <f aca="false">Inputs!$C$13+(Inputs!$C$32-Inputs!$C$13)*E78</f>
        <v>1073.06666666667</v>
      </c>
      <c r="G78" s="45"/>
      <c r="H78" s="7" t="str">
        <f aca="false">IF(G78="","",IFERROR(G78/F78-1,""))</f>
        <v/>
      </c>
      <c r="I78" s="6" t="n">
        <f aca="false">Inputs!$C$14+(Inputs!$C$24-Inputs!$C$14)*E78</f>
        <v>670.666666666667</v>
      </c>
      <c r="J78" s="45"/>
      <c r="K78" s="7" t="str">
        <f aca="false">IF(J78="","",IFERROR(J78/I78-1,""))</f>
        <v/>
      </c>
      <c r="L78" s="52" t="str">
        <f aca="false">IF(OR(G78="",J78=""),"",IFERROR(G78/J78,""))</f>
        <v/>
      </c>
      <c r="M78" s="53" t="str">
        <f aca="false">IF(OR(J78="",'Site Daily'!E78=""),"",IFERROR(J78/'Site Daily'!E78*1000,""))</f>
        <v/>
      </c>
      <c r="N78" s="53" t="n">
        <f aca="false">I78*(Inputs!$C$17+(Inputs!$C$26-Inputs!$C$17)*E78)</f>
        <v>75.45</v>
      </c>
      <c r="O78" s="45"/>
      <c r="P78" s="7" t="str">
        <f aca="false">IF(OR(O78="",J78=""),"",IFERROR(O78/J78,""))</f>
        <v/>
      </c>
      <c r="Q78" s="46"/>
      <c r="R78" s="8" t="n">
        <f aca="false">N78*(Inputs!$C$16+(Inputs!$C$27-Inputs!$C$16)*E78)</f>
        <v>135810</v>
      </c>
      <c r="S78" s="8" t="str">
        <f aca="false">IF(OR(O78="",Q78="",J78=""),"",IFERROR(O78*Q78/J78,""))</f>
        <v/>
      </c>
      <c r="T78" s="7" t="str">
        <f aca="false">IF(S78="","",IFERROR(S78/R78-1,""))</f>
        <v/>
      </c>
      <c r="U78" s="8" t="n">
        <f aca="false">C78*(R78-Inputs!$C$19)*Inputs!$C$28</f>
        <v>25545.6481444665</v>
      </c>
      <c r="V78" s="8" t="str">
        <f aca="false">IF(OR(C78=0,S78=""),"",(S78-Inputs!$C$19)*Inputs!$C$28)</f>
        <v/>
      </c>
      <c r="W78" s="45"/>
      <c r="X78" s="7" t="str">
        <f aca="false">IF(OR(W78="",G78=""),"",IFERROR(W78/G78,""))</f>
        <v/>
      </c>
      <c r="Y78" s="47"/>
    </row>
    <row r="79" customFormat="false" ht="15" hidden="false" customHeight="false" outlineLevel="0" collapsed="false">
      <c r="A79" s="44" t="n">
        <v>46368</v>
      </c>
      <c r="B79" s="20" t="str">
        <f aca="false">TEXT(A79,"ddd")</f>
        <v>Sat</v>
      </c>
      <c r="C79" s="6" t="n">
        <f aca="false">IF(A79&gt;=Inputs!$C$9,1,0)</f>
        <v>1</v>
      </c>
      <c r="D79" s="6" t="n">
        <f aca="false">IF(C79=1,A79-Inputs!$C$9+1,"")</f>
        <v>68</v>
      </c>
      <c r="E79" s="51" t="n">
        <f aca="false">IF(C79=1,MIN(1,D79/Inputs!$C$29),0)</f>
        <v>1</v>
      </c>
      <c r="F79" s="6" t="n">
        <f aca="false">Inputs!$C$13+(Inputs!$C$32-Inputs!$C$13)*E79</f>
        <v>1073.06666666667</v>
      </c>
      <c r="G79" s="45"/>
      <c r="H79" s="7" t="str">
        <f aca="false">IF(G79="","",IFERROR(G79/F79-1,""))</f>
        <v/>
      </c>
      <c r="I79" s="6" t="n">
        <f aca="false">Inputs!$C$14+(Inputs!$C$24-Inputs!$C$14)*E79</f>
        <v>670.666666666667</v>
      </c>
      <c r="J79" s="45"/>
      <c r="K79" s="7" t="str">
        <f aca="false">IF(J79="","",IFERROR(J79/I79-1,""))</f>
        <v/>
      </c>
      <c r="L79" s="52" t="str">
        <f aca="false">IF(OR(G79="",J79=""),"",IFERROR(G79/J79,""))</f>
        <v/>
      </c>
      <c r="M79" s="53" t="str">
        <f aca="false">IF(OR(J79="",'Site Daily'!E79=""),"",IFERROR(J79/'Site Daily'!E79*1000,""))</f>
        <v/>
      </c>
      <c r="N79" s="53" t="n">
        <f aca="false">I79*(Inputs!$C$17+(Inputs!$C$26-Inputs!$C$17)*E79)</f>
        <v>75.45</v>
      </c>
      <c r="O79" s="45"/>
      <c r="P79" s="7" t="str">
        <f aca="false">IF(OR(O79="",J79=""),"",IFERROR(O79/J79,""))</f>
        <v/>
      </c>
      <c r="Q79" s="46"/>
      <c r="R79" s="8" t="n">
        <f aca="false">N79*(Inputs!$C$16+(Inputs!$C$27-Inputs!$C$16)*E79)</f>
        <v>135810</v>
      </c>
      <c r="S79" s="8" t="str">
        <f aca="false">IF(OR(O79="",Q79="",J79=""),"",IFERROR(O79*Q79/J79,""))</f>
        <v/>
      </c>
      <c r="T79" s="7" t="str">
        <f aca="false">IF(S79="","",IFERROR(S79/R79-1,""))</f>
        <v/>
      </c>
      <c r="U79" s="8" t="n">
        <f aca="false">C79*(R79-Inputs!$C$19)*Inputs!$C$28</f>
        <v>25545.6481444665</v>
      </c>
      <c r="V79" s="8" t="str">
        <f aca="false">IF(OR(C79=0,S79=""),"",(S79-Inputs!$C$19)*Inputs!$C$28)</f>
        <v/>
      </c>
      <c r="W79" s="45"/>
      <c r="X79" s="7" t="str">
        <f aca="false">IF(OR(W79="",G79=""),"",IFERROR(W79/G79,""))</f>
        <v/>
      </c>
      <c r="Y79" s="47"/>
    </row>
    <row r="80" customFormat="false" ht="15" hidden="false" customHeight="false" outlineLevel="0" collapsed="false">
      <c r="A80" s="44" t="n">
        <v>46369</v>
      </c>
      <c r="B80" s="20" t="str">
        <f aca="false">TEXT(A80,"ddd")</f>
        <v>Sun</v>
      </c>
      <c r="C80" s="6" t="n">
        <f aca="false">IF(A80&gt;=Inputs!$C$9,1,0)</f>
        <v>1</v>
      </c>
      <c r="D80" s="6" t="n">
        <f aca="false">IF(C80=1,A80-Inputs!$C$9+1,"")</f>
        <v>69</v>
      </c>
      <c r="E80" s="51" t="n">
        <f aca="false">IF(C80=1,MIN(1,D80/Inputs!$C$29),0)</f>
        <v>1</v>
      </c>
      <c r="F80" s="6" t="n">
        <f aca="false">Inputs!$C$13+(Inputs!$C$32-Inputs!$C$13)*E80</f>
        <v>1073.06666666667</v>
      </c>
      <c r="G80" s="45"/>
      <c r="H80" s="7" t="str">
        <f aca="false">IF(G80="","",IFERROR(G80/F80-1,""))</f>
        <v/>
      </c>
      <c r="I80" s="6" t="n">
        <f aca="false">Inputs!$C$14+(Inputs!$C$24-Inputs!$C$14)*E80</f>
        <v>670.666666666667</v>
      </c>
      <c r="J80" s="45"/>
      <c r="K80" s="7" t="str">
        <f aca="false">IF(J80="","",IFERROR(J80/I80-1,""))</f>
        <v/>
      </c>
      <c r="L80" s="52" t="str">
        <f aca="false">IF(OR(G80="",J80=""),"",IFERROR(G80/J80,""))</f>
        <v/>
      </c>
      <c r="M80" s="53" t="str">
        <f aca="false">IF(OR(J80="",'Site Daily'!E80=""),"",IFERROR(J80/'Site Daily'!E80*1000,""))</f>
        <v/>
      </c>
      <c r="N80" s="53" t="n">
        <f aca="false">I80*(Inputs!$C$17+(Inputs!$C$26-Inputs!$C$17)*E80)</f>
        <v>75.45</v>
      </c>
      <c r="O80" s="45"/>
      <c r="P80" s="7" t="str">
        <f aca="false">IF(OR(O80="",J80=""),"",IFERROR(O80/J80,""))</f>
        <v/>
      </c>
      <c r="Q80" s="46"/>
      <c r="R80" s="8" t="n">
        <f aca="false">N80*(Inputs!$C$16+(Inputs!$C$27-Inputs!$C$16)*E80)</f>
        <v>135810</v>
      </c>
      <c r="S80" s="8" t="str">
        <f aca="false">IF(OR(O80="",Q80="",J80=""),"",IFERROR(O80*Q80/J80,""))</f>
        <v/>
      </c>
      <c r="T80" s="7" t="str">
        <f aca="false">IF(S80="","",IFERROR(S80/R80-1,""))</f>
        <v/>
      </c>
      <c r="U80" s="8" t="n">
        <f aca="false">C80*(R80-Inputs!$C$19)*Inputs!$C$28</f>
        <v>25545.6481444665</v>
      </c>
      <c r="V80" s="8" t="str">
        <f aca="false">IF(OR(C80=0,S80=""),"",(S80-Inputs!$C$19)*Inputs!$C$28)</f>
        <v/>
      </c>
      <c r="W80" s="45"/>
      <c r="X80" s="7" t="str">
        <f aca="false">IF(OR(W80="",G80=""),"",IFERROR(W80/G80,""))</f>
        <v/>
      </c>
      <c r="Y80" s="47"/>
    </row>
    <row r="81" customFormat="false" ht="15" hidden="false" customHeight="false" outlineLevel="0" collapsed="false">
      <c r="A81" s="44" t="n">
        <v>46370</v>
      </c>
      <c r="B81" s="20" t="str">
        <f aca="false">TEXT(A81,"ddd")</f>
        <v>Mon</v>
      </c>
      <c r="C81" s="6" t="n">
        <f aca="false">IF(A81&gt;=Inputs!$C$9,1,0)</f>
        <v>1</v>
      </c>
      <c r="D81" s="6" t="n">
        <f aca="false">IF(C81=1,A81-Inputs!$C$9+1,"")</f>
        <v>70</v>
      </c>
      <c r="E81" s="51" t="n">
        <f aca="false">IF(C81=1,MIN(1,D81/Inputs!$C$29),0)</f>
        <v>1</v>
      </c>
      <c r="F81" s="6" t="n">
        <f aca="false">Inputs!$C$13+(Inputs!$C$32-Inputs!$C$13)*E81</f>
        <v>1073.06666666667</v>
      </c>
      <c r="G81" s="45"/>
      <c r="H81" s="7" t="str">
        <f aca="false">IF(G81="","",IFERROR(G81/F81-1,""))</f>
        <v/>
      </c>
      <c r="I81" s="6" t="n">
        <f aca="false">Inputs!$C$14+(Inputs!$C$24-Inputs!$C$14)*E81</f>
        <v>670.666666666667</v>
      </c>
      <c r="J81" s="45"/>
      <c r="K81" s="7" t="str">
        <f aca="false">IF(J81="","",IFERROR(J81/I81-1,""))</f>
        <v/>
      </c>
      <c r="L81" s="52" t="str">
        <f aca="false">IF(OR(G81="",J81=""),"",IFERROR(G81/J81,""))</f>
        <v/>
      </c>
      <c r="M81" s="53" t="str">
        <f aca="false">IF(OR(J81="",'Site Daily'!E81=""),"",IFERROR(J81/'Site Daily'!E81*1000,""))</f>
        <v/>
      </c>
      <c r="N81" s="53" t="n">
        <f aca="false">I81*(Inputs!$C$17+(Inputs!$C$26-Inputs!$C$17)*E81)</f>
        <v>75.45</v>
      </c>
      <c r="O81" s="45"/>
      <c r="P81" s="7" t="str">
        <f aca="false">IF(OR(O81="",J81=""),"",IFERROR(O81/J81,""))</f>
        <v/>
      </c>
      <c r="Q81" s="46"/>
      <c r="R81" s="8" t="n">
        <f aca="false">N81*(Inputs!$C$16+(Inputs!$C$27-Inputs!$C$16)*E81)</f>
        <v>135810</v>
      </c>
      <c r="S81" s="8" t="str">
        <f aca="false">IF(OR(O81="",Q81="",J81=""),"",IFERROR(O81*Q81/J81,""))</f>
        <v/>
      </c>
      <c r="T81" s="7" t="str">
        <f aca="false">IF(S81="","",IFERROR(S81/R81-1,""))</f>
        <v/>
      </c>
      <c r="U81" s="8" t="n">
        <f aca="false">C81*(R81-Inputs!$C$19)*Inputs!$C$28</f>
        <v>25545.6481444665</v>
      </c>
      <c r="V81" s="8" t="str">
        <f aca="false">IF(OR(C81=0,S81=""),"",(S81-Inputs!$C$19)*Inputs!$C$28)</f>
        <v/>
      </c>
      <c r="W81" s="45"/>
      <c r="X81" s="7" t="str">
        <f aca="false">IF(OR(W81="",G81=""),"",IFERROR(W81/G81,""))</f>
        <v/>
      </c>
      <c r="Y81" s="47"/>
    </row>
    <row r="82" customFormat="false" ht="15" hidden="false" customHeight="false" outlineLevel="0" collapsed="false">
      <c r="A82" s="44" t="n">
        <v>46371</v>
      </c>
      <c r="B82" s="20" t="str">
        <f aca="false">TEXT(A82,"ddd")</f>
        <v>Tue</v>
      </c>
      <c r="C82" s="6" t="n">
        <f aca="false">IF(A82&gt;=Inputs!$C$9,1,0)</f>
        <v>1</v>
      </c>
      <c r="D82" s="6" t="n">
        <f aca="false">IF(C82=1,A82-Inputs!$C$9+1,"")</f>
        <v>71</v>
      </c>
      <c r="E82" s="51" t="n">
        <f aca="false">IF(C82=1,MIN(1,D82/Inputs!$C$29),0)</f>
        <v>1</v>
      </c>
      <c r="F82" s="6" t="n">
        <f aca="false">Inputs!$C$13+(Inputs!$C$32-Inputs!$C$13)*E82</f>
        <v>1073.06666666667</v>
      </c>
      <c r="G82" s="45"/>
      <c r="H82" s="7" t="str">
        <f aca="false">IF(G82="","",IFERROR(G82/F82-1,""))</f>
        <v/>
      </c>
      <c r="I82" s="6" t="n">
        <f aca="false">Inputs!$C$14+(Inputs!$C$24-Inputs!$C$14)*E82</f>
        <v>670.666666666667</v>
      </c>
      <c r="J82" s="45"/>
      <c r="K82" s="7" t="str">
        <f aca="false">IF(J82="","",IFERROR(J82/I82-1,""))</f>
        <v/>
      </c>
      <c r="L82" s="52" t="str">
        <f aca="false">IF(OR(G82="",J82=""),"",IFERROR(G82/J82,""))</f>
        <v/>
      </c>
      <c r="M82" s="53" t="str">
        <f aca="false">IF(OR(J82="",'Site Daily'!E82=""),"",IFERROR(J82/'Site Daily'!E82*1000,""))</f>
        <v/>
      </c>
      <c r="N82" s="53" t="n">
        <f aca="false">I82*(Inputs!$C$17+(Inputs!$C$26-Inputs!$C$17)*E82)</f>
        <v>75.45</v>
      </c>
      <c r="O82" s="45"/>
      <c r="P82" s="7" t="str">
        <f aca="false">IF(OR(O82="",J82=""),"",IFERROR(O82/J82,""))</f>
        <v/>
      </c>
      <c r="Q82" s="46"/>
      <c r="R82" s="8" t="n">
        <f aca="false">N82*(Inputs!$C$16+(Inputs!$C$27-Inputs!$C$16)*E82)</f>
        <v>135810</v>
      </c>
      <c r="S82" s="8" t="str">
        <f aca="false">IF(OR(O82="",Q82="",J82=""),"",IFERROR(O82*Q82/J82,""))</f>
        <v/>
      </c>
      <c r="T82" s="7" t="str">
        <f aca="false">IF(S82="","",IFERROR(S82/R82-1,""))</f>
        <v/>
      </c>
      <c r="U82" s="8" t="n">
        <f aca="false">C82*(R82-Inputs!$C$19)*Inputs!$C$28</f>
        <v>25545.6481444665</v>
      </c>
      <c r="V82" s="8" t="str">
        <f aca="false">IF(OR(C82=0,S82=""),"",(S82-Inputs!$C$19)*Inputs!$C$28)</f>
        <v/>
      </c>
      <c r="W82" s="45"/>
      <c r="X82" s="7" t="str">
        <f aca="false">IF(OR(W82="",G82=""),"",IFERROR(W82/G82,""))</f>
        <v/>
      </c>
      <c r="Y82" s="47"/>
    </row>
    <row r="83" customFormat="false" ht="15" hidden="false" customHeight="false" outlineLevel="0" collapsed="false">
      <c r="A83" s="44" t="n">
        <v>46372</v>
      </c>
      <c r="B83" s="20" t="str">
        <f aca="false">TEXT(A83,"ddd")</f>
        <v>Wed</v>
      </c>
      <c r="C83" s="6" t="n">
        <f aca="false">IF(A83&gt;=Inputs!$C$9,1,0)</f>
        <v>1</v>
      </c>
      <c r="D83" s="6" t="n">
        <f aca="false">IF(C83=1,A83-Inputs!$C$9+1,"")</f>
        <v>72</v>
      </c>
      <c r="E83" s="51" t="n">
        <f aca="false">IF(C83=1,MIN(1,D83/Inputs!$C$29),0)</f>
        <v>1</v>
      </c>
      <c r="F83" s="6" t="n">
        <f aca="false">Inputs!$C$13+(Inputs!$C$32-Inputs!$C$13)*E83</f>
        <v>1073.06666666667</v>
      </c>
      <c r="G83" s="45"/>
      <c r="H83" s="7" t="str">
        <f aca="false">IF(G83="","",IFERROR(G83/F83-1,""))</f>
        <v/>
      </c>
      <c r="I83" s="6" t="n">
        <f aca="false">Inputs!$C$14+(Inputs!$C$24-Inputs!$C$14)*E83</f>
        <v>670.666666666667</v>
      </c>
      <c r="J83" s="45"/>
      <c r="K83" s="7" t="str">
        <f aca="false">IF(J83="","",IFERROR(J83/I83-1,""))</f>
        <v/>
      </c>
      <c r="L83" s="52" t="str">
        <f aca="false">IF(OR(G83="",J83=""),"",IFERROR(G83/J83,""))</f>
        <v/>
      </c>
      <c r="M83" s="53" t="str">
        <f aca="false">IF(OR(J83="",'Site Daily'!E83=""),"",IFERROR(J83/'Site Daily'!E83*1000,""))</f>
        <v/>
      </c>
      <c r="N83" s="53" t="n">
        <f aca="false">I83*(Inputs!$C$17+(Inputs!$C$26-Inputs!$C$17)*E83)</f>
        <v>75.45</v>
      </c>
      <c r="O83" s="45"/>
      <c r="P83" s="7" t="str">
        <f aca="false">IF(OR(O83="",J83=""),"",IFERROR(O83/J83,""))</f>
        <v/>
      </c>
      <c r="Q83" s="46"/>
      <c r="R83" s="8" t="n">
        <f aca="false">N83*(Inputs!$C$16+(Inputs!$C$27-Inputs!$C$16)*E83)</f>
        <v>135810</v>
      </c>
      <c r="S83" s="8" t="str">
        <f aca="false">IF(OR(O83="",Q83="",J83=""),"",IFERROR(O83*Q83/J83,""))</f>
        <v/>
      </c>
      <c r="T83" s="7" t="str">
        <f aca="false">IF(S83="","",IFERROR(S83/R83-1,""))</f>
        <v/>
      </c>
      <c r="U83" s="8" t="n">
        <f aca="false">C83*(R83-Inputs!$C$19)*Inputs!$C$28</f>
        <v>25545.6481444665</v>
      </c>
      <c r="V83" s="8" t="str">
        <f aca="false">IF(OR(C83=0,S83=""),"",(S83-Inputs!$C$19)*Inputs!$C$28)</f>
        <v/>
      </c>
      <c r="W83" s="45"/>
      <c r="X83" s="7" t="str">
        <f aca="false">IF(OR(W83="",G83=""),"",IFERROR(W83/G83,""))</f>
        <v/>
      </c>
      <c r="Y83" s="47"/>
    </row>
    <row r="84" customFormat="false" ht="15" hidden="false" customHeight="false" outlineLevel="0" collapsed="false">
      <c r="A84" s="44" t="n">
        <v>46373</v>
      </c>
      <c r="B84" s="20" t="str">
        <f aca="false">TEXT(A84,"ddd")</f>
        <v>Thu</v>
      </c>
      <c r="C84" s="6" t="n">
        <f aca="false">IF(A84&gt;=Inputs!$C$9,1,0)</f>
        <v>1</v>
      </c>
      <c r="D84" s="6" t="n">
        <f aca="false">IF(C84=1,A84-Inputs!$C$9+1,"")</f>
        <v>73</v>
      </c>
      <c r="E84" s="51" t="n">
        <f aca="false">IF(C84=1,MIN(1,D84/Inputs!$C$29),0)</f>
        <v>1</v>
      </c>
      <c r="F84" s="6" t="n">
        <f aca="false">Inputs!$C$13+(Inputs!$C$32-Inputs!$C$13)*E84</f>
        <v>1073.06666666667</v>
      </c>
      <c r="G84" s="45"/>
      <c r="H84" s="7" t="str">
        <f aca="false">IF(G84="","",IFERROR(G84/F84-1,""))</f>
        <v/>
      </c>
      <c r="I84" s="6" t="n">
        <f aca="false">Inputs!$C$14+(Inputs!$C$24-Inputs!$C$14)*E84</f>
        <v>670.666666666667</v>
      </c>
      <c r="J84" s="45"/>
      <c r="K84" s="7" t="str">
        <f aca="false">IF(J84="","",IFERROR(J84/I84-1,""))</f>
        <v/>
      </c>
      <c r="L84" s="52" t="str">
        <f aca="false">IF(OR(G84="",J84=""),"",IFERROR(G84/J84,""))</f>
        <v/>
      </c>
      <c r="M84" s="53" t="str">
        <f aca="false">IF(OR(J84="",'Site Daily'!E84=""),"",IFERROR(J84/'Site Daily'!E84*1000,""))</f>
        <v/>
      </c>
      <c r="N84" s="53" t="n">
        <f aca="false">I84*(Inputs!$C$17+(Inputs!$C$26-Inputs!$C$17)*E84)</f>
        <v>75.45</v>
      </c>
      <c r="O84" s="45"/>
      <c r="P84" s="7" t="str">
        <f aca="false">IF(OR(O84="",J84=""),"",IFERROR(O84/J84,""))</f>
        <v/>
      </c>
      <c r="Q84" s="46"/>
      <c r="R84" s="8" t="n">
        <f aca="false">N84*(Inputs!$C$16+(Inputs!$C$27-Inputs!$C$16)*E84)</f>
        <v>135810</v>
      </c>
      <c r="S84" s="8" t="str">
        <f aca="false">IF(OR(O84="",Q84="",J84=""),"",IFERROR(O84*Q84/J84,""))</f>
        <v/>
      </c>
      <c r="T84" s="7" t="str">
        <f aca="false">IF(S84="","",IFERROR(S84/R84-1,""))</f>
        <v/>
      </c>
      <c r="U84" s="8" t="n">
        <f aca="false">C84*(R84-Inputs!$C$19)*Inputs!$C$28</f>
        <v>25545.6481444665</v>
      </c>
      <c r="V84" s="8" t="str">
        <f aca="false">IF(OR(C84=0,S84=""),"",(S84-Inputs!$C$19)*Inputs!$C$28)</f>
        <v/>
      </c>
      <c r="W84" s="45"/>
      <c r="X84" s="7" t="str">
        <f aca="false">IF(OR(W84="",G84=""),"",IFERROR(W84/G84,""))</f>
        <v/>
      </c>
      <c r="Y84" s="47"/>
    </row>
    <row r="85" customFormat="false" ht="15" hidden="false" customHeight="false" outlineLevel="0" collapsed="false">
      <c r="A85" s="44" t="n">
        <v>46374</v>
      </c>
      <c r="B85" s="20" t="str">
        <f aca="false">TEXT(A85,"ddd")</f>
        <v>Fri</v>
      </c>
      <c r="C85" s="6" t="n">
        <f aca="false">IF(A85&gt;=Inputs!$C$9,1,0)</f>
        <v>1</v>
      </c>
      <c r="D85" s="6" t="n">
        <f aca="false">IF(C85=1,A85-Inputs!$C$9+1,"")</f>
        <v>74</v>
      </c>
      <c r="E85" s="51" t="n">
        <f aca="false">IF(C85=1,MIN(1,D85/Inputs!$C$29),0)</f>
        <v>1</v>
      </c>
      <c r="F85" s="6" t="n">
        <f aca="false">Inputs!$C$13+(Inputs!$C$32-Inputs!$C$13)*E85</f>
        <v>1073.06666666667</v>
      </c>
      <c r="G85" s="45"/>
      <c r="H85" s="7" t="str">
        <f aca="false">IF(G85="","",IFERROR(G85/F85-1,""))</f>
        <v/>
      </c>
      <c r="I85" s="6" t="n">
        <f aca="false">Inputs!$C$14+(Inputs!$C$24-Inputs!$C$14)*E85</f>
        <v>670.666666666667</v>
      </c>
      <c r="J85" s="45"/>
      <c r="K85" s="7" t="str">
        <f aca="false">IF(J85="","",IFERROR(J85/I85-1,""))</f>
        <v/>
      </c>
      <c r="L85" s="52" t="str">
        <f aca="false">IF(OR(G85="",J85=""),"",IFERROR(G85/J85,""))</f>
        <v/>
      </c>
      <c r="M85" s="53" t="str">
        <f aca="false">IF(OR(J85="",'Site Daily'!E85=""),"",IFERROR(J85/'Site Daily'!E85*1000,""))</f>
        <v/>
      </c>
      <c r="N85" s="53" t="n">
        <f aca="false">I85*(Inputs!$C$17+(Inputs!$C$26-Inputs!$C$17)*E85)</f>
        <v>75.45</v>
      </c>
      <c r="O85" s="45"/>
      <c r="P85" s="7" t="str">
        <f aca="false">IF(OR(O85="",J85=""),"",IFERROR(O85/J85,""))</f>
        <v/>
      </c>
      <c r="Q85" s="46"/>
      <c r="R85" s="8" t="n">
        <f aca="false">N85*(Inputs!$C$16+(Inputs!$C$27-Inputs!$C$16)*E85)</f>
        <v>135810</v>
      </c>
      <c r="S85" s="8" t="str">
        <f aca="false">IF(OR(O85="",Q85="",J85=""),"",IFERROR(O85*Q85/J85,""))</f>
        <v/>
      </c>
      <c r="T85" s="7" t="str">
        <f aca="false">IF(S85="","",IFERROR(S85/R85-1,""))</f>
        <v/>
      </c>
      <c r="U85" s="8" t="n">
        <f aca="false">C85*(R85-Inputs!$C$19)*Inputs!$C$28</f>
        <v>25545.6481444665</v>
      </c>
      <c r="V85" s="8" t="str">
        <f aca="false">IF(OR(C85=0,S85=""),"",(S85-Inputs!$C$19)*Inputs!$C$28)</f>
        <v/>
      </c>
      <c r="W85" s="45"/>
      <c r="X85" s="7" t="str">
        <f aca="false">IF(OR(W85="",G85=""),"",IFERROR(W85/G85,""))</f>
        <v/>
      </c>
      <c r="Y85" s="47"/>
    </row>
    <row r="86" customFormat="false" ht="15" hidden="false" customHeight="false" outlineLevel="0" collapsed="false">
      <c r="A86" s="44" t="n">
        <v>46375</v>
      </c>
      <c r="B86" s="20" t="str">
        <f aca="false">TEXT(A86,"ddd")</f>
        <v>Sat</v>
      </c>
      <c r="C86" s="6" t="n">
        <f aca="false">IF(A86&gt;=Inputs!$C$9,1,0)</f>
        <v>1</v>
      </c>
      <c r="D86" s="6" t="n">
        <f aca="false">IF(C86=1,A86-Inputs!$C$9+1,"")</f>
        <v>75</v>
      </c>
      <c r="E86" s="51" t="n">
        <f aca="false">IF(C86=1,MIN(1,D86/Inputs!$C$29),0)</f>
        <v>1</v>
      </c>
      <c r="F86" s="6" t="n">
        <f aca="false">Inputs!$C$13+(Inputs!$C$32-Inputs!$C$13)*E86</f>
        <v>1073.06666666667</v>
      </c>
      <c r="G86" s="45"/>
      <c r="H86" s="7" t="str">
        <f aca="false">IF(G86="","",IFERROR(G86/F86-1,""))</f>
        <v/>
      </c>
      <c r="I86" s="6" t="n">
        <f aca="false">Inputs!$C$14+(Inputs!$C$24-Inputs!$C$14)*E86</f>
        <v>670.666666666667</v>
      </c>
      <c r="J86" s="45"/>
      <c r="K86" s="7" t="str">
        <f aca="false">IF(J86="","",IFERROR(J86/I86-1,""))</f>
        <v/>
      </c>
      <c r="L86" s="52" t="str">
        <f aca="false">IF(OR(G86="",J86=""),"",IFERROR(G86/J86,""))</f>
        <v/>
      </c>
      <c r="M86" s="53" t="str">
        <f aca="false">IF(OR(J86="",'Site Daily'!E86=""),"",IFERROR(J86/'Site Daily'!E86*1000,""))</f>
        <v/>
      </c>
      <c r="N86" s="53" t="n">
        <f aca="false">I86*(Inputs!$C$17+(Inputs!$C$26-Inputs!$C$17)*E86)</f>
        <v>75.45</v>
      </c>
      <c r="O86" s="45"/>
      <c r="P86" s="7" t="str">
        <f aca="false">IF(OR(O86="",J86=""),"",IFERROR(O86/J86,""))</f>
        <v/>
      </c>
      <c r="Q86" s="46"/>
      <c r="R86" s="8" t="n">
        <f aca="false">N86*(Inputs!$C$16+(Inputs!$C$27-Inputs!$C$16)*E86)</f>
        <v>135810</v>
      </c>
      <c r="S86" s="8" t="str">
        <f aca="false">IF(OR(O86="",Q86="",J86=""),"",IFERROR(O86*Q86/J86,""))</f>
        <v/>
      </c>
      <c r="T86" s="7" t="str">
        <f aca="false">IF(S86="","",IFERROR(S86/R86-1,""))</f>
        <v/>
      </c>
      <c r="U86" s="8" t="n">
        <f aca="false">C86*(R86-Inputs!$C$19)*Inputs!$C$28</f>
        <v>25545.6481444665</v>
      </c>
      <c r="V86" s="8" t="str">
        <f aca="false">IF(OR(C86=0,S86=""),"",(S86-Inputs!$C$19)*Inputs!$C$28)</f>
        <v/>
      </c>
      <c r="W86" s="45"/>
      <c r="X86" s="7" t="str">
        <f aca="false">IF(OR(W86="",G86=""),"",IFERROR(W86/G86,""))</f>
        <v/>
      </c>
      <c r="Y86" s="47"/>
    </row>
    <row r="87" customFormat="false" ht="15" hidden="false" customHeight="false" outlineLevel="0" collapsed="false">
      <c r="A87" s="44" t="n">
        <v>46376</v>
      </c>
      <c r="B87" s="20" t="str">
        <f aca="false">TEXT(A87,"ddd")</f>
        <v>Sun</v>
      </c>
      <c r="C87" s="6" t="n">
        <f aca="false">IF(A87&gt;=Inputs!$C$9,1,0)</f>
        <v>1</v>
      </c>
      <c r="D87" s="6" t="n">
        <f aca="false">IF(C87=1,A87-Inputs!$C$9+1,"")</f>
        <v>76</v>
      </c>
      <c r="E87" s="51" t="n">
        <f aca="false">IF(C87=1,MIN(1,D87/Inputs!$C$29),0)</f>
        <v>1</v>
      </c>
      <c r="F87" s="6" t="n">
        <f aca="false">Inputs!$C$13+(Inputs!$C$32-Inputs!$C$13)*E87</f>
        <v>1073.06666666667</v>
      </c>
      <c r="G87" s="45"/>
      <c r="H87" s="7" t="str">
        <f aca="false">IF(G87="","",IFERROR(G87/F87-1,""))</f>
        <v/>
      </c>
      <c r="I87" s="6" t="n">
        <f aca="false">Inputs!$C$14+(Inputs!$C$24-Inputs!$C$14)*E87</f>
        <v>670.666666666667</v>
      </c>
      <c r="J87" s="45"/>
      <c r="K87" s="7" t="str">
        <f aca="false">IF(J87="","",IFERROR(J87/I87-1,""))</f>
        <v/>
      </c>
      <c r="L87" s="52" t="str">
        <f aca="false">IF(OR(G87="",J87=""),"",IFERROR(G87/J87,""))</f>
        <v/>
      </c>
      <c r="M87" s="53" t="str">
        <f aca="false">IF(OR(J87="",'Site Daily'!E87=""),"",IFERROR(J87/'Site Daily'!E87*1000,""))</f>
        <v/>
      </c>
      <c r="N87" s="53" t="n">
        <f aca="false">I87*(Inputs!$C$17+(Inputs!$C$26-Inputs!$C$17)*E87)</f>
        <v>75.45</v>
      </c>
      <c r="O87" s="45"/>
      <c r="P87" s="7" t="str">
        <f aca="false">IF(OR(O87="",J87=""),"",IFERROR(O87/J87,""))</f>
        <v/>
      </c>
      <c r="Q87" s="46"/>
      <c r="R87" s="8" t="n">
        <f aca="false">N87*(Inputs!$C$16+(Inputs!$C$27-Inputs!$C$16)*E87)</f>
        <v>135810</v>
      </c>
      <c r="S87" s="8" t="str">
        <f aca="false">IF(OR(O87="",Q87="",J87=""),"",IFERROR(O87*Q87/J87,""))</f>
        <v/>
      </c>
      <c r="T87" s="7" t="str">
        <f aca="false">IF(S87="","",IFERROR(S87/R87-1,""))</f>
        <v/>
      </c>
      <c r="U87" s="8" t="n">
        <f aca="false">C87*(R87-Inputs!$C$19)*Inputs!$C$28</f>
        <v>25545.6481444665</v>
      </c>
      <c r="V87" s="8" t="str">
        <f aca="false">IF(OR(C87=0,S87=""),"",(S87-Inputs!$C$19)*Inputs!$C$28)</f>
        <v/>
      </c>
      <c r="W87" s="45"/>
      <c r="X87" s="7" t="str">
        <f aca="false">IF(OR(W87="",G87=""),"",IFERROR(W87/G87,""))</f>
        <v/>
      </c>
      <c r="Y87" s="47"/>
    </row>
    <row r="88" customFormat="false" ht="15" hidden="false" customHeight="false" outlineLevel="0" collapsed="false">
      <c r="A88" s="44" t="n">
        <v>46377</v>
      </c>
      <c r="B88" s="20" t="str">
        <f aca="false">TEXT(A88,"ddd")</f>
        <v>Mon</v>
      </c>
      <c r="C88" s="6" t="n">
        <f aca="false">IF(A88&gt;=Inputs!$C$9,1,0)</f>
        <v>1</v>
      </c>
      <c r="D88" s="6" t="n">
        <f aca="false">IF(C88=1,A88-Inputs!$C$9+1,"")</f>
        <v>77</v>
      </c>
      <c r="E88" s="51" t="n">
        <f aca="false">IF(C88=1,MIN(1,D88/Inputs!$C$29),0)</f>
        <v>1</v>
      </c>
      <c r="F88" s="6" t="n">
        <f aca="false">Inputs!$C$13+(Inputs!$C$32-Inputs!$C$13)*E88</f>
        <v>1073.06666666667</v>
      </c>
      <c r="G88" s="45"/>
      <c r="H88" s="7" t="str">
        <f aca="false">IF(G88="","",IFERROR(G88/F88-1,""))</f>
        <v/>
      </c>
      <c r="I88" s="6" t="n">
        <f aca="false">Inputs!$C$14+(Inputs!$C$24-Inputs!$C$14)*E88</f>
        <v>670.666666666667</v>
      </c>
      <c r="J88" s="45"/>
      <c r="K88" s="7" t="str">
        <f aca="false">IF(J88="","",IFERROR(J88/I88-1,""))</f>
        <v/>
      </c>
      <c r="L88" s="52" t="str">
        <f aca="false">IF(OR(G88="",J88=""),"",IFERROR(G88/J88,""))</f>
        <v/>
      </c>
      <c r="M88" s="53" t="str">
        <f aca="false">IF(OR(J88="",'Site Daily'!E88=""),"",IFERROR(J88/'Site Daily'!E88*1000,""))</f>
        <v/>
      </c>
      <c r="N88" s="53" t="n">
        <f aca="false">I88*(Inputs!$C$17+(Inputs!$C$26-Inputs!$C$17)*E88)</f>
        <v>75.45</v>
      </c>
      <c r="O88" s="45"/>
      <c r="P88" s="7" t="str">
        <f aca="false">IF(OR(O88="",J88=""),"",IFERROR(O88/J88,""))</f>
        <v/>
      </c>
      <c r="Q88" s="46"/>
      <c r="R88" s="8" t="n">
        <f aca="false">N88*(Inputs!$C$16+(Inputs!$C$27-Inputs!$C$16)*E88)</f>
        <v>135810</v>
      </c>
      <c r="S88" s="8" t="str">
        <f aca="false">IF(OR(O88="",Q88="",J88=""),"",IFERROR(O88*Q88/J88,""))</f>
        <v/>
      </c>
      <c r="T88" s="7" t="str">
        <f aca="false">IF(S88="","",IFERROR(S88/R88-1,""))</f>
        <v/>
      </c>
      <c r="U88" s="8" t="n">
        <f aca="false">C88*(R88-Inputs!$C$19)*Inputs!$C$28</f>
        <v>25545.6481444665</v>
      </c>
      <c r="V88" s="8" t="str">
        <f aca="false">IF(OR(C88=0,S88=""),"",(S88-Inputs!$C$19)*Inputs!$C$28)</f>
        <v/>
      </c>
      <c r="W88" s="45"/>
      <c r="X88" s="7" t="str">
        <f aca="false">IF(OR(W88="",G88=""),"",IFERROR(W88/G88,""))</f>
        <v/>
      </c>
      <c r="Y88" s="47"/>
    </row>
    <row r="89" customFormat="false" ht="15" hidden="false" customHeight="false" outlineLevel="0" collapsed="false">
      <c r="A89" s="44" t="n">
        <v>46378</v>
      </c>
      <c r="B89" s="20" t="str">
        <f aca="false">TEXT(A89,"ddd")</f>
        <v>Tue</v>
      </c>
      <c r="C89" s="6" t="n">
        <f aca="false">IF(A89&gt;=Inputs!$C$9,1,0)</f>
        <v>1</v>
      </c>
      <c r="D89" s="6" t="n">
        <f aca="false">IF(C89=1,A89-Inputs!$C$9+1,"")</f>
        <v>78</v>
      </c>
      <c r="E89" s="51" t="n">
        <f aca="false">IF(C89=1,MIN(1,D89/Inputs!$C$29),0)</f>
        <v>1</v>
      </c>
      <c r="F89" s="6" t="n">
        <f aca="false">Inputs!$C$13+(Inputs!$C$32-Inputs!$C$13)*E89</f>
        <v>1073.06666666667</v>
      </c>
      <c r="G89" s="45"/>
      <c r="H89" s="7" t="str">
        <f aca="false">IF(G89="","",IFERROR(G89/F89-1,""))</f>
        <v/>
      </c>
      <c r="I89" s="6" t="n">
        <f aca="false">Inputs!$C$14+(Inputs!$C$24-Inputs!$C$14)*E89</f>
        <v>670.666666666667</v>
      </c>
      <c r="J89" s="45"/>
      <c r="K89" s="7" t="str">
        <f aca="false">IF(J89="","",IFERROR(J89/I89-1,""))</f>
        <v/>
      </c>
      <c r="L89" s="52" t="str">
        <f aca="false">IF(OR(G89="",J89=""),"",IFERROR(G89/J89,""))</f>
        <v/>
      </c>
      <c r="M89" s="53" t="str">
        <f aca="false">IF(OR(J89="",'Site Daily'!E89=""),"",IFERROR(J89/'Site Daily'!E89*1000,""))</f>
        <v/>
      </c>
      <c r="N89" s="53" t="n">
        <f aca="false">I89*(Inputs!$C$17+(Inputs!$C$26-Inputs!$C$17)*E89)</f>
        <v>75.45</v>
      </c>
      <c r="O89" s="45"/>
      <c r="P89" s="7" t="str">
        <f aca="false">IF(OR(O89="",J89=""),"",IFERROR(O89/J89,""))</f>
        <v/>
      </c>
      <c r="Q89" s="46"/>
      <c r="R89" s="8" t="n">
        <f aca="false">N89*(Inputs!$C$16+(Inputs!$C$27-Inputs!$C$16)*E89)</f>
        <v>135810</v>
      </c>
      <c r="S89" s="8" t="str">
        <f aca="false">IF(OR(O89="",Q89="",J89=""),"",IFERROR(O89*Q89/J89,""))</f>
        <v/>
      </c>
      <c r="T89" s="7" t="str">
        <f aca="false">IF(S89="","",IFERROR(S89/R89-1,""))</f>
        <v/>
      </c>
      <c r="U89" s="8" t="n">
        <f aca="false">C89*(R89-Inputs!$C$19)*Inputs!$C$28</f>
        <v>25545.6481444665</v>
      </c>
      <c r="V89" s="8" t="str">
        <f aca="false">IF(OR(C89=0,S89=""),"",(S89-Inputs!$C$19)*Inputs!$C$28)</f>
        <v/>
      </c>
      <c r="W89" s="45"/>
      <c r="X89" s="7" t="str">
        <f aca="false">IF(OR(W89="",G89=""),"",IFERROR(W89/G89,""))</f>
        <v/>
      </c>
      <c r="Y89" s="47"/>
    </row>
    <row r="90" customFormat="false" ht="15" hidden="false" customHeight="false" outlineLevel="0" collapsed="false">
      <c r="A90" s="44" t="n">
        <v>46379</v>
      </c>
      <c r="B90" s="20" t="str">
        <f aca="false">TEXT(A90,"ddd")</f>
        <v>Wed</v>
      </c>
      <c r="C90" s="6" t="n">
        <f aca="false">IF(A90&gt;=Inputs!$C$9,1,0)</f>
        <v>1</v>
      </c>
      <c r="D90" s="6" t="n">
        <f aca="false">IF(C90=1,A90-Inputs!$C$9+1,"")</f>
        <v>79</v>
      </c>
      <c r="E90" s="51" t="n">
        <f aca="false">IF(C90=1,MIN(1,D90/Inputs!$C$29),0)</f>
        <v>1</v>
      </c>
      <c r="F90" s="6" t="n">
        <f aca="false">Inputs!$C$13+(Inputs!$C$32-Inputs!$C$13)*E90</f>
        <v>1073.06666666667</v>
      </c>
      <c r="G90" s="45"/>
      <c r="H90" s="7" t="str">
        <f aca="false">IF(G90="","",IFERROR(G90/F90-1,""))</f>
        <v/>
      </c>
      <c r="I90" s="6" t="n">
        <f aca="false">Inputs!$C$14+(Inputs!$C$24-Inputs!$C$14)*E90</f>
        <v>670.666666666667</v>
      </c>
      <c r="J90" s="45"/>
      <c r="K90" s="7" t="str">
        <f aca="false">IF(J90="","",IFERROR(J90/I90-1,""))</f>
        <v/>
      </c>
      <c r="L90" s="52" t="str">
        <f aca="false">IF(OR(G90="",J90=""),"",IFERROR(G90/J90,""))</f>
        <v/>
      </c>
      <c r="M90" s="53" t="str">
        <f aca="false">IF(OR(J90="",'Site Daily'!E90=""),"",IFERROR(J90/'Site Daily'!E90*1000,""))</f>
        <v/>
      </c>
      <c r="N90" s="53" t="n">
        <f aca="false">I90*(Inputs!$C$17+(Inputs!$C$26-Inputs!$C$17)*E90)</f>
        <v>75.45</v>
      </c>
      <c r="O90" s="45"/>
      <c r="P90" s="7" t="str">
        <f aca="false">IF(OR(O90="",J90=""),"",IFERROR(O90/J90,""))</f>
        <v/>
      </c>
      <c r="Q90" s="46"/>
      <c r="R90" s="8" t="n">
        <f aca="false">N90*(Inputs!$C$16+(Inputs!$C$27-Inputs!$C$16)*E90)</f>
        <v>135810</v>
      </c>
      <c r="S90" s="8" t="str">
        <f aca="false">IF(OR(O90="",Q90="",J90=""),"",IFERROR(O90*Q90/J90,""))</f>
        <v/>
      </c>
      <c r="T90" s="7" t="str">
        <f aca="false">IF(S90="","",IFERROR(S90/R90-1,""))</f>
        <v/>
      </c>
      <c r="U90" s="8" t="n">
        <f aca="false">C90*(R90-Inputs!$C$19)*Inputs!$C$28</f>
        <v>25545.6481444665</v>
      </c>
      <c r="V90" s="8" t="str">
        <f aca="false">IF(OR(C90=0,S90=""),"",(S90-Inputs!$C$19)*Inputs!$C$28)</f>
        <v/>
      </c>
      <c r="W90" s="45"/>
      <c r="X90" s="7" t="str">
        <f aca="false">IF(OR(W90="",G90=""),"",IFERROR(W90/G90,""))</f>
        <v/>
      </c>
      <c r="Y90" s="47"/>
    </row>
    <row r="91" customFormat="false" ht="15" hidden="false" customHeight="false" outlineLevel="0" collapsed="false">
      <c r="A91" s="44" t="n">
        <v>46380</v>
      </c>
      <c r="B91" s="20" t="str">
        <f aca="false">TEXT(A91,"ddd")</f>
        <v>Thu</v>
      </c>
      <c r="C91" s="6" t="n">
        <f aca="false">IF(A91&gt;=Inputs!$C$9,1,0)</f>
        <v>1</v>
      </c>
      <c r="D91" s="6" t="n">
        <f aca="false">IF(C91=1,A91-Inputs!$C$9+1,"")</f>
        <v>80</v>
      </c>
      <c r="E91" s="51" t="n">
        <f aca="false">IF(C91=1,MIN(1,D91/Inputs!$C$29),0)</f>
        <v>1</v>
      </c>
      <c r="F91" s="6" t="n">
        <f aca="false">Inputs!$C$13+(Inputs!$C$32-Inputs!$C$13)*E91</f>
        <v>1073.06666666667</v>
      </c>
      <c r="G91" s="45"/>
      <c r="H91" s="7" t="str">
        <f aca="false">IF(G91="","",IFERROR(G91/F91-1,""))</f>
        <v/>
      </c>
      <c r="I91" s="6" t="n">
        <f aca="false">Inputs!$C$14+(Inputs!$C$24-Inputs!$C$14)*E91</f>
        <v>670.666666666667</v>
      </c>
      <c r="J91" s="45"/>
      <c r="K91" s="7" t="str">
        <f aca="false">IF(J91="","",IFERROR(J91/I91-1,""))</f>
        <v/>
      </c>
      <c r="L91" s="52" t="str">
        <f aca="false">IF(OR(G91="",J91=""),"",IFERROR(G91/J91,""))</f>
        <v/>
      </c>
      <c r="M91" s="53" t="str">
        <f aca="false">IF(OR(J91="",'Site Daily'!E91=""),"",IFERROR(J91/'Site Daily'!E91*1000,""))</f>
        <v/>
      </c>
      <c r="N91" s="53" t="n">
        <f aca="false">I91*(Inputs!$C$17+(Inputs!$C$26-Inputs!$C$17)*E91)</f>
        <v>75.45</v>
      </c>
      <c r="O91" s="45"/>
      <c r="P91" s="7" t="str">
        <f aca="false">IF(OR(O91="",J91=""),"",IFERROR(O91/J91,""))</f>
        <v/>
      </c>
      <c r="Q91" s="46"/>
      <c r="R91" s="8" t="n">
        <f aca="false">N91*(Inputs!$C$16+(Inputs!$C$27-Inputs!$C$16)*E91)</f>
        <v>135810</v>
      </c>
      <c r="S91" s="8" t="str">
        <f aca="false">IF(OR(O91="",Q91="",J91=""),"",IFERROR(O91*Q91/J91,""))</f>
        <v/>
      </c>
      <c r="T91" s="7" t="str">
        <f aca="false">IF(S91="","",IFERROR(S91/R91-1,""))</f>
        <v/>
      </c>
      <c r="U91" s="8" t="n">
        <f aca="false">C91*(R91-Inputs!$C$19)*Inputs!$C$28</f>
        <v>25545.6481444665</v>
      </c>
      <c r="V91" s="8" t="str">
        <f aca="false">IF(OR(C91=0,S91=""),"",(S91-Inputs!$C$19)*Inputs!$C$28)</f>
        <v/>
      </c>
      <c r="W91" s="45"/>
      <c r="X91" s="7" t="str">
        <f aca="false">IF(OR(W91="",G91=""),"",IFERROR(W91/G91,""))</f>
        <v/>
      </c>
      <c r="Y91" s="47"/>
    </row>
    <row r="92" customFormat="false" ht="15" hidden="false" customHeight="false" outlineLevel="0" collapsed="false">
      <c r="A92" s="44" t="n">
        <v>46381</v>
      </c>
      <c r="B92" s="20" t="str">
        <f aca="false">TEXT(A92,"ddd")</f>
        <v>Fri</v>
      </c>
      <c r="C92" s="6" t="n">
        <f aca="false">IF(A92&gt;=Inputs!$C$9,1,0)</f>
        <v>1</v>
      </c>
      <c r="D92" s="6" t="n">
        <f aca="false">IF(C92=1,A92-Inputs!$C$9+1,"")</f>
        <v>81</v>
      </c>
      <c r="E92" s="51" t="n">
        <f aca="false">IF(C92=1,MIN(1,D92/Inputs!$C$29),0)</f>
        <v>1</v>
      </c>
      <c r="F92" s="6" t="n">
        <f aca="false">Inputs!$C$13+(Inputs!$C$32-Inputs!$C$13)*E92</f>
        <v>1073.06666666667</v>
      </c>
      <c r="G92" s="45"/>
      <c r="H92" s="7" t="str">
        <f aca="false">IF(G92="","",IFERROR(G92/F92-1,""))</f>
        <v/>
      </c>
      <c r="I92" s="6" t="n">
        <f aca="false">Inputs!$C$14+(Inputs!$C$24-Inputs!$C$14)*E92</f>
        <v>670.666666666667</v>
      </c>
      <c r="J92" s="45"/>
      <c r="K92" s="7" t="str">
        <f aca="false">IF(J92="","",IFERROR(J92/I92-1,""))</f>
        <v/>
      </c>
      <c r="L92" s="52" t="str">
        <f aca="false">IF(OR(G92="",J92=""),"",IFERROR(G92/J92,""))</f>
        <v/>
      </c>
      <c r="M92" s="53" t="str">
        <f aca="false">IF(OR(J92="",'Site Daily'!E92=""),"",IFERROR(J92/'Site Daily'!E92*1000,""))</f>
        <v/>
      </c>
      <c r="N92" s="53" t="n">
        <f aca="false">I92*(Inputs!$C$17+(Inputs!$C$26-Inputs!$C$17)*E92)</f>
        <v>75.45</v>
      </c>
      <c r="O92" s="45"/>
      <c r="P92" s="7" t="str">
        <f aca="false">IF(OR(O92="",J92=""),"",IFERROR(O92/J92,""))</f>
        <v/>
      </c>
      <c r="Q92" s="46"/>
      <c r="R92" s="8" t="n">
        <f aca="false">N92*(Inputs!$C$16+(Inputs!$C$27-Inputs!$C$16)*E92)</f>
        <v>135810</v>
      </c>
      <c r="S92" s="8" t="str">
        <f aca="false">IF(OR(O92="",Q92="",J92=""),"",IFERROR(O92*Q92/J92,""))</f>
        <v/>
      </c>
      <c r="T92" s="7" t="str">
        <f aca="false">IF(S92="","",IFERROR(S92/R92-1,""))</f>
        <v/>
      </c>
      <c r="U92" s="8" t="n">
        <f aca="false">C92*(R92-Inputs!$C$19)*Inputs!$C$28</f>
        <v>25545.6481444665</v>
      </c>
      <c r="V92" s="8" t="str">
        <f aca="false">IF(OR(C92=0,S92=""),"",(S92-Inputs!$C$19)*Inputs!$C$28)</f>
        <v/>
      </c>
      <c r="W92" s="45"/>
      <c r="X92" s="7" t="str">
        <f aca="false">IF(OR(W92="",G92=""),"",IFERROR(W92/G92,""))</f>
        <v/>
      </c>
      <c r="Y92" s="47"/>
    </row>
    <row r="93" customFormat="false" ht="15" hidden="false" customHeight="false" outlineLevel="0" collapsed="false">
      <c r="A93" s="44" t="n">
        <v>46382</v>
      </c>
      <c r="B93" s="20" t="str">
        <f aca="false">TEXT(A93,"ddd")</f>
        <v>Sat</v>
      </c>
      <c r="C93" s="6" t="n">
        <f aca="false">IF(A93&gt;=Inputs!$C$9,1,0)</f>
        <v>1</v>
      </c>
      <c r="D93" s="6" t="n">
        <f aca="false">IF(C93=1,A93-Inputs!$C$9+1,"")</f>
        <v>82</v>
      </c>
      <c r="E93" s="51" t="n">
        <f aca="false">IF(C93=1,MIN(1,D93/Inputs!$C$29),0)</f>
        <v>1</v>
      </c>
      <c r="F93" s="6" t="n">
        <f aca="false">Inputs!$C$13+(Inputs!$C$32-Inputs!$C$13)*E93</f>
        <v>1073.06666666667</v>
      </c>
      <c r="G93" s="45"/>
      <c r="H93" s="7" t="str">
        <f aca="false">IF(G93="","",IFERROR(G93/F93-1,""))</f>
        <v/>
      </c>
      <c r="I93" s="6" t="n">
        <f aca="false">Inputs!$C$14+(Inputs!$C$24-Inputs!$C$14)*E93</f>
        <v>670.666666666667</v>
      </c>
      <c r="J93" s="45"/>
      <c r="K93" s="7" t="str">
        <f aca="false">IF(J93="","",IFERROR(J93/I93-1,""))</f>
        <v/>
      </c>
      <c r="L93" s="52" t="str">
        <f aca="false">IF(OR(G93="",J93=""),"",IFERROR(G93/J93,""))</f>
        <v/>
      </c>
      <c r="M93" s="53" t="str">
        <f aca="false">IF(OR(J93="",'Site Daily'!E93=""),"",IFERROR(J93/'Site Daily'!E93*1000,""))</f>
        <v/>
      </c>
      <c r="N93" s="53" t="n">
        <f aca="false">I93*(Inputs!$C$17+(Inputs!$C$26-Inputs!$C$17)*E93)</f>
        <v>75.45</v>
      </c>
      <c r="O93" s="45"/>
      <c r="P93" s="7" t="str">
        <f aca="false">IF(OR(O93="",J93=""),"",IFERROR(O93/J93,""))</f>
        <v/>
      </c>
      <c r="Q93" s="46"/>
      <c r="R93" s="8" t="n">
        <f aca="false">N93*(Inputs!$C$16+(Inputs!$C$27-Inputs!$C$16)*E93)</f>
        <v>135810</v>
      </c>
      <c r="S93" s="8" t="str">
        <f aca="false">IF(OR(O93="",Q93="",J93=""),"",IFERROR(O93*Q93/J93,""))</f>
        <v/>
      </c>
      <c r="T93" s="7" t="str">
        <f aca="false">IF(S93="","",IFERROR(S93/R93-1,""))</f>
        <v/>
      </c>
      <c r="U93" s="8" t="n">
        <f aca="false">C93*(R93-Inputs!$C$19)*Inputs!$C$28</f>
        <v>25545.6481444665</v>
      </c>
      <c r="V93" s="8" t="str">
        <f aca="false">IF(OR(C93=0,S93=""),"",(S93-Inputs!$C$19)*Inputs!$C$28)</f>
        <v/>
      </c>
      <c r="W93" s="45"/>
      <c r="X93" s="7" t="str">
        <f aca="false">IF(OR(W93="",G93=""),"",IFERROR(W93/G93,""))</f>
        <v/>
      </c>
      <c r="Y93" s="47"/>
    </row>
    <row r="94" customFormat="false" ht="15" hidden="false" customHeight="false" outlineLevel="0" collapsed="false">
      <c r="A94" s="44" t="n">
        <v>46383</v>
      </c>
      <c r="B94" s="20" t="str">
        <f aca="false">TEXT(A94,"ddd")</f>
        <v>Sun</v>
      </c>
      <c r="C94" s="6" t="n">
        <f aca="false">IF(A94&gt;=Inputs!$C$9,1,0)</f>
        <v>1</v>
      </c>
      <c r="D94" s="6" t="n">
        <f aca="false">IF(C94=1,A94-Inputs!$C$9+1,"")</f>
        <v>83</v>
      </c>
      <c r="E94" s="51" t="n">
        <f aca="false">IF(C94=1,MIN(1,D94/Inputs!$C$29),0)</f>
        <v>1</v>
      </c>
      <c r="F94" s="6" t="n">
        <f aca="false">Inputs!$C$13+(Inputs!$C$32-Inputs!$C$13)*E94</f>
        <v>1073.06666666667</v>
      </c>
      <c r="G94" s="45"/>
      <c r="H94" s="7" t="str">
        <f aca="false">IF(G94="","",IFERROR(G94/F94-1,""))</f>
        <v/>
      </c>
      <c r="I94" s="6" t="n">
        <f aca="false">Inputs!$C$14+(Inputs!$C$24-Inputs!$C$14)*E94</f>
        <v>670.666666666667</v>
      </c>
      <c r="J94" s="45"/>
      <c r="K94" s="7" t="str">
        <f aca="false">IF(J94="","",IFERROR(J94/I94-1,""))</f>
        <v/>
      </c>
      <c r="L94" s="52" t="str">
        <f aca="false">IF(OR(G94="",J94=""),"",IFERROR(G94/J94,""))</f>
        <v/>
      </c>
      <c r="M94" s="53" t="str">
        <f aca="false">IF(OR(J94="",'Site Daily'!E94=""),"",IFERROR(J94/'Site Daily'!E94*1000,""))</f>
        <v/>
      </c>
      <c r="N94" s="53" t="n">
        <f aca="false">I94*(Inputs!$C$17+(Inputs!$C$26-Inputs!$C$17)*E94)</f>
        <v>75.45</v>
      </c>
      <c r="O94" s="45"/>
      <c r="P94" s="7" t="str">
        <f aca="false">IF(OR(O94="",J94=""),"",IFERROR(O94/J94,""))</f>
        <v/>
      </c>
      <c r="Q94" s="46"/>
      <c r="R94" s="8" t="n">
        <f aca="false">N94*(Inputs!$C$16+(Inputs!$C$27-Inputs!$C$16)*E94)</f>
        <v>135810</v>
      </c>
      <c r="S94" s="8" t="str">
        <f aca="false">IF(OR(O94="",Q94="",J94=""),"",IFERROR(O94*Q94/J94,""))</f>
        <v/>
      </c>
      <c r="T94" s="7" t="str">
        <f aca="false">IF(S94="","",IFERROR(S94/R94-1,""))</f>
        <v/>
      </c>
      <c r="U94" s="8" t="n">
        <f aca="false">C94*(R94-Inputs!$C$19)*Inputs!$C$28</f>
        <v>25545.6481444665</v>
      </c>
      <c r="V94" s="8" t="str">
        <f aca="false">IF(OR(C94=0,S94=""),"",(S94-Inputs!$C$19)*Inputs!$C$28)</f>
        <v/>
      </c>
      <c r="W94" s="45"/>
      <c r="X94" s="7" t="str">
        <f aca="false">IF(OR(W94="",G94=""),"",IFERROR(W94/G94,""))</f>
        <v/>
      </c>
      <c r="Y94" s="47"/>
    </row>
    <row r="95" customFormat="false" ht="15" hidden="false" customHeight="false" outlineLevel="0" collapsed="false">
      <c r="A95" s="44" t="n">
        <v>46384</v>
      </c>
      <c r="B95" s="20" t="str">
        <f aca="false">TEXT(A95,"ddd")</f>
        <v>Mon</v>
      </c>
      <c r="C95" s="6" t="n">
        <f aca="false">IF(A95&gt;=Inputs!$C$9,1,0)</f>
        <v>1</v>
      </c>
      <c r="D95" s="6" t="n">
        <f aca="false">IF(C95=1,A95-Inputs!$C$9+1,"")</f>
        <v>84</v>
      </c>
      <c r="E95" s="51" t="n">
        <f aca="false">IF(C95=1,MIN(1,D95/Inputs!$C$29),0)</f>
        <v>1</v>
      </c>
      <c r="F95" s="6" t="n">
        <f aca="false">Inputs!$C$13+(Inputs!$C$32-Inputs!$C$13)*E95</f>
        <v>1073.06666666667</v>
      </c>
      <c r="G95" s="45"/>
      <c r="H95" s="7" t="str">
        <f aca="false">IF(G95="","",IFERROR(G95/F95-1,""))</f>
        <v/>
      </c>
      <c r="I95" s="6" t="n">
        <f aca="false">Inputs!$C$14+(Inputs!$C$24-Inputs!$C$14)*E95</f>
        <v>670.666666666667</v>
      </c>
      <c r="J95" s="45"/>
      <c r="K95" s="7" t="str">
        <f aca="false">IF(J95="","",IFERROR(J95/I95-1,""))</f>
        <v/>
      </c>
      <c r="L95" s="52" t="str">
        <f aca="false">IF(OR(G95="",J95=""),"",IFERROR(G95/J95,""))</f>
        <v/>
      </c>
      <c r="M95" s="53" t="str">
        <f aca="false">IF(OR(J95="",'Site Daily'!E95=""),"",IFERROR(J95/'Site Daily'!E95*1000,""))</f>
        <v/>
      </c>
      <c r="N95" s="53" t="n">
        <f aca="false">I95*(Inputs!$C$17+(Inputs!$C$26-Inputs!$C$17)*E95)</f>
        <v>75.45</v>
      </c>
      <c r="O95" s="45"/>
      <c r="P95" s="7" t="str">
        <f aca="false">IF(OR(O95="",J95=""),"",IFERROR(O95/J95,""))</f>
        <v/>
      </c>
      <c r="Q95" s="46"/>
      <c r="R95" s="8" t="n">
        <f aca="false">N95*(Inputs!$C$16+(Inputs!$C$27-Inputs!$C$16)*E95)</f>
        <v>135810</v>
      </c>
      <c r="S95" s="8" t="str">
        <f aca="false">IF(OR(O95="",Q95="",J95=""),"",IFERROR(O95*Q95/J95,""))</f>
        <v/>
      </c>
      <c r="T95" s="7" t="str">
        <f aca="false">IF(S95="","",IFERROR(S95/R95-1,""))</f>
        <v/>
      </c>
      <c r="U95" s="8" t="n">
        <f aca="false">C95*(R95-Inputs!$C$19)*Inputs!$C$28</f>
        <v>25545.6481444665</v>
      </c>
      <c r="V95" s="8" t="str">
        <f aca="false">IF(OR(C95=0,S95=""),"",(S95-Inputs!$C$19)*Inputs!$C$28)</f>
        <v/>
      </c>
      <c r="W95" s="45"/>
      <c r="X95" s="7" t="str">
        <f aca="false">IF(OR(W95="",G95=""),"",IFERROR(W95/G95,""))</f>
        <v/>
      </c>
      <c r="Y95" s="47"/>
    </row>
    <row r="96" customFormat="false" ht="15" hidden="false" customHeight="false" outlineLevel="0" collapsed="false">
      <c r="A96" s="44" t="n">
        <v>46385</v>
      </c>
      <c r="B96" s="20" t="str">
        <f aca="false">TEXT(A96,"ddd")</f>
        <v>Tue</v>
      </c>
      <c r="C96" s="6" t="n">
        <f aca="false">IF(A96&gt;=Inputs!$C$9,1,0)</f>
        <v>1</v>
      </c>
      <c r="D96" s="6" t="n">
        <f aca="false">IF(C96=1,A96-Inputs!$C$9+1,"")</f>
        <v>85</v>
      </c>
      <c r="E96" s="51" t="n">
        <f aca="false">IF(C96=1,MIN(1,D96/Inputs!$C$29),0)</f>
        <v>1</v>
      </c>
      <c r="F96" s="6" t="n">
        <f aca="false">Inputs!$C$13+(Inputs!$C$32-Inputs!$C$13)*E96</f>
        <v>1073.06666666667</v>
      </c>
      <c r="G96" s="45"/>
      <c r="H96" s="7" t="str">
        <f aca="false">IF(G96="","",IFERROR(G96/F96-1,""))</f>
        <v/>
      </c>
      <c r="I96" s="6" t="n">
        <f aca="false">Inputs!$C$14+(Inputs!$C$24-Inputs!$C$14)*E96</f>
        <v>670.666666666667</v>
      </c>
      <c r="J96" s="45"/>
      <c r="K96" s="7" t="str">
        <f aca="false">IF(J96="","",IFERROR(J96/I96-1,""))</f>
        <v/>
      </c>
      <c r="L96" s="52" t="str">
        <f aca="false">IF(OR(G96="",J96=""),"",IFERROR(G96/J96,""))</f>
        <v/>
      </c>
      <c r="M96" s="53" t="str">
        <f aca="false">IF(OR(J96="",'Site Daily'!E96=""),"",IFERROR(J96/'Site Daily'!E96*1000,""))</f>
        <v/>
      </c>
      <c r="N96" s="53" t="n">
        <f aca="false">I96*(Inputs!$C$17+(Inputs!$C$26-Inputs!$C$17)*E96)</f>
        <v>75.45</v>
      </c>
      <c r="O96" s="45"/>
      <c r="P96" s="7" t="str">
        <f aca="false">IF(OR(O96="",J96=""),"",IFERROR(O96/J96,""))</f>
        <v/>
      </c>
      <c r="Q96" s="46"/>
      <c r="R96" s="8" t="n">
        <f aca="false">N96*(Inputs!$C$16+(Inputs!$C$27-Inputs!$C$16)*E96)</f>
        <v>135810</v>
      </c>
      <c r="S96" s="8" t="str">
        <f aca="false">IF(OR(O96="",Q96="",J96=""),"",IFERROR(O96*Q96/J96,""))</f>
        <v/>
      </c>
      <c r="T96" s="7" t="str">
        <f aca="false">IF(S96="","",IFERROR(S96/R96-1,""))</f>
        <v/>
      </c>
      <c r="U96" s="8" t="n">
        <f aca="false">C96*(R96-Inputs!$C$19)*Inputs!$C$28</f>
        <v>25545.6481444665</v>
      </c>
      <c r="V96" s="8" t="str">
        <f aca="false">IF(OR(C96=0,S96=""),"",(S96-Inputs!$C$19)*Inputs!$C$28)</f>
        <v/>
      </c>
      <c r="W96" s="45"/>
      <c r="X96" s="7" t="str">
        <f aca="false">IF(OR(W96="",G96=""),"",IFERROR(W96/G96,""))</f>
        <v/>
      </c>
      <c r="Y96" s="47"/>
    </row>
    <row r="97" customFormat="false" ht="15" hidden="false" customHeight="false" outlineLevel="0" collapsed="false">
      <c r="A97" s="44" t="n">
        <v>46386</v>
      </c>
      <c r="B97" s="20" t="str">
        <f aca="false">TEXT(A97,"ddd")</f>
        <v>Wed</v>
      </c>
      <c r="C97" s="6" t="n">
        <f aca="false">IF(A97&gt;=Inputs!$C$9,1,0)</f>
        <v>1</v>
      </c>
      <c r="D97" s="6" t="n">
        <f aca="false">IF(C97=1,A97-Inputs!$C$9+1,"")</f>
        <v>86</v>
      </c>
      <c r="E97" s="51" t="n">
        <f aca="false">IF(C97=1,MIN(1,D97/Inputs!$C$29),0)</f>
        <v>1</v>
      </c>
      <c r="F97" s="6" t="n">
        <f aca="false">Inputs!$C$13+(Inputs!$C$32-Inputs!$C$13)*E97</f>
        <v>1073.06666666667</v>
      </c>
      <c r="G97" s="45"/>
      <c r="H97" s="7" t="str">
        <f aca="false">IF(G97="","",IFERROR(G97/F97-1,""))</f>
        <v/>
      </c>
      <c r="I97" s="6" t="n">
        <f aca="false">Inputs!$C$14+(Inputs!$C$24-Inputs!$C$14)*E97</f>
        <v>670.666666666667</v>
      </c>
      <c r="J97" s="45"/>
      <c r="K97" s="7" t="str">
        <f aca="false">IF(J97="","",IFERROR(J97/I97-1,""))</f>
        <v/>
      </c>
      <c r="L97" s="52" t="str">
        <f aca="false">IF(OR(G97="",J97=""),"",IFERROR(G97/J97,""))</f>
        <v/>
      </c>
      <c r="M97" s="53" t="str">
        <f aca="false">IF(OR(J97="",'Site Daily'!E97=""),"",IFERROR(J97/'Site Daily'!E97*1000,""))</f>
        <v/>
      </c>
      <c r="N97" s="53" t="n">
        <f aca="false">I97*(Inputs!$C$17+(Inputs!$C$26-Inputs!$C$17)*E97)</f>
        <v>75.45</v>
      </c>
      <c r="O97" s="45"/>
      <c r="P97" s="7" t="str">
        <f aca="false">IF(OR(O97="",J97=""),"",IFERROR(O97/J97,""))</f>
        <v/>
      </c>
      <c r="Q97" s="46"/>
      <c r="R97" s="8" t="n">
        <f aca="false">N97*(Inputs!$C$16+(Inputs!$C$27-Inputs!$C$16)*E97)</f>
        <v>135810</v>
      </c>
      <c r="S97" s="8" t="str">
        <f aca="false">IF(OR(O97="",Q97="",J97=""),"",IFERROR(O97*Q97/J97,""))</f>
        <v/>
      </c>
      <c r="T97" s="7" t="str">
        <f aca="false">IF(S97="","",IFERROR(S97/R97-1,""))</f>
        <v/>
      </c>
      <c r="U97" s="8" t="n">
        <f aca="false">C97*(R97-Inputs!$C$19)*Inputs!$C$28</f>
        <v>25545.6481444665</v>
      </c>
      <c r="V97" s="8" t="str">
        <f aca="false">IF(OR(C97=0,S97=""),"",(S97-Inputs!$C$19)*Inputs!$C$28)</f>
        <v/>
      </c>
      <c r="W97" s="45"/>
      <c r="X97" s="7" t="str">
        <f aca="false">IF(OR(W97="",G97=""),"",IFERROR(W97/G97,""))</f>
        <v/>
      </c>
      <c r="Y97" s="47"/>
    </row>
    <row r="98" customFormat="false" ht="15" hidden="false" customHeight="false" outlineLevel="0" collapsed="false">
      <c r="A98" s="44" t="n">
        <v>46387</v>
      </c>
      <c r="B98" s="20" t="str">
        <f aca="false">TEXT(A98,"ddd")</f>
        <v>Thu</v>
      </c>
      <c r="C98" s="6" t="n">
        <f aca="false">IF(A98&gt;=Inputs!$C$9,1,0)</f>
        <v>1</v>
      </c>
      <c r="D98" s="6" t="n">
        <f aca="false">IF(C98=1,A98-Inputs!$C$9+1,"")</f>
        <v>87</v>
      </c>
      <c r="E98" s="51" t="n">
        <f aca="false">IF(C98=1,MIN(1,D98/Inputs!$C$29),0)</f>
        <v>1</v>
      </c>
      <c r="F98" s="6" t="n">
        <f aca="false">Inputs!$C$13+(Inputs!$C$32-Inputs!$C$13)*E98</f>
        <v>1073.06666666667</v>
      </c>
      <c r="G98" s="45"/>
      <c r="H98" s="7" t="str">
        <f aca="false">IF(G98="","",IFERROR(G98/F98-1,""))</f>
        <v/>
      </c>
      <c r="I98" s="6" t="n">
        <f aca="false">Inputs!$C$14+(Inputs!$C$24-Inputs!$C$14)*E98</f>
        <v>670.666666666667</v>
      </c>
      <c r="J98" s="45"/>
      <c r="K98" s="7" t="str">
        <f aca="false">IF(J98="","",IFERROR(J98/I98-1,""))</f>
        <v/>
      </c>
      <c r="L98" s="52" t="str">
        <f aca="false">IF(OR(G98="",J98=""),"",IFERROR(G98/J98,""))</f>
        <v/>
      </c>
      <c r="M98" s="53" t="str">
        <f aca="false">IF(OR(J98="",'Site Daily'!E98=""),"",IFERROR(J98/'Site Daily'!E98*1000,""))</f>
        <v/>
      </c>
      <c r="N98" s="53" t="n">
        <f aca="false">I98*(Inputs!$C$17+(Inputs!$C$26-Inputs!$C$17)*E98)</f>
        <v>75.45</v>
      </c>
      <c r="O98" s="45"/>
      <c r="P98" s="7" t="str">
        <f aca="false">IF(OR(O98="",J98=""),"",IFERROR(O98/J98,""))</f>
        <v/>
      </c>
      <c r="Q98" s="46"/>
      <c r="R98" s="8" t="n">
        <f aca="false">N98*(Inputs!$C$16+(Inputs!$C$27-Inputs!$C$16)*E98)</f>
        <v>135810</v>
      </c>
      <c r="S98" s="8" t="str">
        <f aca="false">IF(OR(O98="",Q98="",J98=""),"",IFERROR(O98*Q98/J98,""))</f>
        <v/>
      </c>
      <c r="T98" s="7" t="str">
        <f aca="false">IF(S98="","",IFERROR(S98/R98-1,""))</f>
        <v/>
      </c>
      <c r="U98" s="8" t="n">
        <f aca="false">C98*(R98-Inputs!$C$19)*Inputs!$C$28</f>
        <v>25545.6481444665</v>
      </c>
      <c r="V98" s="8" t="str">
        <f aca="false">IF(OR(C98=0,S98=""),"",(S98-Inputs!$C$19)*Inputs!$C$28)</f>
        <v/>
      </c>
      <c r="W98" s="45"/>
      <c r="X98" s="7" t="str">
        <f aca="false">IF(OR(W98="",G98=""),"",IFERROR(W98/G98,""))</f>
        <v/>
      </c>
      <c r="Y98" s="47"/>
    </row>
  </sheetData>
  <mergeCells count="6">
    <mergeCell ref="A4:E4"/>
    <mergeCell ref="F4:H4"/>
    <mergeCell ref="I4:M4"/>
    <mergeCell ref="N4:P4"/>
    <mergeCell ref="Q4:V4"/>
    <mergeCell ref="W4:Y4"/>
  </mergeCells>
  <conditionalFormatting sqref="A6:E98">
    <cfRule type="expression" priority="2" aboveAverage="0" equalAverage="0" bottom="0" percent="0" rank="0" text="" dxfId="3">
      <formula>$C6=1</formula>
    </cfRule>
  </conditionalFormatting>
  <conditionalFormatting sqref="H6:H98">
    <cfRule type="expression" priority="3" aboveAverage="0" equalAverage="0" bottom="0" percent="0" rank="0" text="" dxfId="4">
      <formula>AND(ISNUMBER(H6),H6&lt;-0.1)</formula>
    </cfRule>
    <cfRule type="expression" priority="4" aboveAverage="0" equalAverage="0" bottom="0" percent="0" rank="0" text="" dxfId="5">
      <formula>AND(ISNUMBER(H6),H6&gt;=0)</formula>
    </cfRule>
  </conditionalFormatting>
  <conditionalFormatting sqref="K6:K98">
    <cfRule type="expression" priority="5" aboveAverage="0" equalAverage="0" bottom="0" percent="0" rank="0" text="" dxfId="4">
      <formula>AND(ISNUMBER(K6),K6&lt;-0.1)</formula>
    </cfRule>
    <cfRule type="expression" priority="6" aboveAverage="0" equalAverage="0" bottom="0" percent="0" rank="0" text="" dxfId="5">
      <formula>AND(ISNUMBER(K6),K6&gt;=0)</formula>
    </cfRule>
  </conditionalFormatting>
  <conditionalFormatting sqref="T6:T98">
    <cfRule type="expression" priority="7" aboveAverage="0" equalAverage="0" bottom="0" percent="0" rank="0" text="" dxfId="4">
      <formula>AND(ISNUMBER(T6),T6&lt;-0.1)</formula>
    </cfRule>
    <cfRule type="expression" priority="8" aboveAverage="0" equalAverage="0" bottom="0" percent="0" rank="0" text="" dxfId="5">
      <formula>AND(ISNUMBER(T6),T6&gt;=0)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5" min="4" style="0" width="7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6" min="14" style="0" width="10"/>
    <col collapsed="false" customWidth="true" hidden="false" outlineLevel="0" max="17" min="17" style="0" width="13"/>
    <col collapsed="false" customWidth="true" hidden="false" outlineLevel="0" max="19" min="18" style="0" width="14"/>
    <col collapsed="false" customWidth="true" hidden="false" outlineLevel="0" max="20" min="20" style="0" width="9"/>
    <col collapsed="false" customWidth="true" hidden="false" outlineLevel="0" max="22" min="21" style="0" width="1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0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tr">
        <f aca="false">"Identifier: "&amp;Inputs!D8&amp;"   |   Go-live: "&amp;TEXT(Inputs!D9,"dd-mmm-yy")&amp;"   |   Steady-state plan: "&amp;TEXT(Inputs!D32,"#,##0")&amp;" ATC events/day, ₹"&amp;TEXT(Inputs!D36,"#,##0")&amp;" net incremental revenue/day"</f>
        <v>Identifier: TBC - ask tech to tag a unique referer before go-live   |   Go-live: 08-Oct-26   |   Steady-state plan: 300 ATC events/day, ₹21,000 net incremental revenue/day</v>
      </c>
    </row>
    <row r="3" customFormat="false" ht="15" hidden="false" customHeight="false" outlineLevel="0" collapsed="false">
      <c r="A3" s="2" t="s">
        <v>160</v>
      </c>
    </row>
    <row r="4" customFormat="false" ht="23.85" hidden="false" customHeight="true" outlineLevel="0" collapsed="false">
      <c r="A4" s="40" t="s">
        <v>161</v>
      </c>
      <c r="B4" s="40"/>
      <c r="C4" s="40"/>
      <c r="D4" s="40"/>
      <c r="E4" s="40"/>
      <c r="F4" s="48" t="s">
        <v>162</v>
      </c>
      <c r="G4" s="48"/>
      <c r="H4" s="48"/>
      <c r="I4" s="49" t="s">
        <v>163</v>
      </c>
      <c r="J4" s="49"/>
      <c r="K4" s="49"/>
      <c r="L4" s="49"/>
      <c r="M4" s="49"/>
      <c r="N4" s="50" t="s">
        <v>164</v>
      </c>
      <c r="O4" s="50"/>
      <c r="P4" s="50"/>
      <c r="Q4" s="42" t="s">
        <v>165</v>
      </c>
      <c r="R4" s="42"/>
      <c r="S4" s="42"/>
      <c r="T4" s="42"/>
      <c r="U4" s="42"/>
      <c r="V4" s="42"/>
      <c r="W4" s="43" t="s">
        <v>144</v>
      </c>
      <c r="X4" s="43"/>
      <c r="Y4" s="43"/>
    </row>
    <row r="5" customFormat="false" ht="48" hidden="false" customHeight="true" outlineLevel="0" collapsed="false">
      <c r="A5" s="3" t="s">
        <v>145</v>
      </c>
      <c r="B5" s="3" t="s">
        <v>146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170</v>
      </c>
      <c r="H5" s="3" t="s">
        <v>25</v>
      </c>
      <c r="I5" s="3" t="s">
        <v>169</v>
      </c>
      <c r="J5" s="3" t="s">
        <v>170</v>
      </c>
      <c r="K5" s="3" t="s">
        <v>25</v>
      </c>
      <c r="L5" s="3" t="s">
        <v>171</v>
      </c>
      <c r="M5" s="3" t="s">
        <v>172</v>
      </c>
      <c r="N5" s="3" t="s">
        <v>169</v>
      </c>
      <c r="O5" s="3" t="s">
        <v>170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25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158</v>
      </c>
    </row>
    <row r="6" customFormat="false" ht="15" hidden="false" customHeight="false" outlineLevel="0" collapsed="false">
      <c r="A6" s="44" t="n">
        <v>46295</v>
      </c>
      <c r="B6" s="20" t="str">
        <f aca="false">TEXT(A6,"ddd")</f>
        <v>Wed</v>
      </c>
      <c r="C6" s="6" t="n">
        <f aca="false">IF(A6&gt;=Inputs!$D$9,1,0)</f>
        <v>0</v>
      </c>
      <c r="D6" s="6" t="str">
        <f aca="false">IF(C6=1,A6-Inputs!$D$9+1,"")</f>
        <v/>
      </c>
      <c r="E6" s="51" t="n">
        <f aca="false">IF(C6=1,MIN(1,D6/Inputs!$D$29),0)</f>
        <v>0</v>
      </c>
      <c r="F6" s="6" t="n">
        <f aca="false">Inputs!$D$13+(Inputs!$D$32-Inputs!$D$13)*E6</f>
        <v>0</v>
      </c>
      <c r="G6" s="45"/>
      <c r="H6" s="7" t="str">
        <f aca="false">IF(G6="","",IFERROR(G6/F6-1,""))</f>
        <v/>
      </c>
      <c r="I6" s="6" t="n">
        <f aca="false">Inputs!$D$14+(Inputs!$D$24-Inputs!$D$14)*E6</f>
        <v>0</v>
      </c>
      <c r="J6" s="45"/>
      <c r="K6" s="7" t="str">
        <f aca="false">IF(J6="","",IFERROR(J6/I6-1,""))</f>
        <v/>
      </c>
      <c r="L6" s="52" t="str">
        <f aca="false">IF(OR(G6="",J6=""),"",IFERROR(G6/J6,""))</f>
        <v/>
      </c>
      <c r="M6" s="53" t="str">
        <f aca="false">IF(OR(J6="",'Site Daily'!E6=""),"",IFERROR(J6/'Site Daily'!E6*1000,""))</f>
        <v/>
      </c>
      <c r="N6" s="53" t="n">
        <f aca="false">I6*(Inputs!$D$17+(Inputs!$D$26-Inputs!$D$17)*E6)</f>
        <v>0</v>
      </c>
      <c r="O6" s="45"/>
      <c r="P6" s="7" t="str">
        <f aca="false">IF(OR(O6="",J6=""),"",IFERROR(O6/J6,""))</f>
        <v/>
      </c>
      <c r="Q6" s="46"/>
      <c r="R6" s="8" t="n">
        <f aca="false">N6*(Inputs!$D$16+(Inputs!$D$27-Inputs!$D$16)*E6)</f>
        <v>0</v>
      </c>
      <c r="S6" s="8" t="str">
        <f aca="false">IF(OR(O6="",Q6="",J6=""),"",IFERROR(O6*Q6/J6,""))</f>
        <v/>
      </c>
      <c r="T6" s="7" t="str">
        <f aca="false">IF(S6="","",IFERROR(S6/R6-1,""))</f>
        <v/>
      </c>
      <c r="U6" s="8" t="n">
        <f aca="false">C6*(R6-Inputs!$D$19)*Inputs!$D$28</f>
        <v>0</v>
      </c>
      <c r="V6" s="8" t="str">
        <f aca="false">IF(OR(C6=0,S6=""),"",(S6-Inputs!$D$19)*Inputs!$D$28)</f>
        <v/>
      </c>
      <c r="W6" s="45"/>
      <c r="X6" s="7" t="str">
        <f aca="false">IF(OR(W6="",G6=""),"",IFERROR(W6/G6,""))</f>
        <v/>
      </c>
      <c r="Y6" s="47"/>
    </row>
    <row r="7" customFormat="false" ht="15" hidden="false" customHeight="false" outlineLevel="0" collapsed="false">
      <c r="A7" s="44" t="n">
        <v>46296</v>
      </c>
      <c r="B7" s="20" t="str">
        <f aca="false">TEXT(A7,"ddd")</f>
        <v>Thu</v>
      </c>
      <c r="C7" s="6" t="n">
        <f aca="false">IF(A7&gt;=Inputs!$D$9,1,0)</f>
        <v>0</v>
      </c>
      <c r="D7" s="6" t="str">
        <f aca="false">IF(C7=1,A7-Inputs!$D$9+1,"")</f>
        <v/>
      </c>
      <c r="E7" s="51" t="n">
        <f aca="false">IF(C7=1,MIN(1,D7/Inputs!$D$29),0)</f>
        <v>0</v>
      </c>
      <c r="F7" s="6" t="n">
        <f aca="false">Inputs!$D$13+(Inputs!$D$32-Inputs!$D$13)*E7</f>
        <v>0</v>
      </c>
      <c r="G7" s="45"/>
      <c r="H7" s="7" t="str">
        <f aca="false">IF(G7="","",IFERROR(G7/F7-1,""))</f>
        <v/>
      </c>
      <c r="I7" s="6" t="n">
        <f aca="false">Inputs!$D$14+(Inputs!$D$24-Inputs!$D$14)*E7</f>
        <v>0</v>
      </c>
      <c r="J7" s="45"/>
      <c r="K7" s="7" t="str">
        <f aca="false">IF(J7="","",IFERROR(J7/I7-1,""))</f>
        <v/>
      </c>
      <c r="L7" s="52" t="str">
        <f aca="false">IF(OR(G7="",J7=""),"",IFERROR(G7/J7,""))</f>
        <v/>
      </c>
      <c r="M7" s="53" t="str">
        <f aca="false">IF(OR(J7="",'Site Daily'!E7=""),"",IFERROR(J7/'Site Daily'!E7*1000,""))</f>
        <v/>
      </c>
      <c r="N7" s="53" t="n">
        <f aca="false">I7*(Inputs!$D$17+(Inputs!$D$26-Inputs!$D$17)*E7)</f>
        <v>0</v>
      </c>
      <c r="O7" s="45"/>
      <c r="P7" s="7" t="str">
        <f aca="false">IF(OR(O7="",J7=""),"",IFERROR(O7/J7,""))</f>
        <v/>
      </c>
      <c r="Q7" s="46"/>
      <c r="R7" s="8" t="n">
        <f aca="false">N7*(Inputs!$D$16+(Inputs!$D$27-Inputs!$D$16)*E7)</f>
        <v>0</v>
      </c>
      <c r="S7" s="8" t="str">
        <f aca="false">IF(OR(O7="",Q7="",J7=""),"",IFERROR(O7*Q7/J7,""))</f>
        <v/>
      </c>
      <c r="T7" s="7" t="str">
        <f aca="false">IF(S7="","",IFERROR(S7/R7-1,""))</f>
        <v/>
      </c>
      <c r="U7" s="8" t="n">
        <f aca="false">C7*(R7-Inputs!$D$19)*Inputs!$D$28</f>
        <v>0</v>
      </c>
      <c r="V7" s="8" t="str">
        <f aca="false">IF(OR(C7=0,S7=""),"",(S7-Inputs!$D$19)*Inputs!$D$28)</f>
        <v/>
      </c>
      <c r="W7" s="45"/>
      <c r="X7" s="7" t="str">
        <f aca="false">IF(OR(W7="",G7=""),"",IFERROR(W7/G7,""))</f>
        <v/>
      </c>
      <c r="Y7" s="47"/>
    </row>
    <row r="8" customFormat="false" ht="15" hidden="false" customHeight="false" outlineLevel="0" collapsed="false">
      <c r="A8" s="44" t="n">
        <v>46297</v>
      </c>
      <c r="B8" s="20" t="str">
        <f aca="false">TEXT(A8,"ddd")</f>
        <v>Fri</v>
      </c>
      <c r="C8" s="6" t="n">
        <f aca="false">IF(A8&gt;=Inputs!$D$9,1,0)</f>
        <v>0</v>
      </c>
      <c r="D8" s="6" t="str">
        <f aca="false">IF(C8=1,A8-Inputs!$D$9+1,"")</f>
        <v/>
      </c>
      <c r="E8" s="51" t="n">
        <f aca="false">IF(C8=1,MIN(1,D8/Inputs!$D$29),0)</f>
        <v>0</v>
      </c>
      <c r="F8" s="6" t="n">
        <f aca="false">Inputs!$D$13+(Inputs!$D$32-Inputs!$D$13)*E8</f>
        <v>0</v>
      </c>
      <c r="G8" s="45"/>
      <c r="H8" s="7" t="str">
        <f aca="false">IF(G8="","",IFERROR(G8/F8-1,""))</f>
        <v/>
      </c>
      <c r="I8" s="6" t="n">
        <f aca="false">Inputs!$D$14+(Inputs!$D$24-Inputs!$D$14)*E8</f>
        <v>0</v>
      </c>
      <c r="J8" s="45"/>
      <c r="K8" s="7" t="str">
        <f aca="false">IF(J8="","",IFERROR(J8/I8-1,""))</f>
        <v/>
      </c>
      <c r="L8" s="52" t="str">
        <f aca="false">IF(OR(G8="",J8=""),"",IFERROR(G8/J8,""))</f>
        <v/>
      </c>
      <c r="M8" s="53" t="str">
        <f aca="false">IF(OR(J8="",'Site Daily'!E8=""),"",IFERROR(J8/'Site Daily'!E8*1000,""))</f>
        <v/>
      </c>
      <c r="N8" s="53" t="n">
        <f aca="false">I8*(Inputs!$D$17+(Inputs!$D$26-Inputs!$D$17)*E8)</f>
        <v>0</v>
      </c>
      <c r="O8" s="45"/>
      <c r="P8" s="7" t="str">
        <f aca="false">IF(OR(O8="",J8=""),"",IFERROR(O8/J8,""))</f>
        <v/>
      </c>
      <c r="Q8" s="46"/>
      <c r="R8" s="8" t="n">
        <f aca="false">N8*(Inputs!$D$16+(Inputs!$D$27-Inputs!$D$16)*E8)</f>
        <v>0</v>
      </c>
      <c r="S8" s="8" t="str">
        <f aca="false">IF(OR(O8="",Q8="",J8=""),"",IFERROR(O8*Q8/J8,""))</f>
        <v/>
      </c>
      <c r="T8" s="7" t="str">
        <f aca="false">IF(S8="","",IFERROR(S8/R8-1,""))</f>
        <v/>
      </c>
      <c r="U8" s="8" t="n">
        <f aca="false">C8*(R8-Inputs!$D$19)*Inputs!$D$28</f>
        <v>0</v>
      </c>
      <c r="V8" s="8" t="str">
        <f aca="false">IF(OR(C8=0,S8=""),"",(S8-Inputs!$D$19)*Inputs!$D$28)</f>
        <v/>
      </c>
      <c r="W8" s="45"/>
      <c r="X8" s="7" t="str">
        <f aca="false">IF(OR(W8="",G8=""),"",IFERROR(W8/G8,""))</f>
        <v/>
      </c>
      <c r="Y8" s="47"/>
    </row>
    <row r="9" customFormat="false" ht="15" hidden="false" customHeight="false" outlineLevel="0" collapsed="false">
      <c r="A9" s="44" t="n">
        <v>46298</v>
      </c>
      <c r="B9" s="20" t="str">
        <f aca="false">TEXT(A9,"ddd")</f>
        <v>Sat</v>
      </c>
      <c r="C9" s="6" t="n">
        <f aca="false">IF(A9&gt;=Inputs!$D$9,1,0)</f>
        <v>0</v>
      </c>
      <c r="D9" s="6" t="str">
        <f aca="false">IF(C9=1,A9-Inputs!$D$9+1,"")</f>
        <v/>
      </c>
      <c r="E9" s="51" t="n">
        <f aca="false">IF(C9=1,MIN(1,D9/Inputs!$D$29),0)</f>
        <v>0</v>
      </c>
      <c r="F9" s="6" t="n">
        <f aca="false">Inputs!$D$13+(Inputs!$D$32-Inputs!$D$13)*E9</f>
        <v>0</v>
      </c>
      <c r="G9" s="45"/>
      <c r="H9" s="7" t="str">
        <f aca="false">IF(G9="","",IFERROR(G9/F9-1,""))</f>
        <v/>
      </c>
      <c r="I9" s="6" t="n">
        <f aca="false">Inputs!$D$14+(Inputs!$D$24-Inputs!$D$14)*E9</f>
        <v>0</v>
      </c>
      <c r="J9" s="45"/>
      <c r="K9" s="7" t="str">
        <f aca="false">IF(J9="","",IFERROR(J9/I9-1,""))</f>
        <v/>
      </c>
      <c r="L9" s="52" t="str">
        <f aca="false">IF(OR(G9="",J9=""),"",IFERROR(G9/J9,""))</f>
        <v/>
      </c>
      <c r="M9" s="53" t="str">
        <f aca="false">IF(OR(J9="",'Site Daily'!E9=""),"",IFERROR(J9/'Site Daily'!E9*1000,""))</f>
        <v/>
      </c>
      <c r="N9" s="53" t="n">
        <f aca="false">I9*(Inputs!$D$17+(Inputs!$D$26-Inputs!$D$17)*E9)</f>
        <v>0</v>
      </c>
      <c r="O9" s="45"/>
      <c r="P9" s="7" t="str">
        <f aca="false">IF(OR(O9="",J9=""),"",IFERROR(O9/J9,""))</f>
        <v/>
      </c>
      <c r="Q9" s="46"/>
      <c r="R9" s="8" t="n">
        <f aca="false">N9*(Inputs!$D$16+(Inputs!$D$27-Inputs!$D$16)*E9)</f>
        <v>0</v>
      </c>
      <c r="S9" s="8" t="str">
        <f aca="false">IF(OR(O9="",Q9="",J9=""),"",IFERROR(O9*Q9/J9,""))</f>
        <v/>
      </c>
      <c r="T9" s="7" t="str">
        <f aca="false">IF(S9="","",IFERROR(S9/R9-1,""))</f>
        <v/>
      </c>
      <c r="U9" s="8" t="n">
        <f aca="false">C9*(R9-Inputs!$D$19)*Inputs!$D$28</f>
        <v>0</v>
      </c>
      <c r="V9" s="8" t="str">
        <f aca="false">IF(OR(C9=0,S9=""),"",(S9-Inputs!$D$19)*Inputs!$D$28)</f>
        <v/>
      </c>
      <c r="W9" s="45"/>
      <c r="X9" s="7" t="str">
        <f aca="false">IF(OR(W9="",G9=""),"",IFERROR(W9/G9,""))</f>
        <v/>
      </c>
      <c r="Y9" s="47"/>
    </row>
    <row r="10" customFormat="false" ht="15" hidden="false" customHeight="false" outlineLevel="0" collapsed="false">
      <c r="A10" s="44" t="n">
        <v>46299</v>
      </c>
      <c r="B10" s="20" t="str">
        <f aca="false">TEXT(A10,"ddd")</f>
        <v>Sun</v>
      </c>
      <c r="C10" s="6" t="n">
        <f aca="false">IF(A10&gt;=Inputs!$D$9,1,0)</f>
        <v>0</v>
      </c>
      <c r="D10" s="6" t="str">
        <f aca="false">IF(C10=1,A10-Inputs!$D$9+1,"")</f>
        <v/>
      </c>
      <c r="E10" s="51" t="n">
        <f aca="false">IF(C10=1,MIN(1,D10/Inputs!$D$29),0)</f>
        <v>0</v>
      </c>
      <c r="F10" s="6" t="n">
        <f aca="false">Inputs!$D$13+(Inputs!$D$32-Inputs!$D$13)*E10</f>
        <v>0</v>
      </c>
      <c r="G10" s="45"/>
      <c r="H10" s="7" t="str">
        <f aca="false">IF(G10="","",IFERROR(G10/F10-1,""))</f>
        <v/>
      </c>
      <c r="I10" s="6" t="n">
        <f aca="false">Inputs!$D$14+(Inputs!$D$24-Inputs!$D$14)*E10</f>
        <v>0</v>
      </c>
      <c r="J10" s="45"/>
      <c r="K10" s="7" t="str">
        <f aca="false">IF(J10="","",IFERROR(J10/I10-1,""))</f>
        <v/>
      </c>
      <c r="L10" s="52" t="str">
        <f aca="false">IF(OR(G10="",J10=""),"",IFERROR(G10/J10,""))</f>
        <v/>
      </c>
      <c r="M10" s="53" t="str">
        <f aca="false">IF(OR(J10="",'Site Daily'!E10=""),"",IFERROR(J10/'Site Daily'!E10*1000,""))</f>
        <v/>
      </c>
      <c r="N10" s="53" t="n">
        <f aca="false">I10*(Inputs!$D$17+(Inputs!$D$26-Inputs!$D$17)*E10)</f>
        <v>0</v>
      </c>
      <c r="O10" s="45"/>
      <c r="P10" s="7" t="str">
        <f aca="false">IF(OR(O10="",J10=""),"",IFERROR(O10/J10,""))</f>
        <v/>
      </c>
      <c r="Q10" s="46"/>
      <c r="R10" s="8" t="n">
        <f aca="false">N10*(Inputs!$D$16+(Inputs!$D$27-Inputs!$D$16)*E10)</f>
        <v>0</v>
      </c>
      <c r="S10" s="8" t="str">
        <f aca="false">IF(OR(O10="",Q10="",J10=""),"",IFERROR(O10*Q10/J10,""))</f>
        <v/>
      </c>
      <c r="T10" s="7" t="str">
        <f aca="false">IF(S10="","",IFERROR(S10/R10-1,""))</f>
        <v/>
      </c>
      <c r="U10" s="8" t="n">
        <f aca="false">C10*(R10-Inputs!$D$19)*Inputs!$D$28</f>
        <v>0</v>
      </c>
      <c r="V10" s="8" t="str">
        <f aca="false">IF(OR(C10=0,S10=""),"",(S10-Inputs!$D$19)*Inputs!$D$28)</f>
        <v/>
      </c>
      <c r="W10" s="45"/>
      <c r="X10" s="7" t="str">
        <f aca="false">IF(OR(W10="",G10=""),"",IFERROR(W10/G10,""))</f>
        <v/>
      </c>
      <c r="Y10" s="47"/>
    </row>
    <row r="11" customFormat="false" ht="15" hidden="false" customHeight="false" outlineLevel="0" collapsed="false">
      <c r="A11" s="44" t="n">
        <v>46300</v>
      </c>
      <c r="B11" s="20" t="str">
        <f aca="false">TEXT(A11,"ddd")</f>
        <v>Mon</v>
      </c>
      <c r="C11" s="6" t="n">
        <f aca="false">IF(A11&gt;=Inputs!$D$9,1,0)</f>
        <v>0</v>
      </c>
      <c r="D11" s="6" t="str">
        <f aca="false">IF(C11=1,A11-Inputs!$D$9+1,"")</f>
        <v/>
      </c>
      <c r="E11" s="51" t="n">
        <f aca="false">IF(C11=1,MIN(1,D11/Inputs!$D$29),0)</f>
        <v>0</v>
      </c>
      <c r="F11" s="6" t="n">
        <f aca="false">Inputs!$D$13+(Inputs!$D$32-Inputs!$D$13)*E11</f>
        <v>0</v>
      </c>
      <c r="G11" s="45"/>
      <c r="H11" s="7" t="str">
        <f aca="false">IF(G11="","",IFERROR(G11/F11-1,""))</f>
        <v/>
      </c>
      <c r="I11" s="6" t="n">
        <f aca="false">Inputs!$D$14+(Inputs!$D$24-Inputs!$D$14)*E11</f>
        <v>0</v>
      </c>
      <c r="J11" s="45"/>
      <c r="K11" s="7" t="str">
        <f aca="false">IF(J11="","",IFERROR(J11/I11-1,""))</f>
        <v/>
      </c>
      <c r="L11" s="52" t="str">
        <f aca="false">IF(OR(G11="",J11=""),"",IFERROR(G11/J11,""))</f>
        <v/>
      </c>
      <c r="M11" s="53" t="str">
        <f aca="false">IF(OR(J11="",'Site Daily'!E11=""),"",IFERROR(J11/'Site Daily'!E11*1000,""))</f>
        <v/>
      </c>
      <c r="N11" s="53" t="n">
        <f aca="false">I11*(Inputs!$D$17+(Inputs!$D$26-Inputs!$D$17)*E11)</f>
        <v>0</v>
      </c>
      <c r="O11" s="45"/>
      <c r="P11" s="7" t="str">
        <f aca="false">IF(OR(O11="",J11=""),"",IFERROR(O11/J11,""))</f>
        <v/>
      </c>
      <c r="Q11" s="46"/>
      <c r="R11" s="8" t="n">
        <f aca="false">N11*(Inputs!$D$16+(Inputs!$D$27-Inputs!$D$16)*E11)</f>
        <v>0</v>
      </c>
      <c r="S11" s="8" t="str">
        <f aca="false">IF(OR(O11="",Q11="",J11=""),"",IFERROR(O11*Q11/J11,""))</f>
        <v/>
      </c>
      <c r="T11" s="7" t="str">
        <f aca="false">IF(S11="","",IFERROR(S11/R11-1,""))</f>
        <v/>
      </c>
      <c r="U11" s="8" t="n">
        <f aca="false">C11*(R11-Inputs!$D$19)*Inputs!$D$28</f>
        <v>0</v>
      </c>
      <c r="V11" s="8" t="str">
        <f aca="false">IF(OR(C11=0,S11=""),"",(S11-Inputs!$D$19)*Inputs!$D$28)</f>
        <v/>
      </c>
      <c r="W11" s="45"/>
      <c r="X11" s="7" t="str">
        <f aca="false">IF(OR(W11="",G11=""),"",IFERROR(W11/G11,""))</f>
        <v/>
      </c>
      <c r="Y11" s="47"/>
    </row>
    <row r="12" customFormat="false" ht="15" hidden="false" customHeight="false" outlineLevel="0" collapsed="false">
      <c r="A12" s="44" t="n">
        <v>46301</v>
      </c>
      <c r="B12" s="20" t="str">
        <f aca="false">TEXT(A12,"ddd")</f>
        <v>Tue</v>
      </c>
      <c r="C12" s="6" t="n">
        <f aca="false">IF(A12&gt;=Inputs!$D$9,1,0)</f>
        <v>0</v>
      </c>
      <c r="D12" s="6" t="str">
        <f aca="false">IF(C12=1,A12-Inputs!$D$9+1,"")</f>
        <v/>
      </c>
      <c r="E12" s="51" t="n">
        <f aca="false">IF(C12=1,MIN(1,D12/Inputs!$D$29),0)</f>
        <v>0</v>
      </c>
      <c r="F12" s="6" t="n">
        <f aca="false">Inputs!$D$13+(Inputs!$D$32-Inputs!$D$13)*E12</f>
        <v>0</v>
      </c>
      <c r="G12" s="45"/>
      <c r="H12" s="7" t="str">
        <f aca="false">IF(G12="","",IFERROR(G12/F12-1,""))</f>
        <v/>
      </c>
      <c r="I12" s="6" t="n">
        <f aca="false">Inputs!$D$14+(Inputs!$D$24-Inputs!$D$14)*E12</f>
        <v>0</v>
      </c>
      <c r="J12" s="45"/>
      <c r="K12" s="7" t="str">
        <f aca="false">IF(J12="","",IFERROR(J12/I12-1,""))</f>
        <v/>
      </c>
      <c r="L12" s="52" t="str">
        <f aca="false">IF(OR(G12="",J12=""),"",IFERROR(G12/J12,""))</f>
        <v/>
      </c>
      <c r="M12" s="53" t="str">
        <f aca="false">IF(OR(J12="",'Site Daily'!E12=""),"",IFERROR(J12/'Site Daily'!E12*1000,""))</f>
        <v/>
      </c>
      <c r="N12" s="53" t="n">
        <f aca="false">I12*(Inputs!$D$17+(Inputs!$D$26-Inputs!$D$17)*E12)</f>
        <v>0</v>
      </c>
      <c r="O12" s="45"/>
      <c r="P12" s="7" t="str">
        <f aca="false">IF(OR(O12="",J12=""),"",IFERROR(O12/J12,""))</f>
        <v/>
      </c>
      <c r="Q12" s="46"/>
      <c r="R12" s="8" t="n">
        <f aca="false">N12*(Inputs!$D$16+(Inputs!$D$27-Inputs!$D$16)*E12)</f>
        <v>0</v>
      </c>
      <c r="S12" s="8" t="str">
        <f aca="false">IF(OR(O12="",Q12="",J12=""),"",IFERROR(O12*Q12/J12,""))</f>
        <v/>
      </c>
      <c r="T12" s="7" t="str">
        <f aca="false">IF(S12="","",IFERROR(S12/R12-1,""))</f>
        <v/>
      </c>
      <c r="U12" s="8" t="n">
        <f aca="false">C12*(R12-Inputs!$D$19)*Inputs!$D$28</f>
        <v>0</v>
      </c>
      <c r="V12" s="8" t="str">
        <f aca="false">IF(OR(C12=0,S12=""),"",(S12-Inputs!$D$19)*Inputs!$D$28)</f>
        <v/>
      </c>
      <c r="W12" s="45"/>
      <c r="X12" s="7" t="str">
        <f aca="false">IF(OR(W12="",G12=""),"",IFERROR(W12/G12,""))</f>
        <v/>
      </c>
      <c r="Y12" s="47"/>
    </row>
    <row r="13" customFormat="false" ht="15" hidden="false" customHeight="false" outlineLevel="0" collapsed="false">
      <c r="A13" s="44" t="n">
        <v>46302</v>
      </c>
      <c r="B13" s="20" t="str">
        <f aca="false">TEXT(A13,"ddd")</f>
        <v>Wed</v>
      </c>
      <c r="C13" s="6" t="n">
        <f aca="false">IF(A13&gt;=Inputs!$D$9,1,0)</f>
        <v>0</v>
      </c>
      <c r="D13" s="6" t="str">
        <f aca="false">IF(C13=1,A13-Inputs!$D$9+1,"")</f>
        <v/>
      </c>
      <c r="E13" s="51" t="n">
        <f aca="false">IF(C13=1,MIN(1,D13/Inputs!$D$29),0)</f>
        <v>0</v>
      </c>
      <c r="F13" s="6" t="n">
        <f aca="false">Inputs!$D$13+(Inputs!$D$32-Inputs!$D$13)*E13</f>
        <v>0</v>
      </c>
      <c r="G13" s="45"/>
      <c r="H13" s="7" t="str">
        <f aca="false">IF(G13="","",IFERROR(G13/F13-1,""))</f>
        <v/>
      </c>
      <c r="I13" s="6" t="n">
        <f aca="false">Inputs!$D$14+(Inputs!$D$24-Inputs!$D$14)*E13</f>
        <v>0</v>
      </c>
      <c r="J13" s="45"/>
      <c r="K13" s="7" t="str">
        <f aca="false">IF(J13="","",IFERROR(J13/I13-1,""))</f>
        <v/>
      </c>
      <c r="L13" s="52" t="str">
        <f aca="false">IF(OR(G13="",J13=""),"",IFERROR(G13/J13,""))</f>
        <v/>
      </c>
      <c r="M13" s="53" t="str">
        <f aca="false">IF(OR(J13="",'Site Daily'!E13=""),"",IFERROR(J13/'Site Daily'!E13*1000,""))</f>
        <v/>
      </c>
      <c r="N13" s="53" t="n">
        <f aca="false">I13*(Inputs!$D$17+(Inputs!$D$26-Inputs!$D$17)*E13)</f>
        <v>0</v>
      </c>
      <c r="O13" s="45"/>
      <c r="P13" s="7" t="str">
        <f aca="false">IF(OR(O13="",J13=""),"",IFERROR(O13/J13,""))</f>
        <v/>
      </c>
      <c r="Q13" s="46"/>
      <c r="R13" s="8" t="n">
        <f aca="false">N13*(Inputs!$D$16+(Inputs!$D$27-Inputs!$D$16)*E13)</f>
        <v>0</v>
      </c>
      <c r="S13" s="8" t="str">
        <f aca="false">IF(OR(O13="",Q13="",J13=""),"",IFERROR(O13*Q13/J13,""))</f>
        <v/>
      </c>
      <c r="T13" s="7" t="str">
        <f aca="false">IF(S13="","",IFERROR(S13/R13-1,""))</f>
        <v/>
      </c>
      <c r="U13" s="8" t="n">
        <f aca="false">C13*(R13-Inputs!$D$19)*Inputs!$D$28</f>
        <v>0</v>
      </c>
      <c r="V13" s="8" t="str">
        <f aca="false">IF(OR(C13=0,S13=""),"",(S13-Inputs!$D$19)*Inputs!$D$28)</f>
        <v/>
      </c>
      <c r="W13" s="45"/>
      <c r="X13" s="7" t="str">
        <f aca="false">IF(OR(W13="",G13=""),"",IFERROR(W13/G13,""))</f>
        <v/>
      </c>
      <c r="Y13" s="47"/>
    </row>
    <row r="14" customFormat="false" ht="15" hidden="false" customHeight="false" outlineLevel="0" collapsed="false">
      <c r="A14" s="44" t="n">
        <v>46303</v>
      </c>
      <c r="B14" s="20" t="str">
        <f aca="false">TEXT(A14,"ddd")</f>
        <v>Thu</v>
      </c>
      <c r="C14" s="6" t="n">
        <f aca="false">IF(A14&gt;=Inputs!$D$9,1,0)</f>
        <v>1</v>
      </c>
      <c r="D14" s="6" t="n">
        <f aca="false">IF(C14=1,A14-Inputs!$D$9+1,"")</f>
        <v>1</v>
      </c>
      <c r="E14" s="51" t="n">
        <f aca="false">IF(C14=1,MIN(1,D14/Inputs!$D$29),0)</f>
        <v>0.2</v>
      </c>
      <c r="F14" s="6" t="n">
        <f aca="false">Inputs!$D$13+(Inputs!$D$32-Inputs!$D$13)*E14</f>
        <v>60</v>
      </c>
      <c r="G14" s="45"/>
      <c r="H14" s="7" t="str">
        <f aca="false">IF(G14="","",IFERROR(G14/F14-1,""))</f>
        <v/>
      </c>
      <c r="I14" s="6" t="n">
        <f aca="false">Inputs!$D$14+(Inputs!$D$24-Inputs!$D$14)*E14</f>
        <v>50</v>
      </c>
      <c r="J14" s="45"/>
      <c r="K14" s="7" t="str">
        <f aca="false">IF(J14="","",IFERROR(J14/I14-1,""))</f>
        <v/>
      </c>
      <c r="L14" s="52" t="str">
        <f aca="false">IF(OR(G14="",J14=""),"",IFERROR(G14/J14,""))</f>
        <v/>
      </c>
      <c r="M14" s="53" t="str">
        <f aca="false">IF(OR(J14="",'Site Daily'!E14=""),"",IFERROR(J14/'Site Daily'!E14*1000,""))</f>
        <v/>
      </c>
      <c r="N14" s="53" t="n">
        <f aca="false">I14*(Inputs!$D$17+(Inputs!$D$26-Inputs!$D$17)*E14)</f>
        <v>2</v>
      </c>
      <c r="O14" s="45"/>
      <c r="P14" s="7" t="str">
        <f aca="false">IF(OR(O14="",J14=""),"",IFERROR(O14/J14,""))</f>
        <v/>
      </c>
      <c r="Q14" s="46"/>
      <c r="R14" s="8" t="n">
        <f aca="false">N14*(Inputs!$D$16+(Inputs!$D$27-Inputs!$D$16)*E14)</f>
        <v>280</v>
      </c>
      <c r="S14" s="8" t="str">
        <f aca="false">IF(OR(O14="",Q14="",J14=""),"",IFERROR(O14*Q14/J14,""))</f>
        <v/>
      </c>
      <c r="T14" s="7" t="str">
        <f aca="false">IF(S14="","",IFERROR(S14/R14-1,""))</f>
        <v/>
      </c>
      <c r="U14" s="8" t="n">
        <f aca="false">C14*(R14-Inputs!$D$19)*Inputs!$D$28</f>
        <v>168</v>
      </c>
      <c r="V14" s="8" t="str">
        <f aca="false">IF(OR(C14=0,S14=""),"",(S14-Inputs!$D$19)*Inputs!$D$28)</f>
        <v/>
      </c>
      <c r="W14" s="45"/>
      <c r="X14" s="7" t="str">
        <f aca="false">IF(OR(W14="",G14=""),"",IFERROR(W14/G14,""))</f>
        <v/>
      </c>
      <c r="Y14" s="47"/>
    </row>
    <row r="15" customFormat="false" ht="15" hidden="false" customHeight="false" outlineLevel="0" collapsed="false">
      <c r="A15" s="44" t="n">
        <v>46304</v>
      </c>
      <c r="B15" s="20" t="str">
        <f aca="false">TEXT(A15,"ddd")</f>
        <v>Fri</v>
      </c>
      <c r="C15" s="6" t="n">
        <f aca="false">IF(A15&gt;=Inputs!$D$9,1,0)</f>
        <v>1</v>
      </c>
      <c r="D15" s="6" t="n">
        <f aca="false">IF(C15=1,A15-Inputs!$D$9+1,"")</f>
        <v>2</v>
      </c>
      <c r="E15" s="51" t="n">
        <f aca="false">IF(C15=1,MIN(1,D15/Inputs!$D$29),0)</f>
        <v>0.4</v>
      </c>
      <c r="F15" s="6" t="n">
        <f aca="false">Inputs!$D$13+(Inputs!$D$32-Inputs!$D$13)*E15</f>
        <v>120</v>
      </c>
      <c r="G15" s="45"/>
      <c r="H15" s="7" t="str">
        <f aca="false">IF(G15="","",IFERROR(G15/F15-1,""))</f>
        <v/>
      </c>
      <c r="I15" s="6" t="n">
        <f aca="false">Inputs!$D$14+(Inputs!$D$24-Inputs!$D$14)*E15</f>
        <v>100</v>
      </c>
      <c r="J15" s="45"/>
      <c r="K15" s="7" t="str">
        <f aca="false">IF(J15="","",IFERROR(J15/I15-1,""))</f>
        <v/>
      </c>
      <c r="L15" s="52" t="str">
        <f aca="false">IF(OR(G15="",J15=""),"",IFERROR(G15/J15,""))</f>
        <v/>
      </c>
      <c r="M15" s="53" t="str">
        <f aca="false">IF(OR(J15="",'Site Daily'!E15=""),"",IFERROR(J15/'Site Daily'!E15*1000,""))</f>
        <v/>
      </c>
      <c r="N15" s="53" t="n">
        <f aca="false">I15*(Inputs!$D$17+(Inputs!$D$26-Inputs!$D$17)*E15)</f>
        <v>8</v>
      </c>
      <c r="O15" s="45"/>
      <c r="P15" s="7" t="str">
        <f aca="false">IF(OR(O15="",J15=""),"",IFERROR(O15/J15,""))</f>
        <v/>
      </c>
      <c r="Q15" s="46"/>
      <c r="R15" s="8" t="n">
        <f aca="false">N15*(Inputs!$D$16+(Inputs!$D$27-Inputs!$D$16)*E15)</f>
        <v>2240</v>
      </c>
      <c r="S15" s="8" t="str">
        <f aca="false">IF(OR(O15="",Q15="",J15=""),"",IFERROR(O15*Q15/J15,""))</f>
        <v/>
      </c>
      <c r="T15" s="7" t="str">
        <f aca="false">IF(S15="","",IFERROR(S15/R15-1,""))</f>
        <v/>
      </c>
      <c r="U15" s="8" t="n">
        <f aca="false">C15*(R15-Inputs!$D$19)*Inputs!$D$28</f>
        <v>1344</v>
      </c>
      <c r="V15" s="8" t="str">
        <f aca="false">IF(OR(C15=0,S15=""),"",(S15-Inputs!$D$19)*Inputs!$D$28)</f>
        <v/>
      </c>
      <c r="W15" s="45"/>
      <c r="X15" s="7" t="str">
        <f aca="false">IF(OR(W15="",G15=""),"",IFERROR(W15/G15,""))</f>
        <v/>
      </c>
      <c r="Y15" s="47"/>
    </row>
    <row r="16" customFormat="false" ht="15" hidden="false" customHeight="false" outlineLevel="0" collapsed="false">
      <c r="A16" s="44" t="n">
        <v>46305</v>
      </c>
      <c r="B16" s="20" t="str">
        <f aca="false">TEXT(A16,"ddd")</f>
        <v>Sat</v>
      </c>
      <c r="C16" s="6" t="n">
        <f aca="false">IF(A16&gt;=Inputs!$D$9,1,0)</f>
        <v>1</v>
      </c>
      <c r="D16" s="6" t="n">
        <f aca="false">IF(C16=1,A16-Inputs!$D$9+1,"")</f>
        <v>3</v>
      </c>
      <c r="E16" s="51" t="n">
        <f aca="false">IF(C16=1,MIN(1,D16/Inputs!$D$29),0)</f>
        <v>0.6</v>
      </c>
      <c r="F16" s="6" t="n">
        <f aca="false">Inputs!$D$13+(Inputs!$D$32-Inputs!$D$13)*E16</f>
        <v>180</v>
      </c>
      <c r="G16" s="45"/>
      <c r="H16" s="7" t="str">
        <f aca="false">IF(G16="","",IFERROR(G16/F16-1,""))</f>
        <v/>
      </c>
      <c r="I16" s="6" t="n">
        <f aca="false">Inputs!$D$14+(Inputs!$D$24-Inputs!$D$14)*E16</f>
        <v>150</v>
      </c>
      <c r="J16" s="45"/>
      <c r="K16" s="7" t="str">
        <f aca="false">IF(J16="","",IFERROR(J16/I16-1,""))</f>
        <v/>
      </c>
      <c r="L16" s="52" t="str">
        <f aca="false">IF(OR(G16="",J16=""),"",IFERROR(G16/J16,""))</f>
        <v/>
      </c>
      <c r="M16" s="53" t="str">
        <f aca="false">IF(OR(J16="",'Site Daily'!E16=""),"",IFERROR(J16/'Site Daily'!E16*1000,""))</f>
        <v/>
      </c>
      <c r="N16" s="53" t="n">
        <f aca="false">I16*(Inputs!$D$17+(Inputs!$D$26-Inputs!$D$17)*E16)</f>
        <v>18</v>
      </c>
      <c r="O16" s="45"/>
      <c r="P16" s="7" t="str">
        <f aca="false">IF(OR(O16="",J16=""),"",IFERROR(O16/J16,""))</f>
        <v/>
      </c>
      <c r="Q16" s="46"/>
      <c r="R16" s="8" t="n">
        <f aca="false">N16*(Inputs!$D$16+(Inputs!$D$27-Inputs!$D$16)*E16)</f>
        <v>7560</v>
      </c>
      <c r="S16" s="8" t="str">
        <f aca="false">IF(OR(O16="",Q16="",J16=""),"",IFERROR(O16*Q16/J16,""))</f>
        <v/>
      </c>
      <c r="T16" s="7" t="str">
        <f aca="false">IF(S16="","",IFERROR(S16/R16-1,""))</f>
        <v/>
      </c>
      <c r="U16" s="8" t="n">
        <f aca="false">C16*(R16-Inputs!$D$19)*Inputs!$D$28</f>
        <v>4536</v>
      </c>
      <c r="V16" s="8" t="str">
        <f aca="false">IF(OR(C16=0,S16=""),"",(S16-Inputs!$D$19)*Inputs!$D$28)</f>
        <v/>
      </c>
      <c r="W16" s="45"/>
      <c r="X16" s="7" t="str">
        <f aca="false">IF(OR(W16="",G16=""),"",IFERROR(W16/G16,""))</f>
        <v/>
      </c>
      <c r="Y16" s="47"/>
    </row>
    <row r="17" customFormat="false" ht="15" hidden="false" customHeight="false" outlineLevel="0" collapsed="false">
      <c r="A17" s="44" t="n">
        <v>46306</v>
      </c>
      <c r="B17" s="20" t="str">
        <f aca="false">TEXT(A17,"ddd")</f>
        <v>Sun</v>
      </c>
      <c r="C17" s="6" t="n">
        <f aca="false">IF(A17&gt;=Inputs!$D$9,1,0)</f>
        <v>1</v>
      </c>
      <c r="D17" s="6" t="n">
        <f aca="false">IF(C17=1,A17-Inputs!$D$9+1,"")</f>
        <v>4</v>
      </c>
      <c r="E17" s="51" t="n">
        <f aca="false">IF(C17=1,MIN(1,D17/Inputs!$D$29),0)</f>
        <v>0.8</v>
      </c>
      <c r="F17" s="6" t="n">
        <f aca="false">Inputs!$D$13+(Inputs!$D$32-Inputs!$D$13)*E17</f>
        <v>240</v>
      </c>
      <c r="G17" s="45"/>
      <c r="H17" s="7" t="str">
        <f aca="false">IF(G17="","",IFERROR(G17/F17-1,""))</f>
        <v/>
      </c>
      <c r="I17" s="6" t="n">
        <f aca="false">Inputs!$D$14+(Inputs!$D$24-Inputs!$D$14)*E17</f>
        <v>200</v>
      </c>
      <c r="J17" s="45"/>
      <c r="K17" s="7" t="str">
        <f aca="false">IF(J17="","",IFERROR(J17/I17-1,""))</f>
        <v/>
      </c>
      <c r="L17" s="52" t="str">
        <f aca="false">IF(OR(G17="",J17=""),"",IFERROR(G17/J17,""))</f>
        <v/>
      </c>
      <c r="M17" s="53" t="str">
        <f aca="false">IF(OR(J17="",'Site Daily'!E17=""),"",IFERROR(J17/'Site Daily'!E17*1000,""))</f>
        <v/>
      </c>
      <c r="N17" s="53" t="n">
        <f aca="false">I17*(Inputs!$D$17+(Inputs!$D$26-Inputs!$D$17)*E17)</f>
        <v>32</v>
      </c>
      <c r="O17" s="45"/>
      <c r="P17" s="7" t="str">
        <f aca="false">IF(OR(O17="",J17=""),"",IFERROR(O17/J17,""))</f>
        <v/>
      </c>
      <c r="Q17" s="46"/>
      <c r="R17" s="8" t="n">
        <f aca="false">N17*(Inputs!$D$16+(Inputs!$D$27-Inputs!$D$16)*E17)</f>
        <v>17920</v>
      </c>
      <c r="S17" s="8" t="str">
        <f aca="false">IF(OR(O17="",Q17="",J17=""),"",IFERROR(O17*Q17/J17,""))</f>
        <v/>
      </c>
      <c r="T17" s="7" t="str">
        <f aca="false">IF(S17="","",IFERROR(S17/R17-1,""))</f>
        <v/>
      </c>
      <c r="U17" s="8" t="n">
        <f aca="false">C17*(R17-Inputs!$D$19)*Inputs!$D$28</f>
        <v>10752</v>
      </c>
      <c r="V17" s="8" t="str">
        <f aca="false">IF(OR(C17=0,S17=""),"",(S17-Inputs!$D$19)*Inputs!$D$28)</f>
        <v/>
      </c>
      <c r="W17" s="45"/>
      <c r="X17" s="7" t="str">
        <f aca="false">IF(OR(W17="",G17=""),"",IFERROR(W17/G17,""))</f>
        <v/>
      </c>
      <c r="Y17" s="47"/>
    </row>
    <row r="18" customFormat="false" ht="15" hidden="false" customHeight="false" outlineLevel="0" collapsed="false">
      <c r="A18" s="44" t="n">
        <v>46307</v>
      </c>
      <c r="B18" s="20" t="str">
        <f aca="false">TEXT(A18,"ddd")</f>
        <v>Mon</v>
      </c>
      <c r="C18" s="6" t="n">
        <f aca="false">IF(A18&gt;=Inputs!$D$9,1,0)</f>
        <v>1</v>
      </c>
      <c r="D18" s="6" t="n">
        <f aca="false">IF(C18=1,A18-Inputs!$D$9+1,"")</f>
        <v>5</v>
      </c>
      <c r="E18" s="51" t="n">
        <f aca="false">IF(C18=1,MIN(1,D18/Inputs!$D$29),0)</f>
        <v>1</v>
      </c>
      <c r="F18" s="6" t="n">
        <f aca="false">Inputs!$D$13+(Inputs!$D$32-Inputs!$D$13)*E18</f>
        <v>300</v>
      </c>
      <c r="G18" s="45"/>
      <c r="H18" s="7" t="str">
        <f aca="false">IF(G18="","",IFERROR(G18/F18-1,""))</f>
        <v/>
      </c>
      <c r="I18" s="6" t="n">
        <f aca="false">Inputs!$D$14+(Inputs!$D$24-Inputs!$D$14)*E18</f>
        <v>250</v>
      </c>
      <c r="J18" s="45"/>
      <c r="K18" s="7" t="str">
        <f aca="false">IF(J18="","",IFERROR(J18/I18-1,""))</f>
        <v/>
      </c>
      <c r="L18" s="52" t="str">
        <f aca="false">IF(OR(G18="",J18=""),"",IFERROR(G18/J18,""))</f>
        <v/>
      </c>
      <c r="M18" s="53" t="str">
        <f aca="false">IF(OR(J18="",'Site Daily'!E18=""),"",IFERROR(J18/'Site Daily'!E18*1000,""))</f>
        <v/>
      </c>
      <c r="N18" s="53" t="n">
        <f aca="false">I18*(Inputs!$D$17+(Inputs!$D$26-Inputs!$D$17)*E18)</f>
        <v>50</v>
      </c>
      <c r="O18" s="45"/>
      <c r="P18" s="7" t="str">
        <f aca="false">IF(OR(O18="",J18=""),"",IFERROR(O18/J18,""))</f>
        <v/>
      </c>
      <c r="Q18" s="46"/>
      <c r="R18" s="8" t="n">
        <f aca="false">N18*(Inputs!$D$16+(Inputs!$D$27-Inputs!$D$16)*E18)</f>
        <v>35000</v>
      </c>
      <c r="S18" s="8" t="str">
        <f aca="false">IF(OR(O18="",Q18="",J18=""),"",IFERROR(O18*Q18/J18,""))</f>
        <v/>
      </c>
      <c r="T18" s="7" t="str">
        <f aca="false">IF(S18="","",IFERROR(S18/R18-1,""))</f>
        <v/>
      </c>
      <c r="U18" s="8" t="n">
        <f aca="false">C18*(R18-Inputs!$D$19)*Inputs!$D$28</f>
        <v>21000</v>
      </c>
      <c r="V18" s="8" t="str">
        <f aca="false">IF(OR(C18=0,S18=""),"",(S18-Inputs!$D$19)*Inputs!$D$28)</f>
        <v/>
      </c>
      <c r="W18" s="45"/>
      <c r="X18" s="7" t="str">
        <f aca="false">IF(OR(W18="",G18=""),"",IFERROR(W18/G18,""))</f>
        <v/>
      </c>
      <c r="Y18" s="47"/>
    </row>
    <row r="19" customFormat="false" ht="15" hidden="false" customHeight="false" outlineLevel="0" collapsed="false">
      <c r="A19" s="44" t="n">
        <v>46308</v>
      </c>
      <c r="B19" s="20" t="str">
        <f aca="false">TEXT(A19,"ddd")</f>
        <v>Tue</v>
      </c>
      <c r="C19" s="6" t="n">
        <f aca="false">IF(A19&gt;=Inputs!$D$9,1,0)</f>
        <v>1</v>
      </c>
      <c r="D19" s="6" t="n">
        <f aca="false">IF(C19=1,A19-Inputs!$D$9+1,"")</f>
        <v>6</v>
      </c>
      <c r="E19" s="51" t="n">
        <f aca="false">IF(C19=1,MIN(1,D19/Inputs!$D$29),0)</f>
        <v>1</v>
      </c>
      <c r="F19" s="6" t="n">
        <f aca="false">Inputs!$D$13+(Inputs!$D$32-Inputs!$D$13)*E19</f>
        <v>300</v>
      </c>
      <c r="G19" s="45"/>
      <c r="H19" s="7" t="str">
        <f aca="false">IF(G19="","",IFERROR(G19/F19-1,""))</f>
        <v/>
      </c>
      <c r="I19" s="6" t="n">
        <f aca="false">Inputs!$D$14+(Inputs!$D$24-Inputs!$D$14)*E19</f>
        <v>250</v>
      </c>
      <c r="J19" s="45"/>
      <c r="K19" s="7" t="str">
        <f aca="false">IF(J19="","",IFERROR(J19/I19-1,""))</f>
        <v/>
      </c>
      <c r="L19" s="52" t="str">
        <f aca="false">IF(OR(G19="",J19=""),"",IFERROR(G19/J19,""))</f>
        <v/>
      </c>
      <c r="M19" s="53" t="str">
        <f aca="false">IF(OR(J19="",'Site Daily'!E19=""),"",IFERROR(J19/'Site Daily'!E19*1000,""))</f>
        <v/>
      </c>
      <c r="N19" s="53" t="n">
        <f aca="false">I19*(Inputs!$D$17+(Inputs!$D$26-Inputs!$D$17)*E19)</f>
        <v>50</v>
      </c>
      <c r="O19" s="45"/>
      <c r="P19" s="7" t="str">
        <f aca="false">IF(OR(O19="",J19=""),"",IFERROR(O19/J19,""))</f>
        <v/>
      </c>
      <c r="Q19" s="46"/>
      <c r="R19" s="8" t="n">
        <f aca="false">N19*(Inputs!$D$16+(Inputs!$D$27-Inputs!$D$16)*E19)</f>
        <v>35000</v>
      </c>
      <c r="S19" s="8" t="str">
        <f aca="false">IF(OR(O19="",Q19="",J19=""),"",IFERROR(O19*Q19/J19,""))</f>
        <v/>
      </c>
      <c r="T19" s="7" t="str">
        <f aca="false">IF(S19="","",IFERROR(S19/R19-1,""))</f>
        <v/>
      </c>
      <c r="U19" s="8" t="n">
        <f aca="false">C19*(R19-Inputs!$D$19)*Inputs!$D$28</f>
        <v>21000</v>
      </c>
      <c r="V19" s="8" t="str">
        <f aca="false">IF(OR(C19=0,S19=""),"",(S19-Inputs!$D$19)*Inputs!$D$28)</f>
        <v/>
      </c>
      <c r="W19" s="45"/>
      <c r="X19" s="7" t="str">
        <f aca="false">IF(OR(W19="",G19=""),"",IFERROR(W19/G19,""))</f>
        <v/>
      </c>
      <c r="Y19" s="47"/>
    </row>
    <row r="20" customFormat="false" ht="15" hidden="false" customHeight="false" outlineLevel="0" collapsed="false">
      <c r="A20" s="44" t="n">
        <v>46309</v>
      </c>
      <c r="B20" s="20" t="str">
        <f aca="false">TEXT(A20,"ddd")</f>
        <v>Wed</v>
      </c>
      <c r="C20" s="6" t="n">
        <f aca="false">IF(A20&gt;=Inputs!$D$9,1,0)</f>
        <v>1</v>
      </c>
      <c r="D20" s="6" t="n">
        <f aca="false">IF(C20=1,A20-Inputs!$D$9+1,"")</f>
        <v>7</v>
      </c>
      <c r="E20" s="51" t="n">
        <f aca="false">IF(C20=1,MIN(1,D20/Inputs!$D$29),0)</f>
        <v>1</v>
      </c>
      <c r="F20" s="6" t="n">
        <f aca="false">Inputs!$D$13+(Inputs!$D$32-Inputs!$D$13)*E20</f>
        <v>300</v>
      </c>
      <c r="G20" s="45"/>
      <c r="H20" s="7" t="str">
        <f aca="false">IF(G20="","",IFERROR(G20/F20-1,""))</f>
        <v/>
      </c>
      <c r="I20" s="6" t="n">
        <f aca="false">Inputs!$D$14+(Inputs!$D$24-Inputs!$D$14)*E20</f>
        <v>250</v>
      </c>
      <c r="J20" s="45"/>
      <c r="K20" s="7" t="str">
        <f aca="false">IF(J20="","",IFERROR(J20/I20-1,""))</f>
        <v/>
      </c>
      <c r="L20" s="52" t="str">
        <f aca="false">IF(OR(G20="",J20=""),"",IFERROR(G20/J20,""))</f>
        <v/>
      </c>
      <c r="M20" s="53" t="str">
        <f aca="false">IF(OR(J20="",'Site Daily'!E20=""),"",IFERROR(J20/'Site Daily'!E20*1000,""))</f>
        <v/>
      </c>
      <c r="N20" s="53" t="n">
        <f aca="false">I20*(Inputs!$D$17+(Inputs!$D$26-Inputs!$D$17)*E20)</f>
        <v>50</v>
      </c>
      <c r="O20" s="45"/>
      <c r="P20" s="7" t="str">
        <f aca="false">IF(OR(O20="",J20=""),"",IFERROR(O20/J20,""))</f>
        <v/>
      </c>
      <c r="Q20" s="46"/>
      <c r="R20" s="8" t="n">
        <f aca="false">N20*(Inputs!$D$16+(Inputs!$D$27-Inputs!$D$16)*E20)</f>
        <v>35000</v>
      </c>
      <c r="S20" s="8" t="str">
        <f aca="false">IF(OR(O20="",Q20="",J20=""),"",IFERROR(O20*Q20/J20,""))</f>
        <v/>
      </c>
      <c r="T20" s="7" t="str">
        <f aca="false">IF(S20="","",IFERROR(S20/R20-1,""))</f>
        <v/>
      </c>
      <c r="U20" s="8" t="n">
        <f aca="false">C20*(R20-Inputs!$D$19)*Inputs!$D$28</f>
        <v>21000</v>
      </c>
      <c r="V20" s="8" t="str">
        <f aca="false">IF(OR(C20=0,S20=""),"",(S20-Inputs!$D$19)*Inputs!$D$28)</f>
        <v/>
      </c>
      <c r="W20" s="45"/>
      <c r="X20" s="7" t="str">
        <f aca="false">IF(OR(W20="",G20=""),"",IFERROR(W20/G20,""))</f>
        <v/>
      </c>
      <c r="Y20" s="47"/>
    </row>
    <row r="21" customFormat="false" ht="15" hidden="false" customHeight="false" outlineLevel="0" collapsed="false">
      <c r="A21" s="44" t="n">
        <v>46310</v>
      </c>
      <c r="B21" s="20" t="str">
        <f aca="false">TEXT(A21,"ddd")</f>
        <v>Thu</v>
      </c>
      <c r="C21" s="6" t="n">
        <f aca="false">IF(A21&gt;=Inputs!$D$9,1,0)</f>
        <v>1</v>
      </c>
      <c r="D21" s="6" t="n">
        <f aca="false">IF(C21=1,A21-Inputs!$D$9+1,"")</f>
        <v>8</v>
      </c>
      <c r="E21" s="51" t="n">
        <f aca="false">IF(C21=1,MIN(1,D21/Inputs!$D$29),0)</f>
        <v>1</v>
      </c>
      <c r="F21" s="6" t="n">
        <f aca="false">Inputs!$D$13+(Inputs!$D$32-Inputs!$D$13)*E21</f>
        <v>300</v>
      </c>
      <c r="G21" s="45"/>
      <c r="H21" s="7" t="str">
        <f aca="false">IF(G21="","",IFERROR(G21/F21-1,""))</f>
        <v/>
      </c>
      <c r="I21" s="6" t="n">
        <f aca="false">Inputs!$D$14+(Inputs!$D$24-Inputs!$D$14)*E21</f>
        <v>250</v>
      </c>
      <c r="J21" s="45"/>
      <c r="K21" s="7" t="str">
        <f aca="false">IF(J21="","",IFERROR(J21/I21-1,""))</f>
        <v/>
      </c>
      <c r="L21" s="52" t="str">
        <f aca="false">IF(OR(G21="",J21=""),"",IFERROR(G21/J21,""))</f>
        <v/>
      </c>
      <c r="M21" s="53" t="str">
        <f aca="false">IF(OR(J21="",'Site Daily'!E21=""),"",IFERROR(J21/'Site Daily'!E21*1000,""))</f>
        <v/>
      </c>
      <c r="N21" s="53" t="n">
        <f aca="false">I21*(Inputs!$D$17+(Inputs!$D$26-Inputs!$D$17)*E21)</f>
        <v>50</v>
      </c>
      <c r="O21" s="45"/>
      <c r="P21" s="7" t="str">
        <f aca="false">IF(OR(O21="",J21=""),"",IFERROR(O21/J21,""))</f>
        <v/>
      </c>
      <c r="Q21" s="46"/>
      <c r="R21" s="8" t="n">
        <f aca="false">N21*(Inputs!$D$16+(Inputs!$D$27-Inputs!$D$16)*E21)</f>
        <v>35000</v>
      </c>
      <c r="S21" s="8" t="str">
        <f aca="false">IF(OR(O21="",Q21="",J21=""),"",IFERROR(O21*Q21/J21,""))</f>
        <v/>
      </c>
      <c r="T21" s="7" t="str">
        <f aca="false">IF(S21="","",IFERROR(S21/R21-1,""))</f>
        <v/>
      </c>
      <c r="U21" s="8" t="n">
        <f aca="false">C21*(R21-Inputs!$D$19)*Inputs!$D$28</f>
        <v>21000</v>
      </c>
      <c r="V21" s="8" t="str">
        <f aca="false">IF(OR(C21=0,S21=""),"",(S21-Inputs!$D$19)*Inputs!$D$28)</f>
        <v/>
      </c>
      <c r="W21" s="45"/>
      <c r="X21" s="7" t="str">
        <f aca="false">IF(OR(W21="",G21=""),"",IFERROR(W21/G21,""))</f>
        <v/>
      </c>
      <c r="Y21" s="47"/>
    </row>
    <row r="22" customFormat="false" ht="15" hidden="false" customHeight="false" outlineLevel="0" collapsed="false">
      <c r="A22" s="44" t="n">
        <v>46311</v>
      </c>
      <c r="B22" s="20" t="str">
        <f aca="false">TEXT(A22,"ddd")</f>
        <v>Fri</v>
      </c>
      <c r="C22" s="6" t="n">
        <f aca="false">IF(A22&gt;=Inputs!$D$9,1,0)</f>
        <v>1</v>
      </c>
      <c r="D22" s="6" t="n">
        <f aca="false">IF(C22=1,A22-Inputs!$D$9+1,"")</f>
        <v>9</v>
      </c>
      <c r="E22" s="51" t="n">
        <f aca="false">IF(C22=1,MIN(1,D22/Inputs!$D$29),0)</f>
        <v>1</v>
      </c>
      <c r="F22" s="6" t="n">
        <f aca="false">Inputs!$D$13+(Inputs!$D$32-Inputs!$D$13)*E22</f>
        <v>300</v>
      </c>
      <c r="G22" s="45"/>
      <c r="H22" s="7" t="str">
        <f aca="false">IF(G22="","",IFERROR(G22/F22-1,""))</f>
        <v/>
      </c>
      <c r="I22" s="6" t="n">
        <f aca="false">Inputs!$D$14+(Inputs!$D$24-Inputs!$D$14)*E22</f>
        <v>250</v>
      </c>
      <c r="J22" s="45"/>
      <c r="K22" s="7" t="str">
        <f aca="false">IF(J22="","",IFERROR(J22/I22-1,""))</f>
        <v/>
      </c>
      <c r="L22" s="52" t="str">
        <f aca="false">IF(OR(G22="",J22=""),"",IFERROR(G22/J22,""))</f>
        <v/>
      </c>
      <c r="M22" s="53" t="str">
        <f aca="false">IF(OR(J22="",'Site Daily'!E22=""),"",IFERROR(J22/'Site Daily'!E22*1000,""))</f>
        <v/>
      </c>
      <c r="N22" s="53" t="n">
        <f aca="false">I22*(Inputs!$D$17+(Inputs!$D$26-Inputs!$D$17)*E22)</f>
        <v>50</v>
      </c>
      <c r="O22" s="45"/>
      <c r="P22" s="7" t="str">
        <f aca="false">IF(OR(O22="",J22=""),"",IFERROR(O22/J22,""))</f>
        <v/>
      </c>
      <c r="Q22" s="46"/>
      <c r="R22" s="8" t="n">
        <f aca="false">N22*(Inputs!$D$16+(Inputs!$D$27-Inputs!$D$16)*E22)</f>
        <v>35000</v>
      </c>
      <c r="S22" s="8" t="str">
        <f aca="false">IF(OR(O22="",Q22="",J22=""),"",IFERROR(O22*Q22/J22,""))</f>
        <v/>
      </c>
      <c r="T22" s="7" t="str">
        <f aca="false">IF(S22="","",IFERROR(S22/R22-1,""))</f>
        <v/>
      </c>
      <c r="U22" s="8" t="n">
        <f aca="false">C22*(R22-Inputs!$D$19)*Inputs!$D$28</f>
        <v>21000</v>
      </c>
      <c r="V22" s="8" t="str">
        <f aca="false">IF(OR(C22=0,S22=""),"",(S22-Inputs!$D$19)*Inputs!$D$28)</f>
        <v/>
      </c>
      <c r="W22" s="45"/>
      <c r="X22" s="7" t="str">
        <f aca="false">IF(OR(W22="",G22=""),"",IFERROR(W22/G22,""))</f>
        <v/>
      </c>
      <c r="Y22" s="47"/>
    </row>
    <row r="23" customFormat="false" ht="15" hidden="false" customHeight="false" outlineLevel="0" collapsed="false">
      <c r="A23" s="44" t="n">
        <v>46312</v>
      </c>
      <c r="B23" s="20" t="str">
        <f aca="false">TEXT(A23,"ddd")</f>
        <v>Sat</v>
      </c>
      <c r="C23" s="6" t="n">
        <f aca="false">IF(A23&gt;=Inputs!$D$9,1,0)</f>
        <v>1</v>
      </c>
      <c r="D23" s="6" t="n">
        <f aca="false">IF(C23=1,A23-Inputs!$D$9+1,"")</f>
        <v>10</v>
      </c>
      <c r="E23" s="51" t="n">
        <f aca="false">IF(C23=1,MIN(1,D23/Inputs!$D$29),0)</f>
        <v>1</v>
      </c>
      <c r="F23" s="6" t="n">
        <f aca="false">Inputs!$D$13+(Inputs!$D$32-Inputs!$D$13)*E23</f>
        <v>300</v>
      </c>
      <c r="G23" s="45"/>
      <c r="H23" s="7" t="str">
        <f aca="false">IF(G23="","",IFERROR(G23/F23-1,""))</f>
        <v/>
      </c>
      <c r="I23" s="6" t="n">
        <f aca="false">Inputs!$D$14+(Inputs!$D$24-Inputs!$D$14)*E23</f>
        <v>250</v>
      </c>
      <c r="J23" s="45"/>
      <c r="K23" s="7" t="str">
        <f aca="false">IF(J23="","",IFERROR(J23/I23-1,""))</f>
        <v/>
      </c>
      <c r="L23" s="52" t="str">
        <f aca="false">IF(OR(G23="",J23=""),"",IFERROR(G23/J23,""))</f>
        <v/>
      </c>
      <c r="M23" s="53" t="str">
        <f aca="false">IF(OR(J23="",'Site Daily'!E23=""),"",IFERROR(J23/'Site Daily'!E23*1000,""))</f>
        <v/>
      </c>
      <c r="N23" s="53" t="n">
        <f aca="false">I23*(Inputs!$D$17+(Inputs!$D$26-Inputs!$D$17)*E23)</f>
        <v>50</v>
      </c>
      <c r="O23" s="45"/>
      <c r="P23" s="7" t="str">
        <f aca="false">IF(OR(O23="",J23=""),"",IFERROR(O23/J23,""))</f>
        <v/>
      </c>
      <c r="Q23" s="46"/>
      <c r="R23" s="8" t="n">
        <f aca="false">N23*(Inputs!$D$16+(Inputs!$D$27-Inputs!$D$16)*E23)</f>
        <v>35000</v>
      </c>
      <c r="S23" s="8" t="str">
        <f aca="false">IF(OR(O23="",Q23="",J23=""),"",IFERROR(O23*Q23/J23,""))</f>
        <v/>
      </c>
      <c r="T23" s="7" t="str">
        <f aca="false">IF(S23="","",IFERROR(S23/R23-1,""))</f>
        <v/>
      </c>
      <c r="U23" s="8" t="n">
        <f aca="false">C23*(R23-Inputs!$D$19)*Inputs!$D$28</f>
        <v>21000</v>
      </c>
      <c r="V23" s="8" t="str">
        <f aca="false">IF(OR(C23=0,S23=""),"",(S23-Inputs!$D$19)*Inputs!$D$28)</f>
        <v/>
      </c>
      <c r="W23" s="45"/>
      <c r="X23" s="7" t="str">
        <f aca="false">IF(OR(W23="",G23=""),"",IFERROR(W23/G23,""))</f>
        <v/>
      </c>
      <c r="Y23" s="47"/>
    </row>
    <row r="24" customFormat="false" ht="15" hidden="false" customHeight="false" outlineLevel="0" collapsed="false">
      <c r="A24" s="44" t="n">
        <v>46313</v>
      </c>
      <c r="B24" s="20" t="str">
        <f aca="false">TEXT(A24,"ddd")</f>
        <v>Sun</v>
      </c>
      <c r="C24" s="6" t="n">
        <f aca="false">IF(A24&gt;=Inputs!$D$9,1,0)</f>
        <v>1</v>
      </c>
      <c r="D24" s="6" t="n">
        <f aca="false">IF(C24=1,A24-Inputs!$D$9+1,"")</f>
        <v>11</v>
      </c>
      <c r="E24" s="51" t="n">
        <f aca="false">IF(C24=1,MIN(1,D24/Inputs!$D$29),0)</f>
        <v>1</v>
      </c>
      <c r="F24" s="6" t="n">
        <f aca="false">Inputs!$D$13+(Inputs!$D$32-Inputs!$D$13)*E24</f>
        <v>300</v>
      </c>
      <c r="G24" s="45"/>
      <c r="H24" s="7" t="str">
        <f aca="false">IF(G24="","",IFERROR(G24/F24-1,""))</f>
        <v/>
      </c>
      <c r="I24" s="6" t="n">
        <f aca="false">Inputs!$D$14+(Inputs!$D$24-Inputs!$D$14)*E24</f>
        <v>250</v>
      </c>
      <c r="J24" s="45"/>
      <c r="K24" s="7" t="str">
        <f aca="false">IF(J24="","",IFERROR(J24/I24-1,""))</f>
        <v/>
      </c>
      <c r="L24" s="52" t="str">
        <f aca="false">IF(OR(G24="",J24=""),"",IFERROR(G24/J24,""))</f>
        <v/>
      </c>
      <c r="M24" s="53" t="str">
        <f aca="false">IF(OR(J24="",'Site Daily'!E24=""),"",IFERROR(J24/'Site Daily'!E24*1000,""))</f>
        <v/>
      </c>
      <c r="N24" s="53" t="n">
        <f aca="false">I24*(Inputs!$D$17+(Inputs!$D$26-Inputs!$D$17)*E24)</f>
        <v>50</v>
      </c>
      <c r="O24" s="45"/>
      <c r="P24" s="7" t="str">
        <f aca="false">IF(OR(O24="",J24=""),"",IFERROR(O24/J24,""))</f>
        <v/>
      </c>
      <c r="Q24" s="46"/>
      <c r="R24" s="8" t="n">
        <f aca="false">N24*(Inputs!$D$16+(Inputs!$D$27-Inputs!$D$16)*E24)</f>
        <v>35000</v>
      </c>
      <c r="S24" s="8" t="str">
        <f aca="false">IF(OR(O24="",Q24="",J24=""),"",IFERROR(O24*Q24/J24,""))</f>
        <v/>
      </c>
      <c r="T24" s="7" t="str">
        <f aca="false">IF(S24="","",IFERROR(S24/R24-1,""))</f>
        <v/>
      </c>
      <c r="U24" s="8" t="n">
        <f aca="false">C24*(R24-Inputs!$D$19)*Inputs!$D$28</f>
        <v>21000</v>
      </c>
      <c r="V24" s="8" t="str">
        <f aca="false">IF(OR(C24=0,S24=""),"",(S24-Inputs!$D$19)*Inputs!$D$28)</f>
        <v/>
      </c>
      <c r="W24" s="45"/>
      <c r="X24" s="7" t="str">
        <f aca="false">IF(OR(W24="",G24=""),"",IFERROR(W24/G24,""))</f>
        <v/>
      </c>
      <c r="Y24" s="47"/>
    </row>
    <row r="25" customFormat="false" ht="15" hidden="false" customHeight="false" outlineLevel="0" collapsed="false">
      <c r="A25" s="44" t="n">
        <v>46314</v>
      </c>
      <c r="B25" s="20" t="str">
        <f aca="false">TEXT(A25,"ddd")</f>
        <v>Mon</v>
      </c>
      <c r="C25" s="6" t="n">
        <f aca="false">IF(A25&gt;=Inputs!$D$9,1,0)</f>
        <v>1</v>
      </c>
      <c r="D25" s="6" t="n">
        <f aca="false">IF(C25=1,A25-Inputs!$D$9+1,"")</f>
        <v>12</v>
      </c>
      <c r="E25" s="51" t="n">
        <f aca="false">IF(C25=1,MIN(1,D25/Inputs!$D$29),0)</f>
        <v>1</v>
      </c>
      <c r="F25" s="6" t="n">
        <f aca="false">Inputs!$D$13+(Inputs!$D$32-Inputs!$D$13)*E25</f>
        <v>300</v>
      </c>
      <c r="G25" s="45"/>
      <c r="H25" s="7" t="str">
        <f aca="false">IF(G25="","",IFERROR(G25/F25-1,""))</f>
        <v/>
      </c>
      <c r="I25" s="6" t="n">
        <f aca="false">Inputs!$D$14+(Inputs!$D$24-Inputs!$D$14)*E25</f>
        <v>250</v>
      </c>
      <c r="J25" s="45"/>
      <c r="K25" s="7" t="str">
        <f aca="false">IF(J25="","",IFERROR(J25/I25-1,""))</f>
        <v/>
      </c>
      <c r="L25" s="52" t="str">
        <f aca="false">IF(OR(G25="",J25=""),"",IFERROR(G25/J25,""))</f>
        <v/>
      </c>
      <c r="M25" s="53" t="str">
        <f aca="false">IF(OR(J25="",'Site Daily'!E25=""),"",IFERROR(J25/'Site Daily'!E25*1000,""))</f>
        <v/>
      </c>
      <c r="N25" s="53" t="n">
        <f aca="false">I25*(Inputs!$D$17+(Inputs!$D$26-Inputs!$D$17)*E25)</f>
        <v>50</v>
      </c>
      <c r="O25" s="45"/>
      <c r="P25" s="7" t="str">
        <f aca="false">IF(OR(O25="",J25=""),"",IFERROR(O25/J25,""))</f>
        <v/>
      </c>
      <c r="Q25" s="46"/>
      <c r="R25" s="8" t="n">
        <f aca="false">N25*(Inputs!$D$16+(Inputs!$D$27-Inputs!$D$16)*E25)</f>
        <v>35000</v>
      </c>
      <c r="S25" s="8" t="str">
        <f aca="false">IF(OR(O25="",Q25="",J25=""),"",IFERROR(O25*Q25/J25,""))</f>
        <v/>
      </c>
      <c r="T25" s="7" t="str">
        <f aca="false">IF(S25="","",IFERROR(S25/R25-1,""))</f>
        <v/>
      </c>
      <c r="U25" s="8" t="n">
        <f aca="false">C25*(R25-Inputs!$D$19)*Inputs!$D$28</f>
        <v>21000</v>
      </c>
      <c r="V25" s="8" t="str">
        <f aca="false">IF(OR(C25=0,S25=""),"",(S25-Inputs!$D$19)*Inputs!$D$28)</f>
        <v/>
      </c>
      <c r="W25" s="45"/>
      <c r="X25" s="7" t="str">
        <f aca="false">IF(OR(W25="",G25=""),"",IFERROR(W25/G25,""))</f>
        <v/>
      </c>
      <c r="Y25" s="47"/>
    </row>
    <row r="26" customFormat="false" ht="15" hidden="false" customHeight="false" outlineLevel="0" collapsed="false">
      <c r="A26" s="44" t="n">
        <v>46315</v>
      </c>
      <c r="B26" s="20" t="str">
        <f aca="false">TEXT(A26,"ddd")</f>
        <v>Tue</v>
      </c>
      <c r="C26" s="6" t="n">
        <f aca="false">IF(A26&gt;=Inputs!$D$9,1,0)</f>
        <v>1</v>
      </c>
      <c r="D26" s="6" t="n">
        <f aca="false">IF(C26=1,A26-Inputs!$D$9+1,"")</f>
        <v>13</v>
      </c>
      <c r="E26" s="51" t="n">
        <f aca="false">IF(C26=1,MIN(1,D26/Inputs!$D$29),0)</f>
        <v>1</v>
      </c>
      <c r="F26" s="6" t="n">
        <f aca="false">Inputs!$D$13+(Inputs!$D$32-Inputs!$D$13)*E26</f>
        <v>300</v>
      </c>
      <c r="G26" s="45"/>
      <c r="H26" s="7" t="str">
        <f aca="false">IF(G26="","",IFERROR(G26/F26-1,""))</f>
        <v/>
      </c>
      <c r="I26" s="6" t="n">
        <f aca="false">Inputs!$D$14+(Inputs!$D$24-Inputs!$D$14)*E26</f>
        <v>250</v>
      </c>
      <c r="J26" s="45"/>
      <c r="K26" s="7" t="str">
        <f aca="false">IF(J26="","",IFERROR(J26/I26-1,""))</f>
        <v/>
      </c>
      <c r="L26" s="52" t="str">
        <f aca="false">IF(OR(G26="",J26=""),"",IFERROR(G26/J26,""))</f>
        <v/>
      </c>
      <c r="M26" s="53" t="str">
        <f aca="false">IF(OR(J26="",'Site Daily'!E26=""),"",IFERROR(J26/'Site Daily'!E26*1000,""))</f>
        <v/>
      </c>
      <c r="N26" s="53" t="n">
        <f aca="false">I26*(Inputs!$D$17+(Inputs!$D$26-Inputs!$D$17)*E26)</f>
        <v>50</v>
      </c>
      <c r="O26" s="45"/>
      <c r="P26" s="7" t="str">
        <f aca="false">IF(OR(O26="",J26=""),"",IFERROR(O26/J26,""))</f>
        <v/>
      </c>
      <c r="Q26" s="46"/>
      <c r="R26" s="8" t="n">
        <f aca="false">N26*(Inputs!$D$16+(Inputs!$D$27-Inputs!$D$16)*E26)</f>
        <v>35000</v>
      </c>
      <c r="S26" s="8" t="str">
        <f aca="false">IF(OR(O26="",Q26="",J26=""),"",IFERROR(O26*Q26/J26,""))</f>
        <v/>
      </c>
      <c r="T26" s="7" t="str">
        <f aca="false">IF(S26="","",IFERROR(S26/R26-1,""))</f>
        <v/>
      </c>
      <c r="U26" s="8" t="n">
        <f aca="false">C26*(R26-Inputs!$D$19)*Inputs!$D$28</f>
        <v>21000</v>
      </c>
      <c r="V26" s="8" t="str">
        <f aca="false">IF(OR(C26=0,S26=""),"",(S26-Inputs!$D$19)*Inputs!$D$28)</f>
        <v/>
      </c>
      <c r="W26" s="45"/>
      <c r="X26" s="7" t="str">
        <f aca="false">IF(OR(W26="",G26=""),"",IFERROR(W26/G26,""))</f>
        <v/>
      </c>
      <c r="Y26" s="47"/>
    </row>
    <row r="27" customFormat="false" ht="15" hidden="false" customHeight="false" outlineLevel="0" collapsed="false">
      <c r="A27" s="44" t="n">
        <v>46316</v>
      </c>
      <c r="B27" s="20" t="str">
        <f aca="false">TEXT(A27,"ddd")</f>
        <v>Wed</v>
      </c>
      <c r="C27" s="6" t="n">
        <f aca="false">IF(A27&gt;=Inputs!$D$9,1,0)</f>
        <v>1</v>
      </c>
      <c r="D27" s="6" t="n">
        <f aca="false">IF(C27=1,A27-Inputs!$D$9+1,"")</f>
        <v>14</v>
      </c>
      <c r="E27" s="51" t="n">
        <f aca="false">IF(C27=1,MIN(1,D27/Inputs!$D$29),0)</f>
        <v>1</v>
      </c>
      <c r="F27" s="6" t="n">
        <f aca="false">Inputs!$D$13+(Inputs!$D$32-Inputs!$D$13)*E27</f>
        <v>300</v>
      </c>
      <c r="G27" s="45"/>
      <c r="H27" s="7" t="str">
        <f aca="false">IF(G27="","",IFERROR(G27/F27-1,""))</f>
        <v/>
      </c>
      <c r="I27" s="6" t="n">
        <f aca="false">Inputs!$D$14+(Inputs!$D$24-Inputs!$D$14)*E27</f>
        <v>250</v>
      </c>
      <c r="J27" s="45"/>
      <c r="K27" s="7" t="str">
        <f aca="false">IF(J27="","",IFERROR(J27/I27-1,""))</f>
        <v/>
      </c>
      <c r="L27" s="52" t="str">
        <f aca="false">IF(OR(G27="",J27=""),"",IFERROR(G27/J27,""))</f>
        <v/>
      </c>
      <c r="M27" s="53" t="str">
        <f aca="false">IF(OR(J27="",'Site Daily'!E27=""),"",IFERROR(J27/'Site Daily'!E27*1000,""))</f>
        <v/>
      </c>
      <c r="N27" s="53" t="n">
        <f aca="false">I27*(Inputs!$D$17+(Inputs!$D$26-Inputs!$D$17)*E27)</f>
        <v>50</v>
      </c>
      <c r="O27" s="45"/>
      <c r="P27" s="7" t="str">
        <f aca="false">IF(OR(O27="",J27=""),"",IFERROR(O27/J27,""))</f>
        <v/>
      </c>
      <c r="Q27" s="46"/>
      <c r="R27" s="8" t="n">
        <f aca="false">N27*(Inputs!$D$16+(Inputs!$D$27-Inputs!$D$16)*E27)</f>
        <v>35000</v>
      </c>
      <c r="S27" s="8" t="str">
        <f aca="false">IF(OR(O27="",Q27="",J27=""),"",IFERROR(O27*Q27/J27,""))</f>
        <v/>
      </c>
      <c r="T27" s="7" t="str">
        <f aca="false">IF(S27="","",IFERROR(S27/R27-1,""))</f>
        <v/>
      </c>
      <c r="U27" s="8" t="n">
        <f aca="false">C27*(R27-Inputs!$D$19)*Inputs!$D$28</f>
        <v>21000</v>
      </c>
      <c r="V27" s="8" t="str">
        <f aca="false">IF(OR(C27=0,S27=""),"",(S27-Inputs!$D$19)*Inputs!$D$28)</f>
        <v/>
      </c>
      <c r="W27" s="45"/>
      <c r="X27" s="7" t="str">
        <f aca="false">IF(OR(W27="",G27=""),"",IFERROR(W27/G27,""))</f>
        <v/>
      </c>
      <c r="Y27" s="47"/>
    </row>
    <row r="28" customFormat="false" ht="15" hidden="false" customHeight="false" outlineLevel="0" collapsed="false">
      <c r="A28" s="44" t="n">
        <v>46317</v>
      </c>
      <c r="B28" s="20" t="str">
        <f aca="false">TEXT(A28,"ddd")</f>
        <v>Thu</v>
      </c>
      <c r="C28" s="6" t="n">
        <f aca="false">IF(A28&gt;=Inputs!$D$9,1,0)</f>
        <v>1</v>
      </c>
      <c r="D28" s="6" t="n">
        <f aca="false">IF(C28=1,A28-Inputs!$D$9+1,"")</f>
        <v>15</v>
      </c>
      <c r="E28" s="51" t="n">
        <f aca="false">IF(C28=1,MIN(1,D28/Inputs!$D$29),0)</f>
        <v>1</v>
      </c>
      <c r="F28" s="6" t="n">
        <f aca="false">Inputs!$D$13+(Inputs!$D$32-Inputs!$D$13)*E28</f>
        <v>300</v>
      </c>
      <c r="G28" s="45"/>
      <c r="H28" s="7" t="str">
        <f aca="false">IF(G28="","",IFERROR(G28/F28-1,""))</f>
        <v/>
      </c>
      <c r="I28" s="6" t="n">
        <f aca="false">Inputs!$D$14+(Inputs!$D$24-Inputs!$D$14)*E28</f>
        <v>250</v>
      </c>
      <c r="J28" s="45"/>
      <c r="K28" s="7" t="str">
        <f aca="false">IF(J28="","",IFERROR(J28/I28-1,""))</f>
        <v/>
      </c>
      <c r="L28" s="52" t="str">
        <f aca="false">IF(OR(G28="",J28=""),"",IFERROR(G28/J28,""))</f>
        <v/>
      </c>
      <c r="M28" s="53" t="str">
        <f aca="false">IF(OR(J28="",'Site Daily'!E28=""),"",IFERROR(J28/'Site Daily'!E28*1000,""))</f>
        <v/>
      </c>
      <c r="N28" s="53" t="n">
        <f aca="false">I28*(Inputs!$D$17+(Inputs!$D$26-Inputs!$D$17)*E28)</f>
        <v>50</v>
      </c>
      <c r="O28" s="45"/>
      <c r="P28" s="7" t="str">
        <f aca="false">IF(OR(O28="",J28=""),"",IFERROR(O28/J28,""))</f>
        <v/>
      </c>
      <c r="Q28" s="46"/>
      <c r="R28" s="8" t="n">
        <f aca="false">N28*(Inputs!$D$16+(Inputs!$D$27-Inputs!$D$16)*E28)</f>
        <v>35000</v>
      </c>
      <c r="S28" s="8" t="str">
        <f aca="false">IF(OR(O28="",Q28="",J28=""),"",IFERROR(O28*Q28/J28,""))</f>
        <v/>
      </c>
      <c r="T28" s="7" t="str">
        <f aca="false">IF(S28="","",IFERROR(S28/R28-1,""))</f>
        <v/>
      </c>
      <c r="U28" s="8" t="n">
        <f aca="false">C28*(R28-Inputs!$D$19)*Inputs!$D$28</f>
        <v>21000</v>
      </c>
      <c r="V28" s="8" t="str">
        <f aca="false">IF(OR(C28=0,S28=""),"",(S28-Inputs!$D$19)*Inputs!$D$28)</f>
        <v/>
      </c>
      <c r="W28" s="45"/>
      <c r="X28" s="7" t="str">
        <f aca="false">IF(OR(W28="",G28=""),"",IFERROR(W28/G28,""))</f>
        <v/>
      </c>
      <c r="Y28" s="47"/>
    </row>
    <row r="29" customFormat="false" ht="15" hidden="false" customHeight="false" outlineLevel="0" collapsed="false">
      <c r="A29" s="44" t="n">
        <v>46318</v>
      </c>
      <c r="B29" s="20" t="str">
        <f aca="false">TEXT(A29,"ddd")</f>
        <v>Fri</v>
      </c>
      <c r="C29" s="6" t="n">
        <f aca="false">IF(A29&gt;=Inputs!$D$9,1,0)</f>
        <v>1</v>
      </c>
      <c r="D29" s="6" t="n">
        <f aca="false">IF(C29=1,A29-Inputs!$D$9+1,"")</f>
        <v>16</v>
      </c>
      <c r="E29" s="51" t="n">
        <f aca="false">IF(C29=1,MIN(1,D29/Inputs!$D$29),0)</f>
        <v>1</v>
      </c>
      <c r="F29" s="6" t="n">
        <f aca="false">Inputs!$D$13+(Inputs!$D$32-Inputs!$D$13)*E29</f>
        <v>300</v>
      </c>
      <c r="G29" s="45"/>
      <c r="H29" s="7" t="str">
        <f aca="false">IF(G29="","",IFERROR(G29/F29-1,""))</f>
        <v/>
      </c>
      <c r="I29" s="6" t="n">
        <f aca="false">Inputs!$D$14+(Inputs!$D$24-Inputs!$D$14)*E29</f>
        <v>250</v>
      </c>
      <c r="J29" s="45"/>
      <c r="K29" s="7" t="str">
        <f aca="false">IF(J29="","",IFERROR(J29/I29-1,""))</f>
        <v/>
      </c>
      <c r="L29" s="52" t="str">
        <f aca="false">IF(OR(G29="",J29=""),"",IFERROR(G29/J29,""))</f>
        <v/>
      </c>
      <c r="M29" s="53" t="str">
        <f aca="false">IF(OR(J29="",'Site Daily'!E29=""),"",IFERROR(J29/'Site Daily'!E29*1000,""))</f>
        <v/>
      </c>
      <c r="N29" s="53" t="n">
        <f aca="false">I29*(Inputs!$D$17+(Inputs!$D$26-Inputs!$D$17)*E29)</f>
        <v>50</v>
      </c>
      <c r="O29" s="45"/>
      <c r="P29" s="7" t="str">
        <f aca="false">IF(OR(O29="",J29=""),"",IFERROR(O29/J29,""))</f>
        <v/>
      </c>
      <c r="Q29" s="46"/>
      <c r="R29" s="8" t="n">
        <f aca="false">N29*(Inputs!$D$16+(Inputs!$D$27-Inputs!$D$16)*E29)</f>
        <v>35000</v>
      </c>
      <c r="S29" s="8" t="str">
        <f aca="false">IF(OR(O29="",Q29="",J29=""),"",IFERROR(O29*Q29/J29,""))</f>
        <v/>
      </c>
      <c r="T29" s="7" t="str">
        <f aca="false">IF(S29="","",IFERROR(S29/R29-1,""))</f>
        <v/>
      </c>
      <c r="U29" s="8" t="n">
        <f aca="false">C29*(R29-Inputs!$D$19)*Inputs!$D$28</f>
        <v>21000</v>
      </c>
      <c r="V29" s="8" t="str">
        <f aca="false">IF(OR(C29=0,S29=""),"",(S29-Inputs!$D$19)*Inputs!$D$28)</f>
        <v/>
      </c>
      <c r="W29" s="45"/>
      <c r="X29" s="7" t="str">
        <f aca="false">IF(OR(W29="",G29=""),"",IFERROR(W29/G29,""))</f>
        <v/>
      </c>
      <c r="Y29" s="47"/>
    </row>
    <row r="30" customFormat="false" ht="15" hidden="false" customHeight="false" outlineLevel="0" collapsed="false">
      <c r="A30" s="44" t="n">
        <v>46319</v>
      </c>
      <c r="B30" s="20" t="str">
        <f aca="false">TEXT(A30,"ddd")</f>
        <v>Sat</v>
      </c>
      <c r="C30" s="6" t="n">
        <f aca="false">IF(A30&gt;=Inputs!$D$9,1,0)</f>
        <v>1</v>
      </c>
      <c r="D30" s="6" t="n">
        <f aca="false">IF(C30=1,A30-Inputs!$D$9+1,"")</f>
        <v>17</v>
      </c>
      <c r="E30" s="51" t="n">
        <f aca="false">IF(C30=1,MIN(1,D30/Inputs!$D$29),0)</f>
        <v>1</v>
      </c>
      <c r="F30" s="6" t="n">
        <f aca="false">Inputs!$D$13+(Inputs!$D$32-Inputs!$D$13)*E30</f>
        <v>300</v>
      </c>
      <c r="G30" s="45"/>
      <c r="H30" s="7" t="str">
        <f aca="false">IF(G30="","",IFERROR(G30/F30-1,""))</f>
        <v/>
      </c>
      <c r="I30" s="6" t="n">
        <f aca="false">Inputs!$D$14+(Inputs!$D$24-Inputs!$D$14)*E30</f>
        <v>250</v>
      </c>
      <c r="J30" s="45"/>
      <c r="K30" s="7" t="str">
        <f aca="false">IF(J30="","",IFERROR(J30/I30-1,""))</f>
        <v/>
      </c>
      <c r="L30" s="52" t="str">
        <f aca="false">IF(OR(G30="",J30=""),"",IFERROR(G30/J30,""))</f>
        <v/>
      </c>
      <c r="M30" s="53" t="str">
        <f aca="false">IF(OR(J30="",'Site Daily'!E30=""),"",IFERROR(J30/'Site Daily'!E30*1000,""))</f>
        <v/>
      </c>
      <c r="N30" s="53" t="n">
        <f aca="false">I30*(Inputs!$D$17+(Inputs!$D$26-Inputs!$D$17)*E30)</f>
        <v>50</v>
      </c>
      <c r="O30" s="45"/>
      <c r="P30" s="7" t="str">
        <f aca="false">IF(OR(O30="",J30=""),"",IFERROR(O30/J30,""))</f>
        <v/>
      </c>
      <c r="Q30" s="46"/>
      <c r="R30" s="8" t="n">
        <f aca="false">N30*(Inputs!$D$16+(Inputs!$D$27-Inputs!$D$16)*E30)</f>
        <v>35000</v>
      </c>
      <c r="S30" s="8" t="str">
        <f aca="false">IF(OR(O30="",Q30="",J30=""),"",IFERROR(O30*Q30/J30,""))</f>
        <v/>
      </c>
      <c r="T30" s="7" t="str">
        <f aca="false">IF(S30="","",IFERROR(S30/R30-1,""))</f>
        <v/>
      </c>
      <c r="U30" s="8" t="n">
        <f aca="false">C30*(R30-Inputs!$D$19)*Inputs!$D$28</f>
        <v>21000</v>
      </c>
      <c r="V30" s="8" t="str">
        <f aca="false">IF(OR(C30=0,S30=""),"",(S30-Inputs!$D$19)*Inputs!$D$28)</f>
        <v/>
      </c>
      <c r="W30" s="45"/>
      <c r="X30" s="7" t="str">
        <f aca="false">IF(OR(W30="",G30=""),"",IFERROR(W30/G30,""))</f>
        <v/>
      </c>
      <c r="Y30" s="47"/>
    </row>
    <row r="31" customFormat="false" ht="15" hidden="false" customHeight="false" outlineLevel="0" collapsed="false">
      <c r="A31" s="44" t="n">
        <v>46320</v>
      </c>
      <c r="B31" s="20" t="str">
        <f aca="false">TEXT(A31,"ddd")</f>
        <v>Sun</v>
      </c>
      <c r="C31" s="6" t="n">
        <f aca="false">IF(A31&gt;=Inputs!$D$9,1,0)</f>
        <v>1</v>
      </c>
      <c r="D31" s="6" t="n">
        <f aca="false">IF(C31=1,A31-Inputs!$D$9+1,"")</f>
        <v>18</v>
      </c>
      <c r="E31" s="51" t="n">
        <f aca="false">IF(C31=1,MIN(1,D31/Inputs!$D$29),0)</f>
        <v>1</v>
      </c>
      <c r="F31" s="6" t="n">
        <f aca="false">Inputs!$D$13+(Inputs!$D$32-Inputs!$D$13)*E31</f>
        <v>300</v>
      </c>
      <c r="G31" s="45"/>
      <c r="H31" s="7" t="str">
        <f aca="false">IF(G31="","",IFERROR(G31/F31-1,""))</f>
        <v/>
      </c>
      <c r="I31" s="6" t="n">
        <f aca="false">Inputs!$D$14+(Inputs!$D$24-Inputs!$D$14)*E31</f>
        <v>250</v>
      </c>
      <c r="J31" s="45"/>
      <c r="K31" s="7" t="str">
        <f aca="false">IF(J31="","",IFERROR(J31/I31-1,""))</f>
        <v/>
      </c>
      <c r="L31" s="52" t="str">
        <f aca="false">IF(OR(G31="",J31=""),"",IFERROR(G31/J31,""))</f>
        <v/>
      </c>
      <c r="M31" s="53" t="str">
        <f aca="false">IF(OR(J31="",'Site Daily'!E31=""),"",IFERROR(J31/'Site Daily'!E31*1000,""))</f>
        <v/>
      </c>
      <c r="N31" s="53" t="n">
        <f aca="false">I31*(Inputs!$D$17+(Inputs!$D$26-Inputs!$D$17)*E31)</f>
        <v>50</v>
      </c>
      <c r="O31" s="45"/>
      <c r="P31" s="7" t="str">
        <f aca="false">IF(OR(O31="",J31=""),"",IFERROR(O31/J31,""))</f>
        <v/>
      </c>
      <c r="Q31" s="46"/>
      <c r="R31" s="8" t="n">
        <f aca="false">N31*(Inputs!$D$16+(Inputs!$D$27-Inputs!$D$16)*E31)</f>
        <v>35000</v>
      </c>
      <c r="S31" s="8" t="str">
        <f aca="false">IF(OR(O31="",Q31="",J31=""),"",IFERROR(O31*Q31/J31,""))</f>
        <v/>
      </c>
      <c r="T31" s="7" t="str">
        <f aca="false">IF(S31="","",IFERROR(S31/R31-1,""))</f>
        <v/>
      </c>
      <c r="U31" s="8" t="n">
        <f aca="false">C31*(R31-Inputs!$D$19)*Inputs!$D$28</f>
        <v>21000</v>
      </c>
      <c r="V31" s="8" t="str">
        <f aca="false">IF(OR(C31=0,S31=""),"",(S31-Inputs!$D$19)*Inputs!$D$28)</f>
        <v/>
      </c>
      <c r="W31" s="45"/>
      <c r="X31" s="7" t="str">
        <f aca="false">IF(OR(W31="",G31=""),"",IFERROR(W31/G31,""))</f>
        <v/>
      </c>
      <c r="Y31" s="47"/>
    </row>
    <row r="32" customFormat="false" ht="15" hidden="false" customHeight="false" outlineLevel="0" collapsed="false">
      <c r="A32" s="44" t="n">
        <v>46321</v>
      </c>
      <c r="B32" s="20" t="str">
        <f aca="false">TEXT(A32,"ddd")</f>
        <v>Mon</v>
      </c>
      <c r="C32" s="6" t="n">
        <f aca="false">IF(A32&gt;=Inputs!$D$9,1,0)</f>
        <v>1</v>
      </c>
      <c r="D32" s="6" t="n">
        <f aca="false">IF(C32=1,A32-Inputs!$D$9+1,"")</f>
        <v>19</v>
      </c>
      <c r="E32" s="51" t="n">
        <f aca="false">IF(C32=1,MIN(1,D32/Inputs!$D$29),0)</f>
        <v>1</v>
      </c>
      <c r="F32" s="6" t="n">
        <f aca="false">Inputs!$D$13+(Inputs!$D$32-Inputs!$D$13)*E32</f>
        <v>300</v>
      </c>
      <c r="G32" s="45"/>
      <c r="H32" s="7" t="str">
        <f aca="false">IF(G32="","",IFERROR(G32/F32-1,""))</f>
        <v/>
      </c>
      <c r="I32" s="6" t="n">
        <f aca="false">Inputs!$D$14+(Inputs!$D$24-Inputs!$D$14)*E32</f>
        <v>250</v>
      </c>
      <c r="J32" s="45"/>
      <c r="K32" s="7" t="str">
        <f aca="false">IF(J32="","",IFERROR(J32/I32-1,""))</f>
        <v/>
      </c>
      <c r="L32" s="52" t="str">
        <f aca="false">IF(OR(G32="",J32=""),"",IFERROR(G32/J32,""))</f>
        <v/>
      </c>
      <c r="M32" s="53" t="str">
        <f aca="false">IF(OR(J32="",'Site Daily'!E32=""),"",IFERROR(J32/'Site Daily'!E32*1000,""))</f>
        <v/>
      </c>
      <c r="N32" s="53" t="n">
        <f aca="false">I32*(Inputs!$D$17+(Inputs!$D$26-Inputs!$D$17)*E32)</f>
        <v>50</v>
      </c>
      <c r="O32" s="45"/>
      <c r="P32" s="7" t="str">
        <f aca="false">IF(OR(O32="",J32=""),"",IFERROR(O32/J32,""))</f>
        <v/>
      </c>
      <c r="Q32" s="46"/>
      <c r="R32" s="8" t="n">
        <f aca="false">N32*(Inputs!$D$16+(Inputs!$D$27-Inputs!$D$16)*E32)</f>
        <v>35000</v>
      </c>
      <c r="S32" s="8" t="str">
        <f aca="false">IF(OR(O32="",Q32="",J32=""),"",IFERROR(O32*Q32/J32,""))</f>
        <v/>
      </c>
      <c r="T32" s="7" t="str">
        <f aca="false">IF(S32="","",IFERROR(S32/R32-1,""))</f>
        <v/>
      </c>
      <c r="U32" s="8" t="n">
        <f aca="false">C32*(R32-Inputs!$D$19)*Inputs!$D$28</f>
        <v>21000</v>
      </c>
      <c r="V32" s="8" t="str">
        <f aca="false">IF(OR(C32=0,S32=""),"",(S32-Inputs!$D$19)*Inputs!$D$28)</f>
        <v/>
      </c>
      <c r="W32" s="45"/>
      <c r="X32" s="7" t="str">
        <f aca="false">IF(OR(W32="",G32=""),"",IFERROR(W32/G32,""))</f>
        <v/>
      </c>
      <c r="Y32" s="47"/>
    </row>
    <row r="33" customFormat="false" ht="15" hidden="false" customHeight="false" outlineLevel="0" collapsed="false">
      <c r="A33" s="44" t="n">
        <v>46322</v>
      </c>
      <c r="B33" s="20" t="str">
        <f aca="false">TEXT(A33,"ddd")</f>
        <v>Tue</v>
      </c>
      <c r="C33" s="6" t="n">
        <f aca="false">IF(A33&gt;=Inputs!$D$9,1,0)</f>
        <v>1</v>
      </c>
      <c r="D33" s="6" t="n">
        <f aca="false">IF(C33=1,A33-Inputs!$D$9+1,"")</f>
        <v>20</v>
      </c>
      <c r="E33" s="51" t="n">
        <f aca="false">IF(C33=1,MIN(1,D33/Inputs!$D$29),0)</f>
        <v>1</v>
      </c>
      <c r="F33" s="6" t="n">
        <f aca="false">Inputs!$D$13+(Inputs!$D$32-Inputs!$D$13)*E33</f>
        <v>300</v>
      </c>
      <c r="G33" s="45"/>
      <c r="H33" s="7" t="str">
        <f aca="false">IF(G33="","",IFERROR(G33/F33-1,""))</f>
        <v/>
      </c>
      <c r="I33" s="6" t="n">
        <f aca="false">Inputs!$D$14+(Inputs!$D$24-Inputs!$D$14)*E33</f>
        <v>250</v>
      </c>
      <c r="J33" s="45"/>
      <c r="K33" s="7" t="str">
        <f aca="false">IF(J33="","",IFERROR(J33/I33-1,""))</f>
        <v/>
      </c>
      <c r="L33" s="52" t="str">
        <f aca="false">IF(OR(G33="",J33=""),"",IFERROR(G33/J33,""))</f>
        <v/>
      </c>
      <c r="M33" s="53" t="str">
        <f aca="false">IF(OR(J33="",'Site Daily'!E33=""),"",IFERROR(J33/'Site Daily'!E33*1000,""))</f>
        <v/>
      </c>
      <c r="N33" s="53" t="n">
        <f aca="false">I33*(Inputs!$D$17+(Inputs!$D$26-Inputs!$D$17)*E33)</f>
        <v>50</v>
      </c>
      <c r="O33" s="45"/>
      <c r="P33" s="7" t="str">
        <f aca="false">IF(OR(O33="",J33=""),"",IFERROR(O33/J33,""))</f>
        <v/>
      </c>
      <c r="Q33" s="46"/>
      <c r="R33" s="8" t="n">
        <f aca="false">N33*(Inputs!$D$16+(Inputs!$D$27-Inputs!$D$16)*E33)</f>
        <v>35000</v>
      </c>
      <c r="S33" s="8" t="str">
        <f aca="false">IF(OR(O33="",Q33="",J33=""),"",IFERROR(O33*Q33/J33,""))</f>
        <v/>
      </c>
      <c r="T33" s="7" t="str">
        <f aca="false">IF(S33="","",IFERROR(S33/R33-1,""))</f>
        <v/>
      </c>
      <c r="U33" s="8" t="n">
        <f aca="false">C33*(R33-Inputs!$D$19)*Inputs!$D$28</f>
        <v>21000</v>
      </c>
      <c r="V33" s="8" t="str">
        <f aca="false">IF(OR(C33=0,S33=""),"",(S33-Inputs!$D$19)*Inputs!$D$28)</f>
        <v/>
      </c>
      <c r="W33" s="45"/>
      <c r="X33" s="7" t="str">
        <f aca="false">IF(OR(W33="",G33=""),"",IFERROR(W33/G33,""))</f>
        <v/>
      </c>
      <c r="Y33" s="47"/>
    </row>
    <row r="34" customFormat="false" ht="15" hidden="false" customHeight="false" outlineLevel="0" collapsed="false">
      <c r="A34" s="44" t="n">
        <v>46323</v>
      </c>
      <c r="B34" s="20" t="str">
        <f aca="false">TEXT(A34,"ddd")</f>
        <v>Wed</v>
      </c>
      <c r="C34" s="6" t="n">
        <f aca="false">IF(A34&gt;=Inputs!$D$9,1,0)</f>
        <v>1</v>
      </c>
      <c r="D34" s="6" t="n">
        <f aca="false">IF(C34=1,A34-Inputs!$D$9+1,"")</f>
        <v>21</v>
      </c>
      <c r="E34" s="51" t="n">
        <f aca="false">IF(C34=1,MIN(1,D34/Inputs!$D$29),0)</f>
        <v>1</v>
      </c>
      <c r="F34" s="6" t="n">
        <f aca="false">Inputs!$D$13+(Inputs!$D$32-Inputs!$D$13)*E34</f>
        <v>300</v>
      </c>
      <c r="G34" s="45"/>
      <c r="H34" s="7" t="str">
        <f aca="false">IF(G34="","",IFERROR(G34/F34-1,""))</f>
        <v/>
      </c>
      <c r="I34" s="6" t="n">
        <f aca="false">Inputs!$D$14+(Inputs!$D$24-Inputs!$D$14)*E34</f>
        <v>250</v>
      </c>
      <c r="J34" s="45"/>
      <c r="K34" s="7" t="str">
        <f aca="false">IF(J34="","",IFERROR(J34/I34-1,""))</f>
        <v/>
      </c>
      <c r="L34" s="52" t="str">
        <f aca="false">IF(OR(G34="",J34=""),"",IFERROR(G34/J34,""))</f>
        <v/>
      </c>
      <c r="M34" s="53" t="str">
        <f aca="false">IF(OR(J34="",'Site Daily'!E34=""),"",IFERROR(J34/'Site Daily'!E34*1000,""))</f>
        <v/>
      </c>
      <c r="N34" s="53" t="n">
        <f aca="false">I34*(Inputs!$D$17+(Inputs!$D$26-Inputs!$D$17)*E34)</f>
        <v>50</v>
      </c>
      <c r="O34" s="45"/>
      <c r="P34" s="7" t="str">
        <f aca="false">IF(OR(O34="",J34=""),"",IFERROR(O34/J34,""))</f>
        <v/>
      </c>
      <c r="Q34" s="46"/>
      <c r="R34" s="8" t="n">
        <f aca="false">N34*(Inputs!$D$16+(Inputs!$D$27-Inputs!$D$16)*E34)</f>
        <v>35000</v>
      </c>
      <c r="S34" s="8" t="str">
        <f aca="false">IF(OR(O34="",Q34="",J34=""),"",IFERROR(O34*Q34/J34,""))</f>
        <v/>
      </c>
      <c r="T34" s="7" t="str">
        <f aca="false">IF(S34="","",IFERROR(S34/R34-1,""))</f>
        <v/>
      </c>
      <c r="U34" s="8" t="n">
        <f aca="false">C34*(R34-Inputs!$D$19)*Inputs!$D$28</f>
        <v>21000</v>
      </c>
      <c r="V34" s="8" t="str">
        <f aca="false">IF(OR(C34=0,S34=""),"",(S34-Inputs!$D$19)*Inputs!$D$28)</f>
        <v/>
      </c>
      <c r="W34" s="45"/>
      <c r="X34" s="7" t="str">
        <f aca="false">IF(OR(W34="",G34=""),"",IFERROR(W34/G34,""))</f>
        <v/>
      </c>
      <c r="Y34" s="47"/>
    </row>
    <row r="35" customFormat="false" ht="15" hidden="false" customHeight="false" outlineLevel="0" collapsed="false">
      <c r="A35" s="44" t="n">
        <v>46324</v>
      </c>
      <c r="B35" s="20" t="str">
        <f aca="false">TEXT(A35,"ddd")</f>
        <v>Thu</v>
      </c>
      <c r="C35" s="6" t="n">
        <f aca="false">IF(A35&gt;=Inputs!$D$9,1,0)</f>
        <v>1</v>
      </c>
      <c r="D35" s="6" t="n">
        <f aca="false">IF(C35=1,A35-Inputs!$D$9+1,"")</f>
        <v>22</v>
      </c>
      <c r="E35" s="51" t="n">
        <f aca="false">IF(C35=1,MIN(1,D35/Inputs!$D$29),0)</f>
        <v>1</v>
      </c>
      <c r="F35" s="6" t="n">
        <f aca="false">Inputs!$D$13+(Inputs!$D$32-Inputs!$D$13)*E35</f>
        <v>300</v>
      </c>
      <c r="G35" s="45"/>
      <c r="H35" s="7" t="str">
        <f aca="false">IF(G35="","",IFERROR(G35/F35-1,""))</f>
        <v/>
      </c>
      <c r="I35" s="6" t="n">
        <f aca="false">Inputs!$D$14+(Inputs!$D$24-Inputs!$D$14)*E35</f>
        <v>250</v>
      </c>
      <c r="J35" s="45"/>
      <c r="K35" s="7" t="str">
        <f aca="false">IF(J35="","",IFERROR(J35/I35-1,""))</f>
        <v/>
      </c>
      <c r="L35" s="52" t="str">
        <f aca="false">IF(OR(G35="",J35=""),"",IFERROR(G35/J35,""))</f>
        <v/>
      </c>
      <c r="M35" s="53" t="str">
        <f aca="false">IF(OR(J35="",'Site Daily'!E35=""),"",IFERROR(J35/'Site Daily'!E35*1000,""))</f>
        <v/>
      </c>
      <c r="N35" s="53" t="n">
        <f aca="false">I35*(Inputs!$D$17+(Inputs!$D$26-Inputs!$D$17)*E35)</f>
        <v>50</v>
      </c>
      <c r="O35" s="45"/>
      <c r="P35" s="7" t="str">
        <f aca="false">IF(OR(O35="",J35=""),"",IFERROR(O35/J35,""))</f>
        <v/>
      </c>
      <c r="Q35" s="46"/>
      <c r="R35" s="8" t="n">
        <f aca="false">N35*(Inputs!$D$16+(Inputs!$D$27-Inputs!$D$16)*E35)</f>
        <v>35000</v>
      </c>
      <c r="S35" s="8" t="str">
        <f aca="false">IF(OR(O35="",Q35="",J35=""),"",IFERROR(O35*Q35/J35,""))</f>
        <v/>
      </c>
      <c r="T35" s="7" t="str">
        <f aca="false">IF(S35="","",IFERROR(S35/R35-1,""))</f>
        <v/>
      </c>
      <c r="U35" s="8" t="n">
        <f aca="false">C35*(R35-Inputs!$D$19)*Inputs!$D$28</f>
        <v>21000</v>
      </c>
      <c r="V35" s="8" t="str">
        <f aca="false">IF(OR(C35=0,S35=""),"",(S35-Inputs!$D$19)*Inputs!$D$28)</f>
        <v/>
      </c>
      <c r="W35" s="45"/>
      <c r="X35" s="7" t="str">
        <f aca="false">IF(OR(W35="",G35=""),"",IFERROR(W35/G35,""))</f>
        <v/>
      </c>
      <c r="Y35" s="47"/>
    </row>
    <row r="36" customFormat="false" ht="15" hidden="false" customHeight="false" outlineLevel="0" collapsed="false">
      <c r="A36" s="44" t="n">
        <v>46325</v>
      </c>
      <c r="B36" s="20" t="str">
        <f aca="false">TEXT(A36,"ddd")</f>
        <v>Fri</v>
      </c>
      <c r="C36" s="6" t="n">
        <f aca="false">IF(A36&gt;=Inputs!$D$9,1,0)</f>
        <v>1</v>
      </c>
      <c r="D36" s="6" t="n">
        <f aca="false">IF(C36=1,A36-Inputs!$D$9+1,"")</f>
        <v>23</v>
      </c>
      <c r="E36" s="51" t="n">
        <f aca="false">IF(C36=1,MIN(1,D36/Inputs!$D$29),0)</f>
        <v>1</v>
      </c>
      <c r="F36" s="6" t="n">
        <f aca="false">Inputs!$D$13+(Inputs!$D$32-Inputs!$D$13)*E36</f>
        <v>300</v>
      </c>
      <c r="G36" s="45"/>
      <c r="H36" s="7" t="str">
        <f aca="false">IF(G36="","",IFERROR(G36/F36-1,""))</f>
        <v/>
      </c>
      <c r="I36" s="6" t="n">
        <f aca="false">Inputs!$D$14+(Inputs!$D$24-Inputs!$D$14)*E36</f>
        <v>250</v>
      </c>
      <c r="J36" s="45"/>
      <c r="K36" s="7" t="str">
        <f aca="false">IF(J36="","",IFERROR(J36/I36-1,""))</f>
        <v/>
      </c>
      <c r="L36" s="52" t="str">
        <f aca="false">IF(OR(G36="",J36=""),"",IFERROR(G36/J36,""))</f>
        <v/>
      </c>
      <c r="M36" s="53" t="str">
        <f aca="false">IF(OR(J36="",'Site Daily'!E36=""),"",IFERROR(J36/'Site Daily'!E36*1000,""))</f>
        <v/>
      </c>
      <c r="N36" s="53" t="n">
        <f aca="false">I36*(Inputs!$D$17+(Inputs!$D$26-Inputs!$D$17)*E36)</f>
        <v>50</v>
      </c>
      <c r="O36" s="45"/>
      <c r="P36" s="7" t="str">
        <f aca="false">IF(OR(O36="",J36=""),"",IFERROR(O36/J36,""))</f>
        <v/>
      </c>
      <c r="Q36" s="46"/>
      <c r="R36" s="8" t="n">
        <f aca="false">N36*(Inputs!$D$16+(Inputs!$D$27-Inputs!$D$16)*E36)</f>
        <v>35000</v>
      </c>
      <c r="S36" s="8" t="str">
        <f aca="false">IF(OR(O36="",Q36="",J36=""),"",IFERROR(O36*Q36/J36,""))</f>
        <v/>
      </c>
      <c r="T36" s="7" t="str">
        <f aca="false">IF(S36="","",IFERROR(S36/R36-1,""))</f>
        <v/>
      </c>
      <c r="U36" s="8" t="n">
        <f aca="false">C36*(R36-Inputs!$D$19)*Inputs!$D$28</f>
        <v>21000</v>
      </c>
      <c r="V36" s="8" t="str">
        <f aca="false">IF(OR(C36=0,S36=""),"",(S36-Inputs!$D$19)*Inputs!$D$28)</f>
        <v/>
      </c>
      <c r="W36" s="45"/>
      <c r="X36" s="7" t="str">
        <f aca="false">IF(OR(W36="",G36=""),"",IFERROR(W36/G36,""))</f>
        <v/>
      </c>
      <c r="Y36" s="47"/>
    </row>
    <row r="37" customFormat="false" ht="15" hidden="false" customHeight="false" outlineLevel="0" collapsed="false">
      <c r="A37" s="44" t="n">
        <v>46326</v>
      </c>
      <c r="B37" s="20" t="str">
        <f aca="false">TEXT(A37,"ddd")</f>
        <v>Sat</v>
      </c>
      <c r="C37" s="6" t="n">
        <f aca="false">IF(A37&gt;=Inputs!$D$9,1,0)</f>
        <v>1</v>
      </c>
      <c r="D37" s="6" t="n">
        <f aca="false">IF(C37=1,A37-Inputs!$D$9+1,"")</f>
        <v>24</v>
      </c>
      <c r="E37" s="51" t="n">
        <f aca="false">IF(C37=1,MIN(1,D37/Inputs!$D$29),0)</f>
        <v>1</v>
      </c>
      <c r="F37" s="6" t="n">
        <f aca="false">Inputs!$D$13+(Inputs!$D$32-Inputs!$D$13)*E37</f>
        <v>300</v>
      </c>
      <c r="G37" s="45"/>
      <c r="H37" s="7" t="str">
        <f aca="false">IF(G37="","",IFERROR(G37/F37-1,""))</f>
        <v/>
      </c>
      <c r="I37" s="6" t="n">
        <f aca="false">Inputs!$D$14+(Inputs!$D$24-Inputs!$D$14)*E37</f>
        <v>250</v>
      </c>
      <c r="J37" s="45"/>
      <c r="K37" s="7" t="str">
        <f aca="false">IF(J37="","",IFERROR(J37/I37-1,""))</f>
        <v/>
      </c>
      <c r="L37" s="52" t="str">
        <f aca="false">IF(OR(G37="",J37=""),"",IFERROR(G37/J37,""))</f>
        <v/>
      </c>
      <c r="M37" s="53" t="str">
        <f aca="false">IF(OR(J37="",'Site Daily'!E37=""),"",IFERROR(J37/'Site Daily'!E37*1000,""))</f>
        <v/>
      </c>
      <c r="N37" s="53" t="n">
        <f aca="false">I37*(Inputs!$D$17+(Inputs!$D$26-Inputs!$D$17)*E37)</f>
        <v>50</v>
      </c>
      <c r="O37" s="45"/>
      <c r="P37" s="7" t="str">
        <f aca="false">IF(OR(O37="",J37=""),"",IFERROR(O37/J37,""))</f>
        <v/>
      </c>
      <c r="Q37" s="46"/>
      <c r="R37" s="8" t="n">
        <f aca="false">N37*(Inputs!$D$16+(Inputs!$D$27-Inputs!$D$16)*E37)</f>
        <v>35000</v>
      </c>
      <c r="S37" s="8" t="str">
        <f aca="false">IF(OR(O37="",Q37="",J37=""),"",IFERROR(O37*Q37/J37,""))</f>
        <v/>
      </c>
      <c r="T37" s="7" t="str">
        <f aca="false">IF(S37="","",IFERROR(S37/R37-1,""))</f>
        <v/>
      </c>
      <c r="U37" s="8" t="n">
        <f aca="false">C37*(R37-Inputs!$D$19)*Inputs!$D$28</f>
        <v>21000</v>
      </c>
      <c r="V37" s="8" t="str">
        <f aca="false">IF(OR(C37=0,S37=""),"",(S37-Inputs!$D$19)*Inputs!$D$28)</f>
        <v/>
      </c>
      <c r="W37" s="45"/>
      <c r="X37" s="7" t="str">
        <f aca="false">IF(OR(W37="",G37=""),"",IFERROR(W37/G37,""))</f>
        <v/>
      </c>
      <c r="Y37" s="47"/>
    </row>
    <row r="38" customFormat="false" ht="15" hidden="false" customHeight="false" outlineLevel="0" collapsed="false">
      <c r="A38" s="44" t="n">
        <v>46327</v>
      </c>
      <c r="B38" s="20" t="str">
        <f aca="false">TEXT(A38,"ddd")</f>
        <v>Sun</v>
      </c>
      <c r="C38" s="6" t="n">
        <f aca="false">IF(A38&gt;=Inputs!$D$9,1,0)</f>
        <v>1</v>
      </c>
      <c r="D38" s="6" t="n">
        <f aca="false">IF(C38=1,A38-Inputs!$D$9+1,"")</f>
        <v>25</v>
      </c>
      <c r="E38" s="51" t="n">
        <f aca="false">IF(C38=1,MIN(1,D38/Inputs!$D$29),0)</f>
        <v>1</v>
      </c>
      <c r="F38" s="6" t="n">
        <f aca="false">Inputs!$D$13+(Inputs!$D$32-Inputs!$D$13)*E38</f>
        <v>300</v>
      </c>
      <c r="G38" s="45"/>
      <c r="H38" s="7" t="str">
        <f aca="false">IF(G38="","",IFERROR(G38/F38-1,""))</f>
        <v/>
      </c>
      <c r="I38" s="6" t="n">
        <f aca="false">Inputs!$D$14+(Inputs!$D$24-Inputs!$D$14)*E38</f>
        <v>250</v>
      </c>
      <c r="J38" s="45"/>
      <c r="K38" s="7" t="str">
        <f aca="false">IF(J38="","",IFERROR(J38/I38-1,""))</f>
        <v/>
      </c>
      <c r="L38" s="52" t="str">
        <f aca="false">IF(OR(G38="",J38=""),"",IFERROR(G38/J38,""))</f>
        <v/>
      </c>
      <c r="M38" s="53" t="str">
        <f aca="false">IF(OR(J38="",'Site Daily'!E38=""),"",IFERROR(J38/'Site Daily'!E38*1000,""))</f>
        <v/>
      </c>
      <c r="N38" s="53" t="n">
        <f aca="false">I38*(Inputs!$D$17+(Inputs!$D$26-Inputs!$D$17)*E38)</f>
        <v>50</v>
      </c>
      <c r="O38" s="45"/>
      <c r="P38" s="7" t="str">
        <f aca="false">IF(OR(O38="",J38=""),"",IFERROR(O38/J38,""))</f>
        <v/>
      </c>
      <c r="Q38" s="46"/>
      <c r="R38" s="8" t="n">
        <f aca="false">N38*(Inputs!$D$16+(Inputs!$D$27-Inputs!$D$16)*E38)</f>
        <v>35000</v>
      </c>
      <c r="S38" s="8" t="str">
        <f aca="false">IF(OR(O38="",Q38="",J38=""),"",IFERROR(O38*Q38/J38,""))</f>
        <v/>
      </c>
      <c r="T38" s="7" t="str">
        <f aca="false">IF(S38="","",IFERROR(S38/R38-1,""))</f>
        <v/>
      </c>
      <c r="U38" s="8" t="n">
        <f aca="false">C38*(R38-Inputs!$D$19)*Inputs!$D$28</f>
        <v>21000</v>
      </c>
      <c r="V38" s="8" t="str">
        <f aca="false">IF(OR(C38=0,S38=""),"",(S38-Inputs!$D$19)*Inputs!$D$28)</f>
        <v/>
      </c>
      <c r="W38" s="45"/>
      <c r="X38" s="7" t="str">
        <f aca="false">IF(OR(W38="",G38=""),"",IFERROR(W38/G38,""))</f>
        <v/>
      </c>
      <c r="Y38" s="47"/>
    </row>
    <row r="39" customFormat="false" ht="15" hidden="false" customHeight="false" outlineLevel="0" collapsed="false">
      <c r="A39" s="44" t="n">
        <v>46328</v>
      </c>
      <c r="B39" s="20" t="str">
        <f aca="false">TEXT(A39,"ddd")</f>
        <v>Mon</v>
      </c>
      <c r="C39" s="6" t="n">
        <f aca="false">IF(A39&gt;=Inputs!$D$9,1,0)</f>
        <v>1</v>
      </c>
      <c r="D39" s="6" t="n">
        <f aca="false">IF(C39=1,A39-Inputs!$D$9+1,"")</f>
        <v>26</v>
      </c>
      <c r="E39" s="51" t="n">
        <f aca="false">IF(C39=1,MIN(1,D39/Inputs!$D$29),0)</f>
        <v>1</v>
      </c>
      <c r="F39" s="6" t="n">
        <f aca="false">Inputs!$D$13+(Inputs!$D$32-Inputs!$D$13)*E39</f>
        <v>300</v>
      </c>
      <c r="G39" s="45"/>
      <c r="H39" s="7" t="str">
        <f aca="false">IF(G39="","",IFERROR(G39/F39-1,""))</f>
        <v/>
      </c>
      <c r="I39" s="6" t="n">
        <f aca="false">Inputs!$D$14+(Inputs!$D$24-Inputs!$D$14)*E39</f>
        <v>250</v>
      </c>
      <c r="J39" s="45"/>
      <c r="K39" s="7" t="str">
        <f aca="false">IF(J39="","",IFERROR(J39/I39-1,""))</f>
        <v/>
      </c>
      <c r="L39" s="52" t="str">
        <f aca="false">IF(OR(G39="",J39=""),"",IFERROR(G39/J39,""))</f>
        <v/>
      </c>
      <c r="M39" s="53" t="str">
        <f aca="false">IF(OR(J39="",'Site Daily'!E39=""),"",IFERROR(J39/'Site Daily'!E39*1000,""))</f>
        <v/>
      </c>
      <c r="N39" s="53" t="n">
        <f aca="false">I39*(Inputs!$D$17+(Inputs!$D$26-Inputs!$D$17)*E39)</f>
        <v>50</v>
      </c>
      <c r="O39" s="45"/>
      <c r="P39" s="7" t="str">
        <f aca="false">IF(OR(O39="",J39=""),"",IFERROR(O39/J39,""))</f>
        <v/>
      </c>
      <c r="Q39" s="46"/>
      <c r="R39" s="8" t="n">
        <f aca="false">N39*(Inputs!$D$16+(Inputs!$D$27-Inputs!$D$16)*E39)</f>
        <v>35000</v>
      </c>
      <c r="S39" s="8" t="str">
        <f aca="false">IF(OR(O39="",Q39="",J39=""),"",IFERROR(O39*Q39/J39,""))</f>
        <v/>
      </c>
      <c r="T39" s="7" t="str">
        <f aca="false">IF(S39="","",IFERROR(S39/R39-1,""))</f>
        <v/>
      </c>
      <c r="U39" s="8" t="n">
        <f aca="false">C39*(R39-Inputs!$D$19)*Inputs!$D$28</f>
        <v>21000</v>
      </c>
      <c r="V39" s="8" t="str">
        <f aca="false">IF(OR(C39=0,S39=""),"",(S39-Inputs!$D$19)*Inputs!$D$28)</f>
        <v/>
      </c>
      <c r="W39" s="45"/>
      <c r="X39" s="7" t="str">
        <f aca="false">IF(OR(W39="",G39=""),"",IFERROR(W39/G39,""))</f>
        <v/>
      </c>
      <c r="Y39" s="47"/>
    </row>
    <row r="40" customFormat="false" ht="15" hidden="false" customHeight="false" outlineLevel="0" collapsed="false">
      <c r="A40" s="44" t="n">
        <v>46329</v>
      </c>
      <c r="B40" s="20" t="str">
        <f aca="false">TEXT(A40,"ddd")</f>
        <v>Tue</v>
      </c>
      <c r="C40" s="6" t="n">
        <f aca="false">IF(A40&gt;=Inputs!$D$9,1,0)</f>
        <v>1</v>
      </c>
      <c r="D40" s="6" t="n">
        <f aca="false">IF(C40=1,A40-Inputs!$D$9+1,"")</f>
        <v>27</v>
      </c>
      <c r="E40" s="51" t="n">
        <f aca="false">IF(C40=1,MIN(1,D40/Inputs!$D$29),0)</f>
        <v>1</v>
      </c>
      <c r="F40" s="6" t="n">
        <f aca="false">Inputs!$D$13+(Inputs!$D$32-Inputs!$D$13)*E40</f>
        <v>300</v>
      </c>
      <c r="G40" s="45"/>
      <c r="H40" s="7" t="str">
        <f aca="false">IF(G40="","",IFERROR(G40/F40-1,""))</f>
        <v/>
      </c>
      <c r="I40" s="6" t="n">
        <f aca="false">Inputs!$D$14+(Inputs!$D$24-Inputs!$D$14)*E40</f>
        <v>250</v>
      </c>
      <c r="J40" s="45"/>
      <c r="K40" s="7" t="str">
        <f aca="false">IF(J40="","",IFERROR(J40/I40-1,""))</f>
        <v/>
      </c>
      <c r="L40" s="52" t="str">
        <f aca="false">IF(OR(G40="",J40=""),"",IFERROR(G40/J40,""))</f>
        <v/>
      </c>
      <c r="M40" s="53" t="str">
        <f aca="false">IF(OR(J40="",'Site Daily'!E40=""),"",IFERROR(J40/'Site Daily'!E40*1000,""))</f>
        <v/>
      </c>
      <c r="N40" s="53" t="n">
        <f aca="false">I40*(Inputs!$D$17+(Inputs!$D$26-Inputs!$D$17)*E40)</f>
        <v>50</v>
      </c>
      <c r="O40" s="45"/>
      <c r="P40" s="7" t="str">
        <f aca="false">IF(OR(O40="",J40=""),"",IFERROR(O40/J40,""))</f>
        <v/>
      </c>
      <c r="Q40" s="46"/>
      <c r="R40" s="8" t="n">
        <f aca="false">N40*(Inputs!$D$16+(Inputs!$D$27-Inputs!$D$16)*E40)</f>
        <v>35000</v>
      </c>
      <c r="S40" s="8" t="str">
        <f aca="false">IF(OR(O40="",Q40="",J40=""),"",IFERROR(O40*Q40/J40,""))</f>
        <v/>
      </c>
      <c r="T40" s="7" t="str">
        <f aca="false">IF(S40="","",IFERROR(S40/R40-1,""))</f>
        <v/>
      </c>
      <c r="U40" s="8" t="n">
        <f aca="false">C40*(R40-Inputs!$D$19)*Inputs!$D$28</f>
        <v>21000</v>
      </c>
      <c r="V40" s="8" t="str">
        <f aca="false">IF(OR(C40=0,S40=""),"",(S40-Inputs!$D$19)*Inputs!$D$28)</f>
        <v/>
      </c>
      <c r="W40" s="45"/>
      <c r="X40" s="7" t="str">
        <f aca="false">IF(OR(W40="",G40=""),"",IFERROR(W40/G40,""))</f>
        <v/>
      </c>
      <c r="Y40" s="47"/>
    </row>
    <row r="41" customFormat="false" ht="15" hidden="false" customHeight="false" outlineLevel="0" collapsed="false">
      <c r="A41" s="44" t="n">
        <v>46330</v>
      </c>
      <c r="B41" s="20" t="str">
        <f aca="false">TEXT(A41,"ddd")</f>
        <v>Wed</v>
      </c>
      <c r="C41" s="6" t="n">
        <f aca="false">IF(A41&gt;=Inputs!$D$9,1,0)</f>
        <v>1</v>
      </c>
      <c r="D41" s="6" t="n">
        <f aca="false">IF(C41=1,A41-Inputs!$D$9+1,"")</f>
        <v>28</v>
      </c>
      <c r="E41" s="51" t="n">
        <f aca="false">IF(C41=1,MIN(1,D41/Inputs!$D$29),0)</f>
        <v>1</v>
      </c>
      <c r="F41" s="6" t="n">
        <f aca="false">Inputs!$D$13+(Inputs!$D$32-Inputs!$D$13)*E41</f>
        <v>300</v>
      </c>
      <c r="G41" s="45"/>
      <c r="H41" s="7" t="str">
        <f aca="false">IF(G41="","",IFERROR(G41/F41-1,""))</f>
        <v/>
      </c>
      <c r="I41" s="6" t="n">
        <f aca="false">Inputs!$D$14+(Inputs!$D$24-Inputs!$D$14)*E41</f>
        <v>250</v>
      </c>
      <c r="J41" s="45"/>
      <c r="K41" s="7" t="str">
        <f aca="false">IF(J41="","",IFERROR(J41/I41-1,""))</f>
        <v/>
      </c>
      <c r="L41" s="52" t="str">
        <f aca="false">IF(OR(G41="",J41=""),"",IFERROR(G41/J41,""))</f>
        <v/>
      </c>
      <c r="M41" s="53" t="str">
        <f aca="false">IF(OR(J41="",'Site Daily'!E41=""),"",IFERROR(J41/'Site Daily'!E41*1000,""))</f>
        <v/>
      </c>
      <c r="N41" s="53" t="n">
        <f aca="false">I41*(Inputs!$D$17+(Inputs!$D$26-Inputs!$D$17)*E41)</f>
        <v>50</v>
      </c>
      <c r="O41" s="45"/>
      <c r="P41" s="7" t="str">
        <f aca="false">IF(OR(O41="",J41=""),"",IFERROR(O41/J41,""))</f>
        <v/>
      </c>
      <c r="Q41" s="46"/>
      <c r="R41" s="8" t="n">
        <f aca="false">N41*(Inputs!$D$16+(Inputs!$D$27-Inputs!$D$16)*E41)</f>
        <v>35000</v>
      </c>
      <c r="S41" s="8" t="str">
        <f aca="false">IF(OR(O41="",Q41="",J41=""),"",IFERROR(O41*Q41/J41,""))</f>
        <v/>
      </c>
      <c r="T41" s="7" t="str">
        <f aca="false">IF(S41="","",IFERROR(S41/R41-1,""))</f>
        <v/>
      </c>
      <c r="U41" s="8" t="n">
        <f aca="false">C41*(R41-Inputs!$D$19)*Inputs!$D$28</f>
        <v>21000</v>
      </c>
      <c r="V41" s="8" t="str">
        <f aca="false">IF(OR(C41=0,S41=""),"",(S41-Inputs!$D$19)*Inputs!$D$28)</f>
        <v/>
      </c>
      <c r="W41" s="45"/>
      <c r="X41" s="7" t="str">
        <f aca="false">IF(OR(W41="",G41=""),"",IFERROR(W41/G41,""))</f>
        <v/>
      </c>
      <c r="Y41" s="47"/>
    </row>
    <row r="42" customFormat="false" ht="15" hidden="false" customHeight="false" outlineLevel="0" collapsed="false">
      <c r="A42" s="44" t="n">
        <v>46331</v>
      </c>
      <c r="B42" s="20" t="str">
        <f aca="false">TEXT(A42,"ddd")</f>
        <v>Thu</v>
      </c>
      <c r="C42" s="6" t="n">
        <f aca="false">IF(A42&gt;=Inputs!$D$9,1,0)</f>
        <v>1</v>
      </c>
      <c r="D42" s="6" t="n">
        <f aca="false">IF(C42=1,A42-Inputs!$D$9+1,"")</f>
        <v>29</v>
      </c>
      <c r="E42" s="51" t="n">
        <f aca="false">IF(C42=1,MIN(1,D42/Inputs!$D$29),0)</f>
        <v>1</v>
      </c>
      <c r="F42" s="6" t="n">
        <f aca="false">Inputs!$D$13+(Inputs!$D$32-Inputs!$D$13)*E42</f>
        <v>300</v>
      </c>
      <c r="G42" s="45"/>
      <c r="H42" s="7" t="str">
        <f aca="false">IF(G42="","",IFERROR(G42/F42-1,""))</f>
        <v/>
      </c>
      <c r="I42" s="6" t="n">
        <f aca="false">Inputs!$D$14+(Inputs!$D$24-Inputs!$D$14)*E42</f>
        <v>250</v>
      </c>
      <c r="J42" s="45"/>
      <c r="K42" s="7" t="str">
        <f aca="false">IF(J42="","",IFERROR(J42/I42-1,""))</f>
        <v/>
      </c>
      <c r="L42" s="52" t="str">
        <f aca="false">IF(OR(G42="",J42=""),"",IFERROR(G42/J42,""))</f>
        <v/>
      </c>
      <c r="M42" s="53" t="str">
        <f aca="false">IF(OR(J42="",'Site Daily'!E42=""),"",IFERROR(J42/'Site Daily'!E42*1000,""))</f>
        <v/>
      </c>
      <c r="N42" s="53" t="n">
        <f aca="false">I42*(Inputs!$D$17+(Inputs!$D$26-Inputs!$D$17)*E42)</f>
        <v>50</v>
      </c>
      <c r="O42" s="45"/>
      <c r="P42" s="7" t="str">
        <f aca="false">IF(OR(O42="",J42=""),"",IFERROR(O42/J42,""))</f>
        <v/>
      </c>
      <c r="Q42" s="46"/>
      <c r="R42" s="8" t="n">
        <f aca="false">N42*(Inputs!$D$16+(Inputs!$D$27-Inputs!$D$16)*E42)</f>
        <v>35000</v>
      </c>
      <c r="S42" s="8" t="str">
        <f aca="false">IF(OR(O42="",Q42="",J42=""),"",IFERROR(O42*Q42/J42,""))</f>
        <v/>
      </c>
      <c r="T42" s="7" t="str">
        <f aca="false">IF(S42="","",IFERROR(S42/R42-1,""))</f>
        <v/>
      </c>
      <c r="U42" s="8" t="n">
        <f aca="false">C42*(R42-Inputs!$D$19)*Inputs!$D$28</f>
        <v>21000</v>
      </c>
      <c r="V42" s="8" t="str">
        <f aca="false">IF(OR(C42=0,S42=""),"",(S42-Inputs!$D$19)*Inputs!$D$28)</f>
        <v/>
      </c>
      <c r="W42" s="45"/>
      <c r="X42" s="7" t="str">
        <f aca="false">IF(OR(W42="",G42=""),"",IFERROR(W42/G42,""))</f>
        <v/>
      </c>
      <c r="Y42" s="47"/>
    </row>
    <row r="43" customFormat="false" ht="15" hidden="false" customHeight="false" outlineLevel="0" collapsed="false">
      <c r="A43" s="44" t="n">
        <v>46332</v>
      </c>
      <c r="B43" s="20" t="str">
        <f aca="false">TEXT(A43,"ddd")</f>
        <v>Fri</v>
      </c>
      <c r="C43" s="6" t="n">
        <f aca="false">IF(A43&gt;=Inputs!$D$9,1,0)</f>
        <v>1</v>
      </c>
      <c r="D43" s="6" t="n">
        <f aca="false">IF(C43=1,A43-Inputs!$D$9+1,"")</f>
        <v>30</v>
      </c>
      <c r="E43" s="51" t="n">
        <f aca="false">IF(C43=1,MIN(1,D43/Inputs!$D$29),0)</f>
        <v>1</v>
      </c>
      <c r="F43" s="6" t="n">
        <f aca="false">Inputs!$D$13+(Inputs!$D$32-Inputs!$D$13)*E43</f>
        <v>300</v>
      </c>
      <c r="G43" s="45"/>
      <c r="H43" s="7" t="str">
        <f aca="false">IF(G43="","",IFERROR(G43/F43-1,""))</f>
        <v/>
      </c>
      <c r="I43" s="6" t="n">
        <f aca="false">Inputs!$D$14+(Inputs!$D$24-Inputs!$D$14)*E43</f>
        <v>250</v>
      </c>
      <c r="J43" s="45"/>
      <c r="K43" s="7" t="str">
        <f aca="false">IF(J43="","",IFERROR(J43/I43-1,""))</f>
        <v/>
      </c>
      <c r="L43" s="52" t="str">
        <f aca="false">IF(OR(G43="",J43=""),"",IFERROR(G43/J43,""))</f>
        <v/>
      </c>
      <c r="M43" s="53" t="str">
        <f aca="false">IF(OR(J43="",'Site Daily'!E43=""),"",IFERROR(J43/'Site Daily'!E43*1000,""))</f>
        <v/>
      </c>
      <c r="N43" s="53" t="n">
        <f aca="false">I43*(Inputs!$D$17+(Inputs!$D$26-Inputs!$D$17)*E43)</f>
        <v>50</v>
      </c>
      <c r="O43" s="45"/>
      <c r="P43" s="7" t="str">
        <f aca="false">IF(OR(O43="",J43=""),"",IFERROR(O43/J43,""))</f>
        <v/>
      </c>
      <c r="Q43" s="46"/>
      <c r="R43" s="8" t="n">
        <f aca="false">N43*(Inputs!$D$16+(Inputs!$D$27-Inputs!$D$16)*E43)</f>
        <v>35000</v>
      </c>
      <c r="S43" s="8" t="str">
        <f aca="false">IF(OR(O43="",Q43="",J43=""),"",IFERROR(O43*Q43/J43,""))</f>
        <v/>
      </c>
      <c r="T43" s="7" t="str">
        <f aca="false">IF(S43="","",IFERROR(S43/R43-1,""))</f>
        <v/>
      </c>
      <c r="U43" s="8" t="n">
        <f aca="false">C43*(R43-Inputs!$D$19)*Inputs!$D$28</f>
        <v>21000</v>
      </c>
      <c r="V43" s="8" t="str">
        <f aca="false">IF(OR(C43=0,S43=""),"",(S43-Inputs!$D$19)*Inputs!$D$28)</f>
        <v/>
      </c>
      <c r="W43" s="45"/>
      <c r="X43" s="7" t="str">
        <f aca="false">IF(OR(W43="",G43=""),"",IFERROR(W43/G43,""))</f>
        <v/>
      </c>
      <c r="Y43" s="47"/>
    </row>
    <row r="44" customFormat="false" ht="15" hidden="false" customHeight="false" outlineLevel="0" collapsed="false">
      <c r="A44" s="44" t="n">
        <v>46333</v>
      </c>
      <c r="B44" s="20" t="str">
        <f aca="false">TEXT(A44,"ddd")</f>
        <v>Sat</v>
      </c>
      <c r="C44" s="6" t="n">
        <f aca="false">IF(A44&gt;=Inputs!$D$9,1,0)</f>
        <v>1</v>
      </c>
      <c r="D44" s="6" t="n">
        <f aca="false">IF(C44=1,A44-Inputs!$D$9+1,"")</f>
        <v>31</v>
      </c>
      <c r="E44" s="51" t="n">
        <f aca="false">IF(C44=1,MIN(1,D44/Inputs!$D$29),0)</f>
        <v>1</v>
      </c>
      <c r="F44" s="6" t="n">
        <f aca="false">Inputs!$D$13+(Inputs!$D$32-Inputs!$D$13)*E44</f>
        <v>300</v>
      </c>
      <c r="G44" s="45"/>
      <c r="H44" s="7" t="str">
        <f aca="false">IF(G44="","",IFERROR(G44/F44-1,""))</f>
        <v/>
      </c>
      <c r="I44" s="6" t="n">
        <f aca="false">Inputs!$D$14+(Inputs!$D$24-Inputs!$D$14)*E44</f>
        <v>250</v>
      </c>
      <c r="J44" s="45"/>
      <c r="K44" s="7" t="str">
        <f aca="false">IF(J44="","",IFERROR(J44/I44-1,""))</f>
        <v/>
      </c>
      <c r="L44" s="52" t="str">
        <f aca="false">IF(OR(G44="",J44=""),"",IFERROR(G44/J44,""))</f>
        <v/>
      </c>
      <c r="M44" s="53" t="str">
        <f aca="false">IF(OR(J44="",'Site Daily'!E44=""),"",IFERROR(J44/'Site Daily'!E44*1000,""))</f>
        <v/>
      </c>
      <c r="N44" s="53" t="n">
        <f aca="false">I44*(Inputs!$D$17+(Inputs!$D$26-Inputs!$D$17)*E44)</f>
        <v>50</v>
      </c>
      <c r="O44" s="45"/>
      <c r="P44" s="7" t="str">
        <f aca="false">IF(OR(O44="",J44=""),"",IFERROR(O44/J44,""))</f>
        <v/>
      </c>
      <c r="Q44" s="46"/>
      <c r="R44" s="8" t="n">
        <f aca="false">N44*(Inputs!$D$16+(Inputs!$D$27-Inputs!$D$16)*E44)</f>
        <v>35000</v>
      </c>
      <c r="S44" s="8" t="str">
        <f aca="false">IF(OR(O44="",Q44="",J44=""),"",IFERROR(O44*Q44/J44,""))</f>
        <v/>
      </c>
      <c r="T44" s="7" t="str">
        <f aca="false">IF(S44="","",IFERROR(S44/R44-1,""))</f>
        <v/>
      </c>
      <c r="U44" s="8" t="n">
        <f aca="false">C44*(R44-Inputs!$D$19)*Inputs!$D$28</f>
        <v>21000</v>
      </c>
      <c r="V44" s="8" t="str">
        <f aca="false">IF(OR(C44=0,S44=""),"",(S44-Inputs!$D$19)*Inputs!$D$28)</f>
        <v/>
      </c>
      <c r="W44" s="45"/>
      <c r="X44" s="7" t="str">
        <f aca="false">IF(OR(W44="",G44=""),"",IFERROR(W44/G44,""))</f>
        <v/>
      </c>
      <c r="Y44" s="47"/>
    </row>
    <row r="45" customFormat="false" ht="15" hidden="false" customHeight="false" outlineLevel="0" collapsed="false">
      <c r="A45" s="44" t="n">
        <v>46334</v>
      </c>
      <c r="B45" s="20" t="str">
        <f aca="false">TEXT(A45,"ddd")</f>
        <v>Sun</v>
      </c>
      <c r="C45" s="6" t="n">
        <f aca="false">IF(A45&gt;=Inputs!$D$9,1,0)</f>
        <v>1</v>
      </c>
      <c r="D45" s="6" t="n">
        <f aca="false">IF(C45=1,A45-Inputs!$D$9+1,"")</f>
        <v>32</v>
      </c>
      <c r="E45" s="51" t="n">
        <f aca="false">IF(C45=1,MIN(1,D45/Inputs!$D$29),0)</f>
        <v>1</v>
      </c>
      <c r="F45" s="6" t="n">
        <f aca="false">Inputs!$D$13+(Inputs!$D$32-Inputs!$D$13)*E45</f>
        <v>300</v>
      </c>
      <c r="G45" s="45"/>
      <c r="H45" s="7" t="str">
        <f aca="false">IF(G45="","",IFERROR(G45/F45-1,""))</f>
        <v/>
      </c>
      <c r="I45" s="6" t="n">
        <f aca="false">Inputs!$D$14+(Inputs!$D$24-Inputs!$D$14)*E45</f>
        <v>250</v>
      </c>
      <c r="J45" s="45"/>
      <c r="K45" s="7" t="str">
        <f aca="false">IF(J45="","",IFERROR(J45/I45-1,""))</f>
        <v/>
      </c>
      <c r="L45" s="52" t="str">
        <f aca="false">IF(OR(G45="",J45=""),"",IFERROR(G45/J45,""))</f>
        <v/>
      </c>
      <c r="M45" s="53" t="str">
        <f aca="false">IF(OR(J45="",'Site Daily'!E45=""),"",IFERROR(J45/'Site Daily'!E45*1000,""))</f>
        <v/>
      </c>
      <c r="N45" s="53" t="n">
        <f aca="false">I45*(Inputs!$D$17+(Inputs!$D$26-Inputs!$D$17)*E45)</f>
        <v>50</v>
      </c>
      <c r="O45" s="45"/>
      <c r="P45" s="7" t="str">
        <f aca="false">IF(OR(O45="",J45=""),"",IFERROR(O45/J45,""))</f>
        <v/>
      </c>
      <c r="Q45" s="46"/>
      <c r="R45" s="8" t="n">
        <f aca="false">N45*(Inputs!$D$16+(Inputs!$D$27-Inputs!$D$16)*E45)</f>
        <v>35000</v>
      </c>
      <c r="S45" s="8" t="str">
        <f aca="false">IF(OR(O45="",Q45="",J45=""),"",IFERROR(O45*Q45/J45,""))</f>
        <v/>
      </c>
      <c r="T45" s="7" t="str">
        <f aca="false">IF(S45="","",IFERROR(S45/R45-1,""))</f>
        <v/>
      </c>
      <c r="U45" s="8" t="n">
        <f aca="false">C45*(R45-Inputs!$D$19)*Inputs!$D$28</f>
        <v>21000</v>
      </c>
      <c r="V45" s="8" t="str">
        <f aca="false">IF(OR(C45=0,S45=""),"",(S45-Inputs!$D$19)*Inputs!$D$28)</f>
        <v/>
      </c>
      <c r="W45" s="45"/>
      <c r="X45" s="7" t="str">
        <f aca="false">IF(OR(W45="",G45=""),"",IFERROR(W45/G45,""))</f>
        <v/>
      </c>
      <c r="Y45" s="47"/>
    </row>
    <row r="46" customFormat="false" ht="15" hidden="false" customHeight="false" outlineLevel="0" collapsed="false">
      <c r="A46" s="44" t="n">
        <v>46335</v>
      </c>
      <c r="B46" s="20" t="str">
        <f aca="false">TEXT(A46,"ddd")</f>
        <v>Mon</v>
      </c>
      <c r="C46" s="6" t="n">
        <f aca="false">IF(A46&gt;=Inputs!$D$9,1,0)</f>
        <v>1</v>
      </c>
      <c r="D46" s="6" t="n">
        <f aca="false">IF(C46=1,A46-Inputs!$D$9+1,"")</f>
        <v>33</v>
      </c>
      <c r="E46" s="51" t="n">
        <f aca="false">IF(C46=1,MIN(1,D46/Inputs!$D$29),0)</f>
        <v>1</v>
      </c>
      <c r="F46" s="6" t="n">
        <f aca="false">Inputs!$D$13+(Inputs!$D$32-Inputs!$D$13)*E46</f>
        <v>300</v>
      </c>
      <c r="G46" s="45"/>
      <c r="H46" s="7" t="str">
        <f aca="false">IF(G46="","",IFERROR(G46/F46-1,""))</f>
        <v/>
      </c>
      <c r="I46" s="6" t="n">
        <f aca="false">Inputs!$D$14+(Inputs!$D$24-Inputs!$D$14)*E46</f>
        <v>250</v>
      </c>
      <c r="J46" s="45"/>
      <c r="K46" s="7" t="str">
        <f aca="false">IF(J46="","",IFERROR(J46/I46-1,""))</f>
        <v/>
      </c>
      <c r="L46" s="52" t="str">
        <f aca="false">IF(OR(G46="",J46=""),"",IFERROR(G46/J46,""))</f>
        <v/>
      </c>
      <c r="M46" s="53" t="str">
        <f aca="false">IF(OR(J46="",'Site Daily'!E46=""),"",IFERROR(J46/'Site Daily'!E46*1000,""))</f>
        <v/>
      </c>
      <c r="N46" s="53" t="n">
        <f aca="false">I46*(Inputs!$D$17+(Inputs!$D$26-Inputs!$D$17)*E46)</f>
        <v>50</v>
      </c>
      <c r="O46" s="45"/>
      <c r="P46" s="7" t="str">
        <f aca="false">IF(OR(O46="",J46=""),"",IFERROR(O46/J46,""))</f>
        <v/>
      </c>
      <c r="Q46" s="46"/>
      <c r="R46" s="8" t="n">
        <f aca="false">N46*(Inputs!$D$16+(Inputs!$D$27-Inputs!$D$16)*E46)</f>
        <v>35000</v>
      </c>
      <c r="S46" s="8" t="str">
        <f aca="false">IF(OR(O46="",Q46="",J46=""),"",IFERROR(O46*Q46/J46,""))</f>
        <v/>
      </c>
      <c r="T46" s="7" t="str">
        <f aca="false">IF(S46="","",IFERROR(S46/R46-1,""))</f>
        <v/>
      </c>
      <c r="U46" s="8" t="n">
        <f aca="false">C46*(R46-Inputs!$D$19)*Inputs!$D$28</f>
        <v>21000</v>
      </c>
      <c r="V46" s="8" t="str">
        <f aca="false">IF(OR(C46=0,S46=""),"",(S46-Inputs!$D$19)*Inputs!$D$28)</f>
        <v/>
      </c>
      <c r="W46" s="45"/>
      <c r="X46" s="7" t="str">
        <f aca="false">IF(OR(W46="",G46=""),"",IFERROR(W46/G46,""))</f>
        <v/>
      </c>
      <c r="Y46" s="47"/>
    </row>
    <row r="47" customFormat="false" ht="15" hidden="false" customHeight="false" outlineLevel="0" collapsed="false">
      <c r="A47" s="44" t="n">
        <v>46336</v>
      </c>
      <c r="B47" s="20" t="str">
        <f aca="false">TEXT(A47,"ddd")</f>
        <v>Tue</v>
      </c>
      <c r="C47" s="6" t="n">
        <f aca="false">IF(A47&gt;=Inputs!$D$9,1,0)</f>
        <v>1</v>
      </c>
      <c r="D47" s="6" t="n">
        <f aca="false">IF(C47=1,A47-Inputs!$D$9+1,"")</f>
        <v>34</v>
      </c>
      <c r="E47" s="51" t="n">
        <f aca="false">IF(C47=1,MIN(1,D47/Inputs!$D$29),0)</f>
        <v>1</v>
      </c>
      <c r="F47" s="6" t="n">
        <f aca="false">Inputs!$D$13+(Inputs!$D$32-Inputs!$D$13)*E47</f>
        <v>300</v>
      </c>
      <c r="G47" s="45"/>
      <c r="H47" s="7" t="str">
        <f aca="false">IF(G47="","",IFERROR(G47/F47-1,""))</f>
        <v/>
      </c>
      <c r="I47" s="6" t="n">
        <f aca="false">Inputs!$D$14+(Inputs!$D$24-Inputs!$D$14)*E47</f>
        <v>250</v>
      </c>
      <c r="J47" s="45"/>
      <c r="K47" s="7" t="str">
        <f aca="false">IF(J47="","",IFERROR(J47/I47-1,""))</f>
        <v/>
      </c>
      <c r="L47" s="52" t="str">
        <f aca="false">IF(OR(G47="",J47=""),"",IFERROR(G47/J47,""))</f>
        <v/>
      </c>
      <c r="M47" s="53" t="str">
        <f aca="false">IF(OR(J47="",'Site Daily'!E47=""),"",IFERROR(J47/'Site Daily'!E47*1000,""))</f>
        <v/>
      </c>
      <c r="N47" s="53" t="n">
        <f aca="false">I47*(Inputs!$D$17+(Inputs!$D$26-Inputs!$D$17)*E47)</f>
        <v>50</v>
      </c>
      <c r="O47" s="45"/>
      <c r="P47" s="7" t="str">
        <f aca="false">IF(OR(O47="",J47=""),"",IFERROR(O47/J47,""))</f>
        <v/>
      </c>
      <c r="Q47" s="46"/>
      <c r="R47" s="8" t="n">
        <f aca="false">N47*(Inputs!$D$16+(Inputs!$D$27-Inputs!$D$16)*E47)</f>
        <v>35000</v>
      </c>
      <c r="S47" s="8" t="str">
        <f aca="false">IF(OR(O47="",Q47="",J47=""),"",IFERROR(O47*Q47/J47,""))</f>
        <v/>
      </c>
      <c r="T47" s="7" t="str">
        <f aca="false">IF(S47="","",IFERROR(S47/R47-1,""))</f>
        <v/>
      </c>
      <c r="U47" s="8" t="n">
        <f aca="false">C47*(R47-Inputs!$D$19)*Inputs!$D$28</f>
        <v>21000</v>
      </c>
      <c r="V47" s="8" t="str">
        <f aca="false">IF(OR(C47=0,S47=""),"",(S47-Inputs!$D$19)*Inputs!$D$28)</f>
        <v/>
      </c>
      <c r="W47" s="45"/>
      <c r="X47" s="7" t="str">
        <f aca="false">IF(OR(W47="",G47=""),"",IFERROR(W47/G47,""))</f>
        <v/>
      </c>
      <c r="Y47" s="47"/>
    </row>
    <row r="48" customFormat="false" ht="15" hidden="false" customHeight="false" outlineLevel="0" collapsed="false">
      <c r="A48" s="44" t="n">
        <v>46337</v>
      </c>
      <c r="B48" s="20" t="str">
        <f aca="false">TEXT(A48,"ddd")</f>
        <v>Wed</v>
      </c>
      <c r="C48" s="6" t="n">
        <f aca="false">IF(A48&gt;=Inputs!$D$9,1,0)</f>
        <v>1</v>
      </c>
      <c r="D48" s="6" t="n">
        <f aca="false">IF(C48=1,A48-Inputs!$D$9+1,"")</f>
        <v>35</v>
      </c>
      <c r="E48" s="51" t="n">
        <f aca="false">IF(C48=1,MIN(1,D48/Inputs!$D$29),0)</f>
        <v>1</v>
      </c>
      <c r="F48" s="6" t="n">
        <f aca="false">Inputs!$D$13+(Inputs!$D$32-Inputs!$D$13)*E48</f>
        <v>300</v>
      </c>
      <c r="G48" s="45"/>
      <c r="H48" s="7" t="str">
        <f aca="false">IF(G48="","",IFERROR(G48/F48-1,""))</f>
        <v/>
      </c>
      <c r="I48" s="6" t="n">
        <f aca="false">Inputs!$D$14+(Inputs!$D$24-Inputs!$D$14)*E48</f>
        <v>250</v>
      </c>
      <c r="J48" s="45"/>
      <c r="K48" s="7" t="str">
        <f aca="false">IF(J48="","",IFERROR(J48/I48-1,""))</f>
        <v/>
      </c>
      <c r="L48" s="52" t="str">
        <f aca="false">IF(OR(G48="",J48=""),"",IFERROR(G48/J48,""))</f>
        <v/>
      </c>
      <c r="M48" s="53" t="str">
        <f aca="false">IF(OR(J48="",'Site Daily'!E48=""),"",IFERROR(J48/'Site Daily'!E48*1000,""))</f>
        <v/>
      </c>
      <c r="N48" s="53" t="n">
        <f aca="false">I48*(Inputs!$D$17+(Inputs!$D$26-Inputs!$D$17)*E48)</f>
        <v>50</v>
      </c>
      <c r="O48" s="45"/>
      <c r="P48" s="7" t="str">
        <f aca="false">IF(OR(O48="",J48=""),"",IFERROR(O48/J48,""))</f>
        <v/>
      </c>
      <c r="Q48" s="46"/>
      <c r="R48" s="8" t="n">
        <f aca="false">N48*(Inputs!$D$16+(Inputs!$D$27-Inputs!$D$16)*E48)</f>
        <v>35000</v>
      </c>
      <c r="S48" s="8" t="str">
        <f aca="false">IF(OR(O48="",Q48="",J48=""),"",IFERROR(O48*Q48/J48,""))</f>
        <v/>
      </c>
      <c r="T48" s="7" t="str">
        <f aca="false">IF(S48="","",IFERROR(S48/R48-1,""))</f>
        <v/>
      </c>
      <c r="U48" s="8" t="n">
        <f aca="false">C48*(R48-Inputs!$D$19)*Inputs!$D$28</f>
        <v>21000</v>
      </c>
      <c r="V48" s="8" t="str">
        <f aca="false">IF(OR(C48=0,S48=""),"",(S48-Inputs!$D$19)*Inputs!$D$28)</f>
        <v/>
      </c>
      <c r="W48" s="45"/>
      <c r="X48" s="7" t="str">
        <f aca="false">IF(OR(W48="",G48=""),"",IFERROR(W48/G48,""))</f>
        <v/>
      </c>
      <c r="Y48" s="47"/>
    </row>
    <row r="49" customFormat="false" ht="15" hidden="false" customHeight="false" outlineLevel="0" collapsed="false">
      <c r="A49" s="44" t="n">
        <v>46338</v>
      </c>
      <c r="B49" s="20" t="str">
        <f aca="false">TEXT(A49,"ddd")</f>
        <v>Thu</v>
      </c>
      <c r="C49" s="6" t="n">
        <f aca="false">IF(A49&gt;=Inputs!$D$9,1,0)</f>
        <v>1</v>
      </c>
      <c r="D49" s="6" t="n">
        <f aca="false">IF(C49=1,A49-Inputs!$D$9+1,"")</f>
        <v>36</v>
      </c>
      <c r="E49" s="51" t="n">
        <f aca="false">IF(C49=1,MIN(1,D49/Inputs!$D$29),0)</f>
        <v>1</v>
      </c>
      <c r="F49" s="6" t="n">
        <f aca="false">Inputs!$D$13+(Inputs!$D$32-Inputs!$D$13)*E49</f>
        <v>300</v>
      </c>
      <c r="G49" s="45"/>
      <c r="H49" s="7" t="str">
        <f aca="false">IF(G49="","",IFERROR(G49/F49-1,""))</f>
        <v/>
      </c>
      <c r="I49" s="6" t="n">
        <f aca="false">Inputs!$D$14+(Inputs!$D$24-Inputs!$D$14)*E49</f>
        <v>250</v>
      </c>
      <c r="J49" s="45"/>
      <c r="K49" s="7" t="str">
        <f aca="false">IF(J49="","",IFERROR(J49/I49-1,""))</f>
        <v/>
      </c>
      <c r="L49" s="52" t="str">
        <f aca="false">IF(OR(G49="",J49=""),"",IFERROR(G49/J49,""))</f>
        <v/>
      </c>
      <c r="M49" s="53" t="str">
        <f aca="false">IF(OR(J49="",'Site Daily'!E49=""),"",IFERROR(J49/'Site Daily'!E49*1000,""))</f>
        <v/>
      </c>
      <c r="N49" s="53" t="n">
        <f aca="false">I49*(Inputs!$D$17+(Inputs!$D$26-Inputs!$D$17)*E49)</f>
        <v>50</v>
      </c>
      <c r="O49" s="45"/>
      <c r="P49" s="7" t="str">
        <f aca="false">IF(OR(O49="",J49=""),"",IFERROR(O49/J49,""))</f>
        <v/>
      </c>
      <c r="Q49" s="46"/>
      <c r="R49" s="8" t="n">
        <f aca="false">N49*(Inputs!$D$16+(Inputs!$D$27-Inputs!$D$16)*E49)</f>
        <v>35000</v>
      </c>
      <c r="S49" s="8" t="str">
        <f aca="false">IF(OR(O49="",Q49="",J49=""),"",IFERROR(O49*Q49/J49,""))</f>
        <v/>
      </c>
      <c r="T49" s="7" t="str">
        <f aca="false">IF(S49="","",IFERROR(S49/R49-1,""))</f>
        <v/>
      </c>
      <c r="U49" s="8" t="n">
        <f aca="false">C49*(R49-Inputs!$D$19)*Inputs!$D$28</f>
        <v>21000</v>
      </c>
      <c r="V49" s="8" t="str">
        <f aca="false">IF(OR(C49=0,S49=""),"",(S49-Inputs!$D$19)*Inputs!$D$28)</f>
        <v/>
      </c>
      <c r="W49" s="45"/>
      <c r="X49" s="7" t="str">
        <f aca="false">IF(OR(W49="",G49=""),"",IFERROR(W49/G49,""))</f>
        <v/>
      </c>
      <c r="Y49" s="47"/>
    </row>
    <row r="50" customFormat="false" ht="15" hidden="false" customHeight="false" outlineLevel="0" collapsed="false">
      <c r="A50" s="44" t="n">
        <v>46339</v>
      </c>
      <c r="B50" s="20" t="str">
        <f aca="false">TEXT(A50,"ddd")</f>
        <v>Fri</v>
      </c>
      <c r="C50" s="6" t="n">
        <f aca="false">IF(A50&gt;=Inputs!$D$9,1,0)</f>
        <v>1</v>
      </c>
      <c r="D50" s="6" t="n">
        <f aca="false">IF(C50=1,A50-Inputs!$D$9+1,"")</f>
        <v>37</v>
      </c>
      <c r="E50" s="51" t="n">
        <f aca="false">IF(C50=1,MIN(1,D50/Inputs!$D$29),0)</f>
        <v>1</v>
      </c>
      <c r="F50" s="6" t="n">
        <f aca="false">Inputs!$D$13+(Inputs!$D$32-Inputs!$D$13)*E50</f>
        <v>300</v>
      </c>
      <c r="G50" s="45"/>
      <c r="H50" s="7" t="str">
        <f aca="false">IF(G50="","",IFERROR(G50/F50-1,""))</f>
        <v/>
      </c>
      <c r="I50" s="6" t="n">
        <f aca="false">Inputs!$D$14+(Inputs!$D$24-Inputs!$D$14)*E50</f>
        <v>250</v>
      </c>
      <c r="J50" s="45"/>
      <c r="K50" s="7" t="str">
        <f aca="false">IF(J50="","",IFERROR(J50/I50-1,""))</f>
        <v/>
      </c>
      <c r="L50" s="52" t="str">
        <f aca="false">IF(OR(G50="",J50=""),"",IFERROR(G50/J50,""))</f>
        <v/>
      </c>
      <c r="M50" s="53" t="str">
        <f aca="false">IF(OR(J50="",'Site Daily'!E50=""),"",IFERROR(J50/'Site Daily'!E50*1000,""))</f>
        <v/>
      </c>
      <c r="N50" s="53" t="n">
        <f aca="false">I50*(Inputs!$D$17+(Inputs!$D$26-Inputs!$D$17)*E50)</f>
        <v>50</v>
      </c>
      <c r="O50" s="45"/>
      <c r="P50" s="7" t="str">
        <f aca="false">IF(OR(O50="",J50=""),"",IFERROR(O50/J50,""))</f>
        <v/>
      </c>
      <c r="Q50" s="46"/>
      <c r="R50" s="8" t="n">
        <f aca="false">N50*(Inputs!$D$16+(Inputs!$D$27-Inputs!$D$16)*E50)</f>
        <v>35000</v>
      </c>
      <c r="S50" s="8" t="str">
        <f aca="false">IF(OR(O50="",Q50="",J50=""),"",IFERROR(O50*Q50/J50,""))</f>
        <v/>
      </c>
      <c r="T50" s="7" t="str">
        <f aca="false">IF(S50="","",IFERROR(S50/R50-1,""))</f>
        <v/>
      </c>
      <c r="U50" s="8" t="n">
        <f aca="false">C50*(R50-Inputs!$D$19)*Inputs!$D$28</f>
        <v>21000</v>
      </c>
      <c r="V50" s="8" t="str">
        <f aca="false">IF(OR(C50=0,S50=""),"",(S50-Inputs!$D$19)*Inputs!$D$28)</f>
        <v/>
      </c>
      <c r="W50" s="45"/>
      <c r="X50" s="7" t="str">
        <f aca="false">IF(OR(W50="",G50=""),"",IFERROR(W50/G50,""))</f>
        <v/>
      </c>
      <c r="Y50" s="47"/>
    </row>
    <row r="51" customFormat="false" ht="15" hidden="false" customHeight="false" outlineLevel="0" collapsed="false">
      <c r="A51" s="44" t="n">
        <v>46340</v>
      </c>
      <c r="B51" s="20" t="str">
        <f aca="false">TEXT(A51,"ddd")</f>
        <v>Sat</v>
      </c>
      <c r="C51" s="6" t="n">
        <f aca="false">IF(A51&gt;=Inputs!$D$9,1,0)</f>
        <v>1</v>
      </c>
      <c r="D51" s="6" t="n">
        <f aca="false">IF(C51=1,A51-Inputs!$D$9+1,"")</f>
        <v>38</v>
      </c>
      <c r="E51" s="51" t="n">
        <f aca="false">IF(C51=1,MIN(1,D51/Inputs!$D$29),0)</f>
        <v>1</v>
      </c>
      <c r="F51" s="6" t="n">
        <f aca="false">Inputs!$D$13+(Inputs!$D$32-Inputs!$D$13)*E51</f>
        <v>300</v>
      </c>
      <c r="G51" s="45"/>
      <c r="H51" s="7" t="str">
        <f aca="false">IF(G51="","",IFERROR(G51/F51-1,""))</f>
        <v/>
      </c>
      <c r="I51" s="6" t="n">
        <f aca="false">Inputs!$D$14+(Inputs!$D$24-Inputs!$D$14)*E51</f>
        <v>250</v>
      </c>
      <c r="J51" s="45"/>
      <c r="K51" s="7" t="str">
        <f aca="false">IF(J51="","",IFERROR(J51/I51-1,""))</f>
        <v/>
      </c>
      <c r="L51" s="52" t="str">
        <f aca="false">IF(OR(G51="",J51=""),"",IFERROR(G51/J51,""))</f>
        <v/>
      </c>
      <c r="M51" s="53" t="str">
        <f aca="false">IF(OR(J51="",'Site Daily'!E51=""),"",IFERROR(J51/'Site Daily'!E51*1000,""))</f>
        <v/>
      </c>
      <c r="N51" s="53" t="n">
        <f aca="false">I51*(Inputs!$D$17+(Inputs!$D$26-Inputs!$D$17)*E51)</f>
        <v>50</v>
      </c>
      <c r="O51" s="45"/>
      <c r="P51" s="7" t="str">
        <f aca="false">IF(OR(O51="",J51=""),"",IFERROR(O51/J51,""))</f>
        <v/>
      </c>
      <c r="Q51" s="46"/>
      <c r="R51" s="8" t="n">
        <f aca="false">N51*(Inputs!$D$16+(Inputs!$D$27-Inputs!$D$16)*E51)</f>
        <v>35000</v>
      </c>
      <c r="S51" s="8" t="str">
        <f aca="false">IF(OR(O51="",Q51="",J51=""),"",IFERROR(O51*Q51/J51,""))</f>
        <v/>
      </c>
      <c r="T51" s="7" t="str">
        <f aca="false">IF(S51="","",IFERROR(S51/R51-1,""))</f>
        <v/>
      </c>
      <c r="U51" s="8" t="n">
        <f aca="false">C51*(R51-Inputs!$D$19)*Inputs!$D$28</f>
        <v>21000</v>
      </c>
      <c r="V51" s="8" t="str">
        <f aca="false">IF(OR(C51=0,S51=""),"",(S51-Inputs!$D$19)*Inputs!$D$28)</f>
        <v/>
      </c>
      <c r="W51" s="45"/>
      <c r="X51" s="7" t="str">
        <f aca="false">IF(OR(W51="",G51=""),"",IFERROR(W51/G51,""))</f>
        <v/>
      </c>
      <c r="Y51" s="47"/>
    </row>
    <row r="52" customFormat="false" ht="15" hidden="false" customHeight="false" outlineLevel="0" collapsed="false">
      <c r="A52" s="44" t="n">
        <v>46341</v>
      </c>
      <c r="B52" s="20" t="str">
        <f aca="false">TEXT(A52,"ddd")</f>
        <v>Sun</v>
      </c>
      <c r="C52" s="6" t="n">
        <f aca="false">IF(A52&gt;=Inputs!$D$9,1,0)</f>
        <v>1</v>
      </c>
      <c r="D52" s="6" t="n">
        <f aca="false">IF(C52=1,A52-Inputs!$D$9+1,"")</f>
        <v>39</v>
      </c>
      <c r="E52" s="51" t="n">
        <f aca="false">IF(C52=1,MIN(1,D52/Inputs!$D$29),0)</f>
        <v>1</v>
      </c>
      <c r="F52" s="6" t="n">
        <f aca="false">Inputs!$D$13+(Inputs!$D$32-Inputs!$D$13)*E52</f>
        <v>300</v>
      </c>
      <c r="G52" s="45"/>
      <c r="H52" s="7" t="str">
        <f aca="false">IF(G52="","",IFERROR(G52/F52-1,""))</f>
        <v/>
      </c>
      <c r="I52" s="6" t="n">
        <f aca="false">Inputs!$D$14+(Inputs!$D$24-Inputs!$D$14)*E52</f>
        <v>250</v>
      </c>
      <c r="J52" s="45"/>
      <c r="K52" s="7" t="str">
        <f aca="false">IF(J52="","",IFERROR(J52/I52-1,""))</f>
        <v/>
      </c>
      <c r="L52" s="52" t="str">
        <f aca="false">IF(OR(G52="",J52=""),"",IFERROR(G52/J52,""))</f>
        <v/>
      </c>
      <c r="M52" s="53" t="str">
        <f aca="false">IF(OR(J52="",'Site Daily'!E52=""),"",IFERROR(J52/'Site Daily'!E52*1000,""))</f>
        <v/>
      </c>
      <c r="N52" s="53" t="n">
        <f aca="false">I52*(Inputs!$D$17+(Inputs!$D$26-Inputs!$D$17)*E52)</f>
        <v>50</v>
      </c>
      <c r="O52" s="45"/>
      <c r="P52" s="7" t="str">
        <f aca="false">IF(OR(O52="",J52=""),"",IFERROR(O52/J52,""))</f>
        <v/>
      </c>
      <c r="Q52" s="46"/>
      <c r="R52" s="8" t="n">
        <f aca="false">N52*(Inputs!$D$16+(Inputs!$D$27-Inputs!$D$16)*E52)</f>
        <v>35000</v>
      </c>
      <c r="S52" s="8" t="str">
        <f aca="false">IF(OR(O52="",Q52="",J52=""),"",IFERROR(O52*Q52/J52,""))</f>
        <v/>
      </c>
      <c r="T52" s="7" t="str">
        <f aca="false">IF(S52="","",IFERROR(S52/R52-1,""))</f>
        <v/>
      </c>
      <c r="U52" s="8" t="n">
        <f aca="false">C52*(R52-Inputs!$D$19)*Inputs!$D$28</f>
        <v>21000</v>
      </c>
      <c r="V52" s="8" t="str">
        <f aca="false">IF(OR(C52=0,S52=""),"",(S52-Inputs!$D$19)*Inputs!$D$28)</f>
        <v/>
      </c>
      <c r="W52" s="45"/>
      <c r="X52" s="7" t="str">
        <f aca="false">IF(OR(W52="",G52=""),"",IFERROR(W52/G52,""))</f>
        <v/>
      </c>
      <c r="Y52" s="47"/>
    </row>
    <row r="53" customFormat="false" ht="15" hidden="false" customHeight="false" outlineLevel="0" collapsed="false">
      <c r="A53" s="44" t="n">
        <v>46342</v>
      </c>
      <c r="B53" s="20" t="str">
        <f aca="false">TEXT(A53,"ddd")</f>
        <v>Mon</v>
      </c>
      <c r="C53" s="6" t="n">
        <f aca="false">IF(A53&gt;=Inputs!$D$9,1,0)</f>
        <v>1</v>
      </c>
      <c r="D53" s="6" t="n">
        <f aca="false">IF(C53=1,A53-Inputs!$D$9+1,"")</f>
        <v>40</v>
      </c>
      <c r="E53" s="51" t="n">
        <f aca="false">IF(C53=1,MIN(1,D53/Inputs!$D$29),0)</f>
        <v>1</v>
      </c>
      <c r="F53" s="6" t="n">
        <f aca="false">Inputs!$D$13+(Inputs!$D$32-Inputs!$D$13)*E53</f>
        <v>300</v>
      </c>
      <c r="G53" s="45"/>
      <c r="H53" s="7" t="str">
        <f aca="false">IF(G53="","",IFERROR(G53/F53-1,""))</f>
        <v/>
      </c>
      <c r="I53" s="6" t="n">
        <f aca="false">Inputs!$D$14+(Inputs!$D$24-Inputs!$D$14)*E53</f>
        <v>250</v>
      </c>
      <c r="J53" s="45"/>
      <c r="K53" s="7" t="str">
        <f aca="false">IF(J53="","",IFERROR(J53/I53-1,""))</f>
        <v/>
      </c>
      <c r="L53" s="52" t="str">
        <f aca="false">IF(OR(G53="",J53=""),"",IFERROR(G53/J53,""))</f>
        <v/>
      </c>
      <c r="M53" s="53" t="str">
        <f aca="false">IF(OR(J53="",'Site Daily'!E53=""),"",IFERROR(J53/'Site Daily'!E53*1000,""))</f>
        <v/>
      </c>
      <c r="N53" s="53" t="n">
        <f aca="false">I53*(Inputs!$D$17+(Inputs!$D$26-Inputs!$D$17)*E53)</f>
        <v>50</v>
      </c>
      <c r="O53" s="45"/>
      <c r="P53" s="7" t="str">
        <f aca="false">IF(OR(O53="",J53=""),"",IFERROR(O53/J53,""))</f>
        <v/>
      </c>
      <c r="Q53" s="46"/>
      <c r="R53" s="8" t="n">
        <f aca="false">N53*(Inputs!$D$16+(Inputs!$D$27-Inputs!$D$16)*E53)</f>
        <v>35000</v>
      </c>
      <c r="S53" s="8" t="str">
        <f aca="false">IF(OR(O53="",Q53="",J53=""),"",IFERROR(O53*Q53/J53,""))</f>
        <v/>
      </c>
      <c r="T53" s="7" t="str">
        <f aca="false">IF(S53="","",IFERROR(S53/R53-1,""))</f>
        <v/>
      </c>
      <c r="U53" s="8" t="n">
        <f aca="false">C53*(R53-Inputs!$D$19)*Inputs!$D$28</f>
        <v>21000</v>
      </c>
      <c r="V53" s="8" t="str">
        <f aca="false">IF(OR(C53=0,S53=""),"",(S53-Inputs!$D$19)*Inputs!$D$28)</f>
        <v/>
      </c>
      <c r="W53" s="45"/>
      <c r="X53" s="7" t="str">
        <f aca="false">IF(OR(W53="",G53=""),"",IFERROR(W53/G53,""))</f>
        <v/>
      </c>
      <c r="Y53" s="47"/>
    </row>
    <row r="54" customFormat="false" ht="15" hidden="false" customHeight="false" outlineLevel="0" collapsed="false">
      <c r="A54" s="44" t="n">
        <v>46343</v>
      </c>
      <c r="B54" s="20" t="str">
        <f aca="false">TEXT(A54,"ddd")</f>
        <v>Tue</v>
      </c>
      <c r="C54" s="6" t="n">
        <f aca="false">IF(A54&gt;=Inputs!$D$9,1,0)</f>
        <v>1</v>
      </c>
      <c r="D54" s="6" t="n">
        <f aca="false">IF(C54=1,A54-Inputs!$D$9+1,"")</f>
        <v>41</v>
      </c>
      <c r="E54" s="51" t="n">
        <f aca="false">IF(C54=1,MIN(1,D54/Inputs!$D$29),0)</f>
        <v>1</v>
      </c>
      <c r="F54" s="6" t="n">
        <f aca="false">Inputs!$D$13+(Inputs!$D$32-Inputs!$D$13)*E54</f>
        <v>300</v>
      </c>
      <c r="G54" s="45"/>
      <c r="H54" s="7" t="str">
        <f aca="false">IF(G54="","",IFERROR(G54/F54-1,""))</f>
        <v/>
      </c>
      <c r="I54" s="6" t="n">
        <f aca="false">Inputs!$D$14+(Inputs!$D$24-Inputs!$D$14)*E54</f>
        <v>250</v>
      </c>
      <c r="J54" s="45"/>
      <c r="K54" s="7" t="str">
        <f aca="false">IF(J54="","",IFERROR(J54/I54-1,""))</f>
        <v/>
      </c>
      <c r="L54" s="52" t="str">
        <f aca="false">IF(OR(G54="",J54=""),"",IFERROR(G54/J54,""))</f>
        <v/>
      </c>
      <c r="M54" s="53" t="str">
        <f aca="false">IF(OR(J54="",'Site Daily'!E54=""),"",IFERROR(J54/'Site Daily'!E54*1000,""))</f>
        <v/>
      </c>
      <c r="N54" s="53" t="n">
        <f aca="false">I54*(Inputs!$D$17+(Inputs!$D$26-Inputs!$D$17)*E54)</f>
        <v>50</v>
      </c>
      <c r="O54" s="45"/>
      <c r="P54" s="7" t="str">
        <f aca="false">IF(OR(O54="",J54=""),"",IFERROR(O54/J54,""))</f>
        <v/>
      </c>
      <c r="Q54" s="46"/>
      <c r="R54" s="8" t="n">
        <f aca="false">N54*(Inputs!$D$16+(Inputs!$D$27-Inputs!$D$16)*E54)</f>
        <v>35000</v>
      </c>
      <c r="S54" s="8" t="str">
        <f aca="false">IF(OR(O54="",Q54="",J54=""),"",IFERROR(O54*Q54/J54,""))</f>
        <v/>
      </c>
      <c r="T54" s="7" t="str">
        <f aca="false">IF(S54="","",IFERROR(S54/R54-1,""))</f>
        <v/>
      </c>
      <c r="U54" s="8" t="n">
        <f aca="false">C54*(R54-Inputs!$D$19)*Inputs!$D$28</f>
        <v>21000</v>
      </c>
      <c r="V54" s="8" t="str">
        <f aca="false">IF(OR(C54=0,S54=""),"",(S54-Inputs!$D$19)*Inputs!$D$28)</f>
        <v/>
      </c>
      <c r="W54" s="45"/>
      <c r="X54" s="7" t="str">
        <f aca="false">IF(OR(W54="",G54=""),"",IFERROR(W54/G54,""))</f>
        <v/>
      </c>
      <c r="Y54" s="47"/>
    </row>
    <row r="55" customFormat="false" ht="15" hidden="false" customHeight="false" outlineLevel="0" collapsed="false">
      <c r="A55" s="44" t="n">
        <v>46344</v>
      </c>
      <c r="B55" s="20" t="str">
        <f aca="false">TEXT(A55,"ddd")</f>
        <v>Wed</v>
      </c>
      <c r="C55" s="6" t="n">
        <f aca="false">IF(A55&gt;=Inputs!$D$9,1,0)</f>
        <v>1</v>
      </c>
      <c r="D55" s="6" t="n">
        <f aca="false">IF(C55=1,A55-Inputs!$D$9+1,"")</f>
        <v>42</v>
      </c>
      <c r="E55" s="51" t="n">
        <f aca="false">IF(C55=1,MIN(1,D55/Inputs!$D$29),0)</f>
        <v>1</v>
      </c>
      <c r="F55" s="6" t="n">
        <f aca="false">Inputs!$D$13+(Inputs!$D$32-Inputs!$D$13)*E55</f>
        <v>300</v>
      </c>
      <c r="G55" s="45"/>
      <c r="H55" s="7" t="str">
        <f aca="false">IF(G55="","",IFERROR(G55/F55-1,""))</f>
        <v/>
      </c>
      <c r="I55" s="6" t="n">
        <f aca="false">Inputs!$D$14+(Inputs!$D$24-Inputs!$D$14)*E55</f>
        <v>250</v>
      </c>
      <c r="J55" s="45"/>
      <c r="K55" s="7" t="str">
        <f aca="false">IF(J55="","",IFERROR(J55/I55-1,""))</f>
        <v/>
      </c>
      <c r="L55" s="52" t="str">
        <f aca="false">IF(OR(G55="",J55=""),"",IFERROR(G55/J55,""))</f>
        <v/>
      </c>
      <c r="M55" s="53" t="str">
        <f aca="false">IF(OR(J55="",'Site Daily'!E55=""),"",IFERROR(J55/'Site Daily'!E55*1000,""))</f>
        <v/>
      </c>
      <c r="N55" s="53" t="n">
        <f aca="false">I55*(Inputs!$D$17+(Inputs!$D$26-Inputs!$D$17)*E55)</f>
        <v>50</v>
      </c>
      <c r="O55" s="45"/>
      <c r="P55" s="7" t="str">
        <f aca="false">IF(OR(O55="",J55=""),"",IFERROR(O55/J55,""))</f>
        <v/>
      </c>
      <c r="Q55" s="46"/>
      <c r="R55" s="8" t="n">
        <f aca="false">N55*(Inputs!$D$16+(Inputs!$D$27-Inputs!$D$16)*E55)</f>
        <v>35000</v>
      </c>
      <c r="S55" s="8" t="str">
        <f aca="false">IF(OR(O55="",Q55="",J55=""),"",IFERROR(O55*Q55/J55,""))</f>
        <v/>
      </c>
      <c r="T55" s="7" t="str">
        <f aca="false">IF(S55="","",IFERROR(S55/R55-1,""))</f>
        <v/>
      </c>
      <c r="U55" s="8" t="n">
        <f aca="false">C55*(R55-Inputs!$D$19)*Inputs!$D$28</f>
        <v>21000</v>
      </c>
      <c r="V55" s="8" t="str">
        <f aca="false">IF(OR(C55=0,S55=""),"",(S55-Inputs!$D$19)*Inputs!$D$28)</f>
        <v/>
      </c>
      <c r="W55" s="45"/>
      <c r="X55" s="7" t="str">
        <f aca="false">IF(OR(W55="",G55=""),"",IFERROR(W55/G55,""))</f>
        <v/>
      </c>
      <c r="Y55" s="47"/>
    </row>
    <row r="56" customFormat="false" ht="15" hidden="false" customHeight="false" outlineLevel="0" collapsed="false">
      <c r="A56" s="44" t="n">
        <v>46345</v>
      </c>
      <c r="B56" s="20" t="str">
        <f aca="false">TEXT(A56,"ddd")</f>
        <v>Thu</v>
      </c>
      <c r="C56" s="6" t="n">
        <f aca="false">IF(A56&gt;=Inputs!$D$9,1,0)</f>
        <v>1</v>
      </c>
      <c r="D56" s="6" t="n">
        <f aca="false">IF(C56=1,A56-Inputs!$D$9+1,"")</f>
        <v>43</v>
      </c>
      <c r="E56" s="51" t="n">
        <f aca="false">IF(C56=1,MIN(1,D56/Inputs!$D$29),0)</f>
        <v>1</v>
      </c>
      <c r="F56" s="6" t="n">
        <f aca="false">Inputs!$D$13+(Inputs!$D$32-Inputs!$D$13)*E56</f>
        <v>300</v>
      </c>
      <c r="G56" s="45"/>
      <c r="H56" s="7" t="str">
        <f aca="false">IF(G56="","",IFERROR(G56/F56-1,""))</f>
        <v/>
      </c>
      <c r="I56" s="6" t="n">
        <f aca="false">Inputs!$D$14+(Inputs!$D$24-Inputs!$D$14)*E56</f>
        <v>250</v>
      </c>
      <c r="J56" s="45"/>
      <c r="K56" s="7" t="str">
        <f aca="false">IF(J56="","",IFERROR(J56/I56-1,""))</f>
        <v/>
      </c>
      <c r="L56" s="52" t="str">
        <f aca="false">IF(OR(G56="",J56=""),"",IFERROR(G56/J56,""))</f>
        <v/>
      </c>
      <c r="M56" s="53" t="str">
        <f aca="false">IF(OR(J56="",'Site Daily'!E56=""),"",IFERROR(J56/'Site Daily'!E56*1000,""))</f>
        <v/>
      </c>
      <c r="N56" s="53" t="n">
        <f aca="false">I56*(Inputs!$D$17+(Inputs!$D$26-Inputs!$D$17)*E56)</f>
        <v>50</v>
      </c>
      <c r="O56" s="45"/>
      <c r="P56" s="7" t="str">
        <f aca="false">IF(OR(O56="",J56=""),"",IFERROR(O56/J56,""))</f>
        <v/>
      </c>
      <c r="Q56" s="46"/>
      <c r="R56" s="8" t="n">
        <f aca="false">N56*(Inputs!$D$16+(Inputs!$D$27-Inputs!$D$16)*E56)</f>
        <v>35000</v>
      </c>
      <c r="S56" s="8" t="str">
        <f aca="false">IF(OR(O56="",Q56="",J56=""),"",IFERROR(O56*Q56/J56,""))</f>
        <v/>
      </c>
      <c r="T56" s="7" t="str">
        <f aca="false">IF(S56="","",IFERROR(S56/R56-1,""))</f>
        <v/>
      </c>
      <c r="U56" s="8" t="n">
        <f aca="false">C56*(R56-Inputs!$D$19)*Inputs!$D$28</f>
        <v>21000</v>
      </c>
      <c r="V56" s="8" t="str">
        <f aca="false">IF(OR(C56=0,S56=""),"",(S56-Inputs!$D$19)*Inputs!$D$28)</f>
        <v/>
      </c>
      <c r="W56" s="45"/>
      <c r="X56" s="7" t="str">
        <f aca="false">IF(OR(W56="",G56=""),"",IFERROR(W56/G56,""))</f>
        <v/>
      </c>
      <c r="Y56" s="47"/>
    </row>
    <row r="57" customFormat="false" ht="15" hidden="false" customHeight="false" outlineLevel="0" collapsed="false">
      <c r="A57" s="44" t="n">
        <v>46346</v>
      </c>
      <c r="B57" s="20" t="str">
        <f aca="false">TEXT(A57,"ddd")</f>
        <v>Fri</v>
      </c>
      <c r="C57" s="6" t="n">
        <f aca="false">IF(A57&gt;=Inputs!$D$9,1,0)</f>
        <v>1</v>
      </c>
      <c r="D57" s="6" t="n">
        <f aca="false">IF(C57=1,A57-Inputs!$D$9+1,"")</f>
        <v>44</v>
      </c>
      <c r="E57" s="51" t="n">
        <f aca="false">IF(C57=1,MIN(1,D57/Inputs!$D$29),0)</f>
        <v>1</v>
      </c>
      <c r="F57" s="6" t="n">
        <f aca="false">Inputs!$D$13+(Inputs!$D$32-Inputs!$D$13)*E57</f>
        <v>300</v>
      </c>
      <c r="G57" s="45"/>
      <c r="H57" s="7" t="str">
        <f aca="false">IF(G57="","",IFERROR(G57/F57-1,""))</f>
        <v/>
      </c>
      <c r="I57" s="6" t="n">
        <f aca="false">Inputs!$D$14+(Inputs!$D$24-Inputs!$D$14)*E57</f>
        <v>250</v>
      </c>
      <c r="J57" s="45"/>
      <c r="K57" s="7" t="str">
        <f aca="false">IF(J57="","",IFERROR(J57/I57-1,""))</f>
        <v/>
      </c>
      <c r="L57" s="52" t="str">
        <f aca="false">IF(OR(G57="",J57=""),"",IFERROR(G57/J57,""))</f>
        <v/>
      </c>
      <c r="M57" s="53" t="str">
        <f aca="false">IF(OR(J57="",'Site Daily'!E57=""),"",IFERROR(J57/'Site Daily'!E57*1000,""))</f>
        <v/>
      </c>
      <c r="N57" s="53" t="n">
        <f aca="false">I57*(Inputs!$D$17+(Inputs!$D$26-Inputs!$D$17)*E57)</f>
        <v>50</v>
      </c>
      <c r="O57" s="45"/>
      <c r="P57" s="7" t="str">
        <f aca="false">IF(OR(O57="",J57=""),"",IFERROR(O57/J57,""))</f>
        <v/>
      </c>
      <c r="Q57" s="46"/>
      <c r="R57" s="8" t="n">
        <f aca="false">N57*(Inputs!$D$16+(Inputs!$D$27-Inputs!$D$16)*E57)</f>
        <v>35000</v>
      </c>
      <c r="S57" s="8" t="str">
        <f aca="false">IF(OR(O57="",Q57="",J57=""),"",IFERROR(O57*Q57/J57,""))</f>
        <v/>
      </c>
      <c r="T57" s="7" t="str">
        <f aca="false">IF(S57="","",IFERROR(S57/R57-1,""))</f>
        <v/>
      </c>
      <c r="U57" s="8" t="n">
        <f aca="false">C57*(R57-Inputs!$D$19)*Inputs!$D$28</f>
        <v>21000</v>
      </c>
      <c r="V57" s="8" t="str">
        <f aca="false">IF(OR(C57=0,S57=""),"",(S57-Inputs!$D$19)*Inputs!$D$28)</f>
        <v/>
      </c>
      <c r="W57" s="45"/>
      <c r="X57" s="7" t="str">
        <f aca="false">IF(OR(W57="",G57=""),"",IFERROR(W57/G57,""))</f>
        <v/>
      </c>
      <c r="Y57" s="47"/>
    </row>
    <row r="58" customFormat="false" ht="15" hidden="false" customHeight="false" outlineLevel="0" collapsed="false">
      <c r="A58" s="44" t="n">
        <v>46347</v>
      </c>
      <c r="B58" s="20" t="str">
        <f aca="false">TEXT(A58,"ddd")</f>
        <v>Sat</v>
      </c>
      <c r="C58" s="6" t="n">
        <f aca="false">IF(A58&gt;=Inputs!$D$9,1,0)</f>
        <v>1</v>
      </c>
      <c r="D58" s="6" t="n">
        <f aca="false">IF(C58=1,A58-Inputs!$D$9+1,"")</f>
        <v>45</v>
      </c>
      <c r="E58" s="51" t="n">
        <f aca="false">IF(C58=1,MIN(1,D58/Inputs!$D$29),0)</f>
        <v>1</v>
      </c>
      <c r="F58" s="6" t="n">
        <f aca="false">Inputs!$D$13+(Inputs!$D$32-Inputs!$D$13)*E58</f>
        <v>300</v>
      </c>
      <c r="G58" s="45"/>
      <c r="H58" s="7" t="str">
        <f aca="false">IF(G58="","",IFERROR(G58/F58-1,""))</f>
        <v/>
      </c>
      <c r="I58" s="6" t="n">
        <f aca="false">Inputs!$D$14+(Inputs!$D$24-Inputs!$D$14)*E58</f>
        <v>250</v>
      </c>
      <c r="J58" s="45"/>
      <c r="K58" s="7" t="str">
        <f aca="false">IF(J58="","",IFERROR(J58/I58-1,""))</f>
        <v/>
      </c>
      <c r="L58" s="52" t="str">
        <f aca="false">IF(OR(G58="",J58=""),"",IFERROR(G58/J58,""))</f>
        <v/>
      </c>
      <c r="M58" s="53" t="str">
        <f aca="false">IF(OR(J58="",'Site Daily'!E58=""),"",IFERROR(J58/'Site Daily'!E58*1000,""))</f>
        <v/>
      </c>
      <c r="N58" s="53" t="n">
        <f aca="false">I58*(Inputs!$D$17+(Inputs!$D$26-Inputs!$D$17)*E58)</f>
        <v>50</v>
      </c>
      <c r="O58" s="45"/>
      <c r="P58" s="7" t="str">
        <f aca="false">IF(OR(O58="",J58=""),"",IFERROR(O58/J58,""))</f>
        <v/>
      </c>
      <c r="Q58" s="46"/>
      <c r="R58" s="8" t="n">
        <f aca="false">N58*(Inputs!$D$16+(Inputs!$D$27-Inputs!$D$16)*E58)</f>
        <v>35000</v>
      </c>
      <c r="S58" s="8" t="str">
        <f aca="false">IF(OR(O58="",Q58="",J58=""),"",IFERROR(O58*Q58/J58,""))</f>
        <v/>
      </c>
      <c r="T58" s="7" t="str">
        <f aca="false">IF(S58="","",IFERROR(S58/R58-1,""))</f>
        <v/>
      </c>
      <c r="U58" s="8" t="n">
        <f aca="false">C58*(R58-Inputs!$D$19)*Inputs!$D$28</f>
        <v>21000</v>
      </c>
      <c r="V58" s="8" t="str">
        <f aca="false">IF(OR(C58=0,S58=""),"",(S58-Inputs!$D$19)*Inputs!$D$28)</f>
        <v/>
      </c>
      <c r="W58" s="45"/>
      <c r="X58" s="7" t="str">
        <f aca="false">IF(OR(W58="",G58=""),"",IFERROR(W58/G58,""))</f>
        <v/>
      </c>
      <c r="Y58" s="47"/>
    </row>
    <row r="59" customFormat="false" ht="15" hidden="false" customHeight="false" outlineLevel="0" collapsed="false">
      <c r="A59" s="44" t="n">
        <v>46348</v>
      </c>
      <c r="B59" s="20" t="str">
        <f aca="false">TEXT(A59,"ddd")</f>
        <v>Sun</v>
      </c>
      <c r="C59" s="6" t="n">
        <f aca="false">IF(A59&gt;=Inputs!$D$9,1,0)</f>
        <v>1</v>
      </c>
      <c r="D59" s="6" t="n">
        <f aca="false">IF(C59=1,A59-Inputs!$D$9+1,"")</f>
        <v>46</v>
      </c>
      <c r="E59" s="51" t="n">
        <f aca="false">IF(C59=1,MIN(1,D59/Inputs!$D$29),0)</f>
        <v>1</v>
      </c>
      <c r="F59" s="6" t="n">
        <f aca="false">Inputs!$D$13+(Inputs!$D$32-Inputs!$D$13)*E59</f>
        <v>300</v>
      </c>
      <c r="G59" s="45"/>
      <c r="H59" s="7" t="str">
        <f aca="false">IF(G59="","",IFERROR(G59/F59-1,""))</f>
        <v/>
      </c>
      <c r="I59" s="6" t="n">
        <f aca="false">Inputs!$D$14+(Inputs!$D$24-Inputs!$D$14)*E59</f>
        <v>250</v>
      </c>
      <c r="J59" s="45"/>
      <c r="K59" s="7" t="str">
        <f aca="false">IF(J59="","",IFERROR(J59/I59-1,""))</f>
        <v/>
      </c>
      <c r="L59" s="52" t="str">
        <f aca="false">IF(OR(G59="",J59=""),"",IFERROR(G59/J59,""))</f>
        <v/>
      </c>
      <c r="M59" s="53" t="str">
        <f aca="false">IF(OR(J59="",'Site Daily'!E59=""),"",IFERROR(J59/'Site Daily'!E59*1000,""))</f>
        <v/>
      </c>
      <c r="N59" s="53" t="n">
        <f aca="false">I59*(Inputs!$D$17+(Inputs!$D$26-Inputs!$D$17)*E59)</f>
        <v>50</v>
      </c>
      <c r="O59" s="45"/>
      <c r="P59" s="7" t="str">
        <f aca="false">IF(OR(O59="",J59=""),"",IFERROR(O59/J59,""))</f>
        <v/>
      </c>
      <c r="Q59" s="46"/>
      <c r="R59" s="8" t="n">
        <f aca="false">N59*(Inputs!$D$16+(Inputs!$D$27-Inputs!$D$16)*E59)</f>
        <v>35000</v>
      </c>
      <c r="S59" s="8" t="str">
        <f aca="false">IF(OR(O59="",Q59="",J59=""),"",IFERROR(O59*Q59/J59,""))</f>
        <v/>
      </c>
      <c r="T59" s="7" t="str">
        <f aca="false">IF(S59="","",IFERROR(S59/R59-1,""))</f>
        <v/>
      </c>
      <c r="U59" s="8" t="n">
        <f aca="false">C59*(R59-Inputs!$D$19)*Inputs!$D$28</f>
        <v>21000</v>
      </c>
      <c r="V59" s="8" t="str">
        <f aca="false">IF(OR(C59=0,S59=""),"",(S59-Inputs!$D$19)*Inputs!$D$28)</f>
        <v/>
      </c>
      <c r="W59" s="45"/>
      <c r="X59" s="7" t="str">
        <f aca="false">IF(OR(W59="",G59=""),"",IFERROR(W59/G59,""))</f>
        <v/>
      </c>
      <c r="Y59" s="47"/>
    </row>
    <row r="60" customFormat="false" ht="15" hidden="false" customHeight="false" outlineLevel="0" collapsed="false">
      <c r="A60" s="44" t="n">
        <v>46349</v>
      </c>
      <c r="B60" s="20" t="str">
        <f aca="false">TEXT(A60,"ddd")</f>
        <v>Mon</v>
      </c>
      <c r="C60" s="6" t="n">
        <f aca="false">IF(A60&gt;=Inputs!$D$9,1,0)</f>
        <v>1</v>
      </c>
      <c r="D60" s="6" t="n">
        <f aca="false">IF(C60=1,A60-Inputs!$D$9+1,"")</f>
        <v>47</v>
      </c>
      <c r="E60" s="51" t="n">
        <f aca="false">IF(C60=1,MIN(1,D60/Inputs!$D$29),0)</f>
        <v>1</v>
      </c>
      <c r="F60" s="6" t="n">
        <f aca="false">Inputs!$D$13+(Inputs!$D$32-Inputs!$D$13)*E60</f>
        <v>300</v>
      </c>
      <c r="G60" s="45"/>
      <c r="H60" s="7" t="str">
        <f aca="false">IF(G60="","",IFERROR(G60/F60-1,""))</f>
        <v/>
      </c>
      <c r="I60" s="6" t="n">
        <f aca="false">Inputs!$D$14+(Inputs!$D$24-Inputs!$D$14)*E60</f>
        <v>250</v>
      </c>
      <c r="J60" s="45"/>
      <c r="K60" s="7" t="str">
        <f aca="false">IF(J60="","",IFERROR(J60/I60-1,""))</f>
        <v/>
      </c>
      <c r="L60" s="52" t="str">
        <f aca="false">IF(OR(G60="",J60=""),"",IFERROR(G60/J60,""))</f>
        <v/>
      </c>
      <c r="M60" s="53" t="str">
        <f aca="false">IF(OR(J60="",'Site Daily'!E60=""),"",IFERROR(J60/'Site Daily'!E60*1000,""))</f>
        <v/>
      </c>
      <c r="N60" s="53" t="n">
        <f aca="false">I60*(Inputs!$D$17+(Inputs!$D$26-Inputs!$D$17)*E60)</f>
        <v>50</v>
      </c>
      <c r="O60" s="45"/>
      <c r="P60" s="7" t="str">
        <f aca="false">IF(OR(O60="",J60=""),"",IFERROR(O60/J60,""))</f>
        <v/>
      </c>
      <c r="Q60" s="46"/>
      <c r="R60" s="8" t="n">
        <f aca="false">N60*(Inputs!$D$16+(Inputs!$D$27-Inputs!$D$16)*E60)</f>
        <v>35000</v>
      </c>
      <c r="S60" s="8" t="str">
        <f aca="false">IF(OR(O60="",Q60="",J60=""),"",IFERROR(O60*Q60/J60,""))</f>
        <v/>
      </c>
      <c r="T60" s="7" t="str">
        <f aca="false">IF(S60="","",IFERROR(S60/R60-1,""))</f>
        <v/>
      </c>
      <c r="U60" s="8" t="n">
        <f aca="false">C60*(R60-Inputs!$D$19)*Inputs!$D$28</f>
        <v>21000</v>
      </c>
      <c r="V60" s="8" t="str">
        <f aca="false">IF(OR(C60=0,S60=""),"",(S60-Inputs!$D$19)*Inputs!$D$28)</f>
        <v/>
      </c>
      <c r="W60" s="45"/>
      <c r="X60" s="7" t="str">
        <f aca="false">IF(OR(W60="",G60=""),"",IFERROR(W60/G60,""))</f>
        <v/>
      </c>
      <c r="Y60" s="47"/>
    </row>
    <row r="61" customFormat="false" ht="15" hidden="false" customHeight="false" outlineLevel="0" collapsed="false">
      <c r="A61" s="44" t="n">
        <v>46350</v>
      </c>
      <c r="B61" s="20" t="str">
        <f aca="false">TEXT(A61,"ddd")</f>
        <v>Tue</v>
      </c>
      <c r="C61" s="6" t="n">
        <f aca="false">IF(A61&gt;=Inputs!$D$9,1,0)</f>
        <v>1</v>
      </c>
      <c r="D61" s="6" t="n">
        <f aca="false">IF(C61=1,A61-Inputs!$D$9+1,"")</f>
        <v>48</v>
      </c>
      <c r="E61" s="51" t="n">
        <f aca="false">IF(C61=1,MIN(1,D61/Inputs!$D$29),0)</f>
        <v>1</v>
      </c>
      <c r="F61" s="6" t="n">
        <f aca="false">Inputs!$D$13+(Inputs!$D$32-Inputs!$D$13)*E61</f>
        <v>300</v>
      </c>
      <c r="G61" s="45"/>
      <c r="H61" s="7" t="str">
        <f aca="false">IF(G61="","",IFERROR(G61/F61-1,""))</f>
        <v/>
      </c>
      <c r="I61" s="6" t="n">
        <f aca="false">Inputs!$D$14+(Inputs!$D$24-Inputs!$D$14)*E61</f>
        <v>250</v>
      </c>
      <c r="J61" s="45"/>
      <c r="K61" s="7" t="str">
        <f aca="false">IF(J61="","",IFERROR(J61/I61-1,""))</f>
        <v/>
      </c>
      <c r="L61" s="52" t="str">
        <f aca="false">IF(OR(G61="",J61=""),"",IFERROR(G61/J61,""))</f>
        <v/>
      </c>
      <c r="M61" s="53" t="str">
        <f aca="false">IF(OR(J61="",'Site Daily'!E61=""),"",IFERROR(J61/'Site Daily'!E61*1000,""))</f>
        <v/>
      </c>
      <c r="N61" s="53" t="n">
        <f aca="false">I61*(Inputs!$D$17+(Inputs!$D$26-Inputs!$D$17)*E61)</f>
        <v>50</v>
      </c>
      <c r="O61" s="45"/>
      <c r="P61" s="7" t="str">
        <f aca="false">IF(OR(O61="",J61=""),"",IFERROR(O61/J61,""))</f>
        <v/>
      </c>
      <c r="Q61" s="46"/>
      <c r="R61" s="8" t="n">
        <f aca="false">N61*(Inputs!$D$16+(Inputs!$D$27-Inputs!$D$16)*E61)</f>
        <v>35000</v>
      </c>
      <c r="S61" s="8" t="str">
        <f aca="false">IF(OR(O61="",Q61="",J61=""),"",IFERROR(O61*Q61/J61,""))</f>
        <v/>
      </c>
      <c r="T61" s="7" t="str">
        <f aca="false">IF(S61="","",IFERROR(S61/R61-1,""))</f>
        <v/>
      </c>
      <c r="U61" s="8" t="n">
        <f aca="false">C61*(R61-Inputs!$D$19)*Inputs!$D$28</f>
        <v>21000</v>
      </c>
      <c r="V61" s="8" t="str">
        <f aca="false">IF(OR(C61=0,S61=""),"",(S61-Inputs!$D$19)*Inputs!$D$28)</f>
        <v/>
      </c>
      <c r="W61" s="45"/>
      <c r="X61" s="7" t="str">
        <f aca="false">IF(OR(W61="",G61=""),"",IFERROR(W61/G61,""))</f>
        <v/>
      </c>
      <c r="Y61" s="47"/>
    </row>
    <row r="62" customFormat="false" ht="15" hidden="false" customHeight="false" outlineLevel="0" collapsed="false">
      <c r="A62" s="44" t="n">
        <v>46351</v>
      </c>
      <c r="B62" s="20" t="str">
        <f aca="false">TEXT(A62,"ddd")</f>
        <v>Wed</v>
      </c>
      <c r="C62" s="6" t="n">
        <f aca="false">IF(A62&gt;=Inputs!$D$9,1,0)</f>
        <v>1</v>
      </c>
      <c r="D62" s="6" t="n">
        <f aca="false">IF(C62=1,A62-Inputs!$D$9+1,"")</f>
        <v>49</v>
      </c>
      <c r="E62" s="51" t="n">
        <f aca="false">IF(C62=1,MIN(1,D62/Inputs!$D$29),0)</f>
        <v>1</v>
      </c>
      <c r="F62" s="6" t="n">
        <f aca="false">Inputs!$D$13+(Inputs!$D$32-Inputs!$D$13)*E62</f>
        <v>300</v>
      </c>
      <c r="G62" s="45"/>
      <c r="H62" s="7" t="str">
        <f aca="false">IF(G62="","",IFERROR(G62/F62-1,""))</f>
        <v/>
      </c>
      <c r="I62" s="6" t="n">
        <f aca="false">Inputs!$D$14+(Inputs!$D$24-Inputs!$D$14)*E62</f>
        <v>250</v>
      </c>
      <c r="J62" s="45"/>
      <c r="K62" s="7" t="str">
        <f aca="false">IF(J62="","",IFERROR(J62/I62-1,""))</f>
        <v/>
      </c>
      <c r="L62" s="52" t="str">
        <f aca="false">IF(OR(G62="",J62=""),"",IFERROR(G62/J62,""))</f>
        <v/>
      </c>
      <c r="M62" s="53" t="str">
        <f aca="false">IF(OR(J62="",'Site Daily'!E62=""),"",IFERROR(J62/'Site Daily'!E62*1000,""))</f>
        <v/>
      </c>
      <c r="N62" s="53" t="n">
        <f aca="false">I62*(Inputs!$D$17+(Inputs!$D$26-Inputs!$D$17)*E62)</f>
        <v>50</v>
      </c>
      <c r="O62" s="45"/>
      <c r="P62" s="7" t="str">
        <f aca="false">IF(OR(O62="",J62=""),"",IFERROR(O62/J62,""))</f>
        <v/>
      </c>
      <c r="Q62" s="46"/>
      <c r="R62" s="8" t="n">
        <f aca="false">N62*(Inputs!$D$16+(Inputs!$D$27-Inputs!$D$16)*E62)</f>
        <v>35000</v>
      </c>
      <c r="S62" s="8" t="str">
        <f aca="false">IF(OR(O62="",Q62="",J62=""),"",IFERROR(O62*Q62/J62,""))</f>
        <v/>
      </c>
      <c r="T62" s="7" t="str">
        <f aca="false">IF(S62="","",IFERROR(S62/R62-1,""))</f>
        <v/>
      </c>
      <c r="U62" s="8" t="n">
        <f aca="false">C62*(R62-Inputs!$D$19)*Inputs!$D$28</f>
        <v>21000</v>
      </c>
      <c r="V62" s="8" t="str">
        <f aca="false">IF(OR(C62=0,S62=""),"",(S62-Inputs!$D$19)*Inputs!$D$28)</f>
        <v/>
      </c>
      <c r="W62" s="45"/>
      <c r="X62" s="7" t="str">
        <f aca="false">IF(OR(W62="",G62=""),"",IFERROR(W62/G62,""))</f>
        <v/>
      </c>
      <c r="Y62" s="47"/>
    </row>
    <row r="63" customFormat="false" ht="15" hidden="false" customHeight="false" outlineLevel="0" collapsed="false">
      <c r="A63" s="44" t="n">
        <v>46352</v>
      </c>
      <c r="B63" s="20" t="str">
        <f aca="false">TEXT(A63,"ddd")</f>
        <v>Thu</v>
      </c>
      <c r="C63" s="6" t="n">
        <f aca="false">IF(A63&gt;=Inputs!$D$9,1,0)</f>
        <v>1</v>
      </c>
      <c r="D63" s="6" t="n">
        <f aca="false">IF(C63=1,A63-Inputs!$D$9+1,"")</f>
        <v>50</v>
      </c>
      <c r="E63" s="51" t="n">
        <f aca="false">IF(C63=1,MIN(1,D63/Inputs!$D$29),0)</f>
        <v>1</v>
      </c>
      <c r="F63" s="6" t="n">
        <f aca="false">Inputs!$D$13+(Inputs!$D$32-Inputs!$D$13)*E63</f>
        <v>300</v>
      </c>
      <c r="G63" s="45"/>
      <c r="H63" s="7" t="str">
        <f aca="false">IF(G63="","",IFERROR(G63/F63-1,""))</f>
        <v/>
      </c>
      <c r="I63" s="6" t="n">
        <f aca="false">Inputs!$D$14+(Inputs!$D$24-Inputs!$D$14)*E63</f>
        <v>250</v>
      </c>
      <c r="J63" s="45"/>
      <c r="K63" s="7" t="str">
        <f aca="false">IF(J63="","",IFERROR(J63/I63-1,""))</f>
        <v/>
      </c>
      <c r="L63" s="52" t="str">
        <f aca="false">IF(OR(G63="",J63=""),"",IFERROR(G63/J63,""))</f>
        <v/>
      </c>
      <c r="M63" s="53" t="str">
        <f aca="false">IF(OR(J63="",'Site Daily'!E63=""),"",IFERROR(J63/'Site Daily'!E63*1000,""))</f>
        <v/>
      </c>
      <c r="N63" s="53" t="n">
        <f aca="false">I63*(Inputs!$D$17+(Inputs!$D$26-Inputs!$D$17)*E63)</f>
        <v>50</v>
      </c>
      <c r="O63" s="45"/>
      <c r="P63" s="7" t="str">
        <f aca="false">IF(OR(O63="",J63=""),"",IFERROR(O63/J63,""))</f>
        <v/>
      </c>
      <c r="Q63" s="46"/>
      <c r="R63" s="8" t="n">
        <f aca="false">N63*(Inputs!$D$16+(Inputs!$D$27-Inputs!$D$16)*E63)</f>
        <v>35000</v>
      </c>
      <c r="S63" s="8" t="str">
        <f aca="false">IF(OR(O63="",Q63="",J63=""),"",IFERROR(O63*Q63/J63,""))</f>
        <v/>
      </c>
      <c r="T63" s="7" t="str">
        <f aca="false">IF(S63="","",IFERROR(S63/R63-1,""))</f>
        <v/>
      </c>
      <c r="U63" s="8" t="n">
        <f aca="false">C63*(R63-Inputs!$D$19)*Inputs!$D$28</f>
        <v>21000</v>
      </c>
      <c r="V63" s="8" t="str">
        <f aca="false">IF(OR(C63=0,S63=""),"",(S63-Inputs!$D$19)*Inputs!$D$28)</f>
        <v/>
      </c>
      <c r="W63" s="45"/>
      <c r="X63" s="7" t="str">
        <f aca="false">IF(OR(W63="",G63=""),"",IFERROR(W63/G63,""))</f>
        <v/>
      </c>
      <c r="Y63" s="47"/>
    </row>
    <row r="64" customFormat="false" ht="15" hidden="false" customHeight="false" outlineLevel="0" collapsed="false">
      <c r="A64" s="44" t="n">
        <v>46353</v>
      </c>
      <c r="B64" s="20" t="str">
        <f aca="false">TEXT(A64,"ddd")</f>
        <v>Fri</v>
      </c>
      <c r="C64" s="6" t="n">
        <f aca="false">IF(A64&gt;=Inputs!$D$9,1,0)</f>
        <v>1</v>
      </c>
      <c r="D64" s="6" t="n">
        <f aca="false">IF(C64=1,A64-Inputs!$D$9+1,"")</f>
        <v>51</v>
      </c>
      <c r="E64" s="51" t="n">
        <f aca="false">IF(C64=1,MIN(1,D64/Inputs!$D$29),0)</f>
        <v>1</v>
      </c>
      <c r="F64" s="6" t="n">
        <f aca="false">Inputs!$D$13+(Inputs!$D$32-Inputs!$D$13)*E64</f>
        <v>300</v>
      </c>
      <c r="G64" s="45"/>
      <c r="H64" s="7" t="str">
        <f aca="false">IF(G64="","",IFERROR(G64/F64-1,""))</f>
        <v/>
      </c>
      <c r="I64" s="6" t="n">
        <f aca="false">Inputs!$D$14+(Inputs!$D$24-Inputs!$D$14)*E64</f>
        <v>250</v>
      </c>
      <c r="J64" s="45"/>
      <c r="K64" s="7" t="str">
        <f aca="false">IF(J64="","",IFERROR(J64/I64-1,""))</f>
        <v/>
      </c>
      <c r="L64" s="52" t="str">
        <f aca="false">IF(OR(G64="",J64=""),"",IFERROR(G64/J64,""))</f>
        <v/>
      </c>
      <c r="M64" s="53" t="str">
        <f aca="false">IF(OR(J64="",'Site Daily'!E64=""),"",IFERROR(J64/'Site Daily'!E64*1000,""))</f>
        <v/>
      </c>
      <c r="N64" s="53" t="n">
        <f aca="false">I64*(Inputs!$D$17+(Inputs!$D$26-Inputs!$D$17)*E64)</f>
        <v>50</v>
      </c>
      <c r="O64" s="45"/>
      <c r="P64" s="7" t="str">
        <f aca="false">IF(OR(O64="",J64=""),"",IFERROR(O64/J64,""))</f>
        <v/>
      </c>
      <c r="Q64" s="46"/>
      <c r="R64" s="8" t="n">
        <f aca="false">N64*(Inputs!$D$16+(Inputs!$D$27-Inputs!$D$16)*E64)</f>
        <v>35000</v>
      </c>
      <c r="S64" s="8" t="str">
        <f aca="false">IF(OR(O64="",Q64="",J64=""),"",IFERROR(O64*Q64/J64,""))</f>
        <v/>
      </c>
      <c r="T64" s="7" t="str">
        <f aca="false">IF(S64="","",IFERROR(S64/R64-1,""))</f>
        <v/>
      </c>
      <c r="U64" s="8" t="n">
        <f aca="false">C64*(R64-Inputs!$D$19)*Inputs!$D$28</f>
        <v>21000</v>
      </c>
      <c r="V64" s="8" t="str">
        <f aca="false">IF(OR(C64=0,S64=""),"",(S64-Inputs!$D$19)*Inputs!$D$28)</f>
        <v/>
      </c>
      <c r="W64" s="45"/>
      <c r="X64" s="7" t="str">
        <f aca="false">IF(OR(W64="",G64=""),"",IFERROR(W64/G64,""))</f>
        <v/>
      </c>
      <c r="Y64" s="47"/>
    </row>
    <row r="65" customFormat="false" ht="15" hidden="false" customHeight="false" outlineLevel="0" collapsed="false">
      <c r="A65" s="44" t="n">
        <v>46354</v>
      </c>
      <c r="B65" s="20" t="str">
        <f aca="false">TEXT(A65,"ddd")</f>
        <v>Sat</v>
      </c>
      <c r="C65" s="6" t="n">
        <f aca="false">IF(A65&gt;=Inputs!$D$9,1,0)</f>
        <v>1</v>
      </c>
      <c r="D65" s="6" t="n">
        <f aca="false">IF(C65=1,A65-Inputs!$D$9+1,"")</f>
        <v>52</v>
      </c>
      <c r="E65" s="51" t="n">
        <f aca="false">IF(C65=1,MIN(1,D65/Inputs!$D$29),0)</f>
        <v>1</v>
      </c>
      <c r="F65" s="6" t="n">
        <f aca="false">Inputs!$D$13+(Inputs!$D$32-Inputs!$D$13)*E65</f>
        <v>300</v>
      </c>
      <c r="G65" s="45"/>
      <c r="H65" s="7" t="str">
        <f aca="false">IF(G65="","",IFERROR(G65/F65-1,""))</f>
        <v/>
      </c>
      <c r="I65" s="6" t="n">
        <f aca="false">Inputs!$D$14+(Inputs!$D$24-Inputs!$D$14)*E65</f>
        <v>250</v>
      </c>
      <c r="J65" s="45"/>
      <c r="K65" s="7" t="str">
        <f aca="false">IF(J65="","",IFERROR(J65/I65-1,""))</f>
        <v/>
      </c>
      <c r="L65" s="52" t="str">
        <f aca="false">IF(OR(G65="",J65=""),"",IFERROR(G65/J65,""))</f>
        <v/>
      </c>
      <c r="M65" s="53" t="str">
        <f aca="false">IF(OR(J65="",'Site Daily'!E65=""),"",IFERROR(J65/'Site Daily'!E65*1000,""))</f>
        <v/>
      </c>
      <c r="N65" s="53" t="n">
        <f aca="false">I65*(Inputs!$D$17+(Inputs!$D$26-Inputs!$D$17)*E65)</f>
        <v>50</v>
      </c>
      <c r="O65" s="45"/>
      <c r="P65" s="7" t="str">
        <f aca="false">IF(OR(O65="",J65=""),"",IFERROR(O65/J65,""))</f>
        <v/>
      </c>
      <c r="Q65" s="46"/>
      <c r="R65" s="8" t="n">
        <f aca="false">N65*(Inputs!$D$16+(Inputs!$D$27-Inputs!$D$16)*E65)</f>
        <v>35000</v>
      </c>
      <c r="S65" s="8" t="str">
        <f aca="false">IF(OR(O65="",Q65="",J65=""),"",IFERROR(O65*Q65/J65,""))</f>
        <v/>
      </c>
      <c r="T65" s="7" t="str">
        <f aca="false">IF(S65="","",IFERROR(S65/R65-1,""))</f>
        <v/>
      </c>
      <c r="U65" s="8" t="n">
        <f aca="false">C65*(R65-Inputs!$D$19)*Inputs!$D$28</f>
        <v>21000</v>
      </c>
      <c r="V65" s="8" t="str">
        <f aca="false">IF(OR(C65=0,S65=""),"",(S65-Inputs!$D$19)*Inputs!$D$28)</f>
        <v/>
      </c>
      <c r="W65" s="45"/>
      <c r="X65" s="7" t="str">
        <f aca="false">IF(OR(W65="",G65=""),"",IFERROR(W65/G65,""))</f>
        <v/>
      </c>
      <c r="Y65" s="47"/>
    </row>
    <row r="66" customFormat="false" ht="15" hidden="false" customHeight="false" outlineLevel="0" collapsed="false">
      <c r="A66" s="44" t="n">
        <v>46355</v>
      </c>
      <c r="B66" s="20" t="str">
        <f aca="false">TEXT(A66,"ddd")</f>
        <v>Sun</v>
      </c>
      <c r="C66" s="6" t="n">
        <f aca="false">IF(A66&gt;=Inputs!$D$9,1,0)</f>
        <v>1</v>
      </c>
      <c r="D66" s="6" t="n">
        <f aca="false">IF(C66=1,A66-Inputs!$D$9+1,"")</f>
        <v>53</v>
      </c>
      <c r="E66" s="51" t="n">
        <f aca="false">IF(C66=1,MIN(1,D66/Inputs!$D$29),0)</f>
        <v>1</v>
      </c>
      <c r="F66" s="6" t="n">
        <f aca="false">Inputs!$D$13+(Inputs!$D$32-Inputs!$D$13)*E66</f>
        <v>300</v>
      </c>
      <c r="G66" s="45"/>
      <c r="H66" s="7" t="str">
        <f aca="false">IF(G66="","",IFERROR(G66/F66-1,""))</f>
        <v/>
      </c>
      <c r="I66" s="6" t="n">
        <f aca="false">Inputs!$D$14+(Inputs!$D$24-Inputs!$D$14)*E66</f>
        <v>250</v>
      </c>
      <c r="J66" s="45"/>
      <c r="K66" s="7" t="str">
        <f aca="false">IF(J66="","",IFERROR(J66/I66-1,""))</f>
        <v/>
      </c>
      <c r="L66" s="52" t="str">
        <f aca="false">IF(OR(G66="",J66=""),"",IFERROR(G66/J66,""))</f>
        <v/>
      </c>
      <c r="M66" s="53" t="str">
        <f aca="false">IF(OR(J66="",'Site Daily'!E66=""),"",IFERROR(J66/'Site Daily'!E66*1000,""))</f>
        <v/>
      </c>
      <c r="N66" s="53" t="n">
        <f aca="false">I66*(Inputs!$D$17+(Inputs!$D$26-Inputs!$D$17)*E66)</f>
        <v>50</v>
      </c>
      <c r="O66" s="45"/>
      <c r="P66" s="7" t="str">
        <f aca="false">IF(OR(O66="",J66=""),"",IFERROR(O66/J66,""))</f>
        <v/>
      </c>
      <c r="Q66" s="46"/>
      <c r="R66" s="8" t="n">
        <f aca="false">N66*(Inputs!$D$16+(Inputs!$D$27-Inputs!$D$16)*E66)</f>
        <v>35000</v>
      </c>
      <c r="S66" s="8" t="str">
        <f aca="false">IF(OR(O66="",Q66="",J66=""),"",IFERROR(O66*Q66/J66,""))</f>
        <v/>
      </c>
      <c r="T66" s="7" t="str">
        <f aca="false">IF(S66="","",IFERROR(S66/R66-1,""))</f>
        <v/>
      </c>
      <c r="U66" s="8" t="n">
        <f aca="false">C66*(R66-Inputs!$D$19)*Inputs!$D$28</f>
        <v>21000</v>
      </c>
      <c r="V66" s="8" t="str">
        <f aca="false">IF(OR(C66=0,S66=""),"",(S66-Inputs!$D$19)*Inputs!$D$28)</f>
        <v/>
      </c>
      <c r="W66" s="45"/>
      <c r="X66" s="7" t="str">
        <f aca="false">IF(OR(W66="",G66=""),"",IFERROR(W66/G66,""))</f>
        <v/>
      </c>
      <c r="Y66" s="47"/>
    </row>
    <row r="67" customFormat="false" ht="15" hidden="false" customHeight="false" outlineLevel="0" collapsed="false">
      <c r="A67" s="44" t="n">
        <v>46356</v>
      </c>
      <c r="B67" s="20" t="str">
        <f aca="false">TEXT(A67,"ddd")</f>
        <v>Mon</v>
      </c>
      <c r="C67" s="6" t="n">
        <f aca="false">IF(A67&gt;=Inputs!$D$9,1,0)</f>
        <v>1</v>
      </c>
      <c r="D67" s="6" t="n">
        <f aca="false">IF(C67=1,A67-Inputs!$D$9+1,"")</f>
        <v>54</v>
      </c>
      <c r="E67" s="51" t="n">
        <f aca="false">IF(C67=1,MIN(1,D67/Inputs!$D$29),0)</f>
        <v>1</v>
      </c>
      <c r="F67" s="6" t="n">
        <f aca="false">Inputs!$D$13+(Inputs!$D$32-Inputs!$D$13)*E67</f>
        <v>300</v>
      </c>
      <c r="G67" s="45"/>
      <c r="H67" s="7" t="str">
        <f aca="false">IF(G67="","",IFERROR(G67/F67-1,""))</f>
        <v/>
      </c>
      <c r="I67" s="6" t="n">
        <f aca="false">Inputs!$D$14+(Inputs!$D$24-Inputs!$D$14)*E67</f>
        <v>250</v>
      </c>
      <c r="J67" s="45"/>
      <c r="K67" s="7" t="str">
        <f aca="false">IF(J67="","",IFERROR(J67/I67-1,""))</f>
        <v/>
      </c>
      <c r="L67" s="52" t="str">
        <f aca="false">IF(OR(G67="",J67=""),"",IFERROR(G67/J67,""))</f>
        <v/>
      </c>
      <c r="M67" s="53" t="str">
        <f aca="false">IF(OR(J67="",'Site Daily'!E67=""),"",IFERROR(J67/'Site Daily'!E67*1000,""))</f>
        <v/>
      </c>
      <c r="N67" s="53" t="n">
        <f aca="false">I67*(Inputs!$D$17+(Inputs!$D$26-Inputs!$D$17)*E67)</f>
        <v>50</v>
      </c>
      <c r="O67" s="45"/>
      <c r="P67" s="7" t="str">
        <f aca="false">IF(OR(O67="",J67=""),"",IFERROR(O67/J67,""))</f>
        <v/>
      </c>
      <c r="Q67" s="46"/>
      <c r="R67" s="8" t="n">
        <f aca="false">N67*(Inputs!$D$16+(Inputs!$D$27-Inputs!$D$16)*E67)</f>
        <v>35000</v>
      </c>
      <c r="S67" s="8" t="str">
        <f aca="false">IF(OR(O67="",Q67="",J67=""),"",IFERROR(O67*Q67/J67,""))</f>
        <v/>
      </c>
      <c r="T67" s="7" t="str">
        <f aca="false">IF(S67="","",IFERROR(S67/R67-1,""))</f>
        <v/>
      </c>
      <c r="U67" s="8" t="n">
        <f aca="false">C67*(R67-Inputs!$D$19)*Inputs!$D$28</f>
        <v>21000</v>
      </c>
      <c r="V67" s="8" t="str">
        <f aca="false">IF(OR(C67=0,S67=""),"",(S67-Inputs!$D$19)*Inputs!$D$28)</f>
        <v/>
      </c>
      <c r="W67" s="45"/>
      <c r="X67" s="7" t="str">
        <f aca="false">IF(OR(W67="",G67=""),"",IFERROR(W67/G67,""))</f>
        <v/>
      </c>
      <c r="Y67" s="47"/>
    </row>
    <row r="68" customFormat="false" ht="15" hidden="false" customHeight="false" outlineLevel="0" collapsed="false">
      <c r="A68" s="44" t="n">
        <v>46357</v>
      </c>
      <c r="B68" s="20" t="str">
        <f aca="false">TEXT(A68,"ddd")</f>
        <v>Tue</v>
      </c>
      <c r="C68" s="6" t="n">
        <f aca="false">IF(A68&gt;=Inputs!$D$9,1,0)</f>
        <v>1</v>
      </c>
      <c r="D68" s="6" t="n">
        <f aca="false">IF(C68=1,A68-Inputs!$D$9+1,"")</f>
        <v>55</v>
      </c>
      <c r="E68" s="51" t="n">
        <f aca="false">IF(C68=1,MIN(1,D68/Inputs!$D$29),0)</f>
        <v>1</v>
      </c>
      <c r="F68" s="6" t="n">
        <f aca="false">Inputs!$D$13+(Inputs!$D$32-Inputs!$D$13)*E68</f>
        <v>300</v>
      </c>
      <c r="G68" s="45"/>
      <c r="H68" s="7" t="str">
        <f aca="false">IF(G68="","",IFERROR(G68/F68-1,""))</f>
        <v/>
      </c>
      <c r="I68" s="6" t="n">
        <f aca="false">Inputs!$D$14+(Inputs!$D$24-Inputs!$D$14)*E68</f>
        <v>250</v>
      </c>
      <c r="J68" s="45"/>
      <c r="K68" s="7" t="str">
        <f aca="false">IF(J68="","",IFERROR(J68/I68-1,""))</f>
        <v/>
      </c>
      <c r="L68" s="52" t="str">
        <f aca="false">IF(OR(G68="",J68=""),"",IFERROR(G68/J68,""))</f>
        <v/>
      </c>
      <c r="M68" s="53" t="str">
        <f aca="false">IF(OR(J68="",'Site Daily'!E68=""),"",IFERROR(J68/'Site Daily'!E68*1000,""))</f>
        <v/>
      </c>
      <c r="N68" s="53" t="n">
        <f aca="false">I68*(Inputs!$D$17+(Inputs!$D$26-Inputs!$D$17)*E68)</f>
        <v>50</v>
      </c>
      <c r="O68" s="45"/>
      <c r="P68" s="7" t="str">
        <f aca="false">IF(OR(O68="",J68=""),"",IFERROR(O68/J68,""))</f>
        <v/>
      </c>
      <c r="Q68" s="46"/>
      <c r="R68" s="8" t="n">
        <f aca="false">N68*(Inputs!$D$16+(Inputs!$D$27-Inputs!$D$16)*E68)</f>
        <v>35000</v>
      </c>
      <c r="S68" s="8" t="str">
        <f aca="false">IF(OR(O68="",Q68="",J68=""),"",IFERROR(O68*Q68/J68,""))</f>
        <v/>
      </c>
      <c r="T68" s="7" t="str">
        <f aca="false">IF(S68="","",IFERROR(S68/R68-1,""))</f>
        <v/>
      </c>
      <c r="U68" s="8" t="n">
        <f aca="false">C68*(R68-Inputs!$D$19)*Inputs!$D$28</f>
        <v>21000</v>
      </c>
      <c r="V68" s="8" t="str">
        <f aca="false">IF(OR(C68=0,S68=""),"",(S68-Inputs!$D$19)*Inputs!$D$28)</f>
        <v/>
      </c>
      <c r="W68" s="45"/>
      <c r="X68" s="7" t="str">
        <f aca="false">IF(OR(W68="",G68=""),"",IFERROR(W68/G68,""))</f>
        <v/>
      </c>
      <c r="Y68" s="47"/>
    </row>
    <row r="69" customFormat="false" ht="15" hidden="false" customHeight="false" outlineLevel="0" collapsed="false">
      <c r="A69" s="44" t="n">
        <v>46358</v>
      </c>
      <c r="B69" s="20" t="str">
        <f aca="false">TEXT(A69,"ddd")</f>
        <v>Wed</v>
      </c>
      <c r="C69" s="6" t="n">
        <f aca="false">IF(A69&gt;=Inputs!$D$9,1,0)</f>
        <v>1</v>
      </c>
      <c r="D69" s="6" t="n">
        <f aca="false">IF(C69=1,A69-Inputs!$D$9+1,"")</f>
        <v>56</v>
      </c>
      <c r="E69" s="51" t="n">
        <f aca="false">IF(C69=1,MIN(1,D69/Inputs!$D$29),0)</f>
        <v>1</v>
      </c>
      <c r="F69" s="6" t="n">
        <f aca="false">Inputs!$D$13+(Inputs!$D$32-Inputs!$D$13)*E69</f>
        <v>300</v>
      </c>
      <c r="G69" s="45"/>
      <c r="H69" s="7" t="str">
        <f aca="false">IF(G69="","",IFERROR(G69/F69-1,""))</f>
        <v/>
      </c>
      <c r="I69" s="6" t="n">
        <f aca="false">Inputs!$D$14+(Inputs!$D$24-Inputs!$D$14)*E69</f>
        <v>250</v>
      </c>
      <c r="J69" s="45"/>
      <c r="K69" s="7" t="str">
        <f aca="false">IF(J69="","",IFERROR(J69/I69-1,""))</f>
        <v/>
      </c>
      <c r="L69" s="52" t="str">
        <f aca="false">IF(OR(G69="",J69=""),"",IFERROR(G69/J69,""))</f>
        <v/>
      </c>
      <c r="M69" s="53" t="str">
        <f aca="false">IF(OR(J69="",'Site Daily'!E69=""),"",IFERROR(J69/'Site Daily'!E69*1000,""))</f>
        <v/>
      </c>
      <c r="N69" s="53" t="n">
        <f aca="false">I69*(Inputs!$D$17+(Inputs!$D$26-Inputs!$D$17)*E69)</f>
        <v>50</v>
      </c>
      <c r="O69" s="45"/>
      <c r="P69" s="7" t="str">
        <f aca="false">IF(OR(O69="",J69=""),"",IFERROR(O69/J69,""))</f>
        <v/>
      </c>
      <c r="Q69" s="46"/>
      <c r="R69" s="8" t="n">
        <f aca="false">N69*(Inputs!$D$16+(Inputs!$D$27-Inputs!$D$16)*E69)</f>
        <v>35000</v>
      </c>
      <c r="S69" s="8" t="str">
        <f aca="false">IF(OR(O69="",Q69="",J69=""),"",IFERROR(O69*Q69/J69,""))</f>
        <v/>
      </c>
      <c r="T69" s="7" t="str">
        <f aca="false">IF(S69="","",IFERROR(S69/R69-1,""))</f>
        <v/>
      </c>
      <c r="U69" s="8" t="n">
        <f aca="false">C69*(R69-Inputs!$D$19)*Inputs!$D$28</f>
        <v>21000</v>
      </c>
      <c r="V69" s="8" t="str">
        <f aca="false">IF(OR(C69=0,S69=""),"",(S69-Inputs!$D$19)*Inputs!$D$28)</f>
        <v/>
      </c>
      <c r="W69" s="45"/>
      <c r="X69" s="7" t="str">
        <f aca="false">IF(OR(W69="",G69=""),"",IFERROR(W69/G69,""))</f>
        <v/>
      </c>
      <c r="Y69" s="47"/>
    </row>
    <row r="70" customFormat="false" ht="15" hidden="false" customHeight="false" outlineLevel="0" collapsed="false">
      <c r="A70" s="44" t="n">
        <v>46359</v>
      </c>
      <c r="B70" s="20" t="str">
        <f aca="false">TEXT(A70,"ddd")</f>
        <v>Thu</v>
      </c>
      <c r="C70" s="6" t="n">
        <f aca="false">IF(A70&gt;=Inputs!$D$9,1,0)</f>
        <v>1</v>
      </c>
      <c r="D70" s="6" t="n">
        <f aca="false">IF(C70=1,A70-Inputs!$D$9+1,"")</f>
        <v>57</v>
      </c>
      <c r="E70" s="51" t="n">
        <f aca="false">IF(C70=1,MIN(1,D70/Inputs!$D$29),0)</f>
        <v>1</v>
      </c>
      <c r="F70" s="6" t="n">
        <f aca="false">Inputs!$D$13+(Inputs!$D$32-Inputs!$D$13)*E70</f>
        <v>300</v>
      </c>
      <c r="G70" s="45"/>
      <c r="H70" s="7" t="str">
        <f aca="false">IF(G70="","",IFERROR(G70/F70-1,""))</f>
        <v/>
      </c>
      <c r="I70" s="6" t="n">
        <f aca="false">Inputs!$D$14+(Inputs!$D$24-Inputs!$D$14)*E70</f>
        <v>250</v>
      </c>
      <c r="J70" s="45"/>
      <c r="K70" s="7" t="str">
        <f aca="false">IF(J70="","",IFERROR(J70/I70-1,""))</f>
        <v/>
      </c>
      <c r="L70" s="52" t="str">
        <f aca="false">IF(OR(G70="",J70=""),"",IFERROR(G70/J70,""))</f>
        <v/>
      </c>
      <c r="M70" s="53" t="str">
        <f aca="false">IF(OR(J70="",'Site Daily'!E70=""),"",IFERROR(J70/'Site Daily'!E70*1000,""))</f>
        <v/>
      </c>
      <c r="N70" s="53" t="n">
        <f aca="false">I70*(Inputs!$D$17+(Inputs!$D$26-Inputs!$D$17)*E70)</f>
        <v>50</v>
      </c>
      <c r="O70" s="45"/>
      <c r="P70" s="7" t="str">
        <f aca="false">IF(OR(O70="",J70=""),"",IFERROR(O70/J70,""))</f>
        <v/>
      </c>
      <c r="Q70" s="46"/>
      <c r="R70" s="8" t="n">
        <f aca="false">N70*(Inputs!$D$16+(Inputs!$D$27-Inputs!$D$16)*E70)</f>
        <v>35000</v>
      </c>
      <c r="S70" s="8" t="str">
        <f aca="false">IF(OR(O70="",Q70="",J70=""),"",IFERROR(O70*Q70/J70,""))</f>
        <v/>
      </c>
      <c r="T70" s="7" t="str">
        <f aca="false">IF(S70="","",IFERROR(S70/R70-1,""))</f>
        <v/>
      </c>
      <c r="U70" s="8" t="n">
        <f aca="false">C70*(R70-Inputs!$D$19)*Inputs!$D$28</f>
        <v>21000</v>
      </c>
      <c r="V70" s="8" t="str">
        <f aca="false">IF(OR(C70=0,S70=""),"",(S70-Inputs!$D$19)*Inputs!$D$28)</f>
        <v/>
      </c>
      <c r="W70" s="45"/>
      <c r="X70" s="7" t="str">
        <f aca="false">IF(OR(W70="",G70=""),"",IFERROR(W70/G70,""))</f>
        <v/>
      </c>
      <c r="Y70" s="47"/>
    </row>
    <row r="71" customFormat="false" ht="15" hidden="false" customHeight="false" outlineLevel="0" collapsed="false">
      <c r="A71" s="44" t="n">
        <v>46360</v>
      </c>
      <c r="B71" s="20" t="str">
        <f aca="false">TEXT(A71,"ddd")</f>
        <v>Fri</v>
      </c>
      <c r="C71" s="6" t="n">
        <f aca="false">IF(A71&gt;=Inputs!$D$9,1,0)</f>
        <v>1</v>
      </c>
      <c r="D71" s="6" t="n">
        <f aca="false">IF(C71=1,A71-Inputs!$D$9+1,"")</f>
        <v>58</v>
      </c>
      <c r="E71" s="51" t="n">
        <f aca="false">IF(C71=1,MIN(1,D71/Inputs!$D$29),0)</f>
        <v>1</v>
      </c>
      <c r="F71" s="6" t="n">
        <f aca="false">Inputs!$D$13+(Inputs!$D$32-Inputs!$D$13)*E71</f>
        <v>300</v>
      </c>
      <c r="G71" s="45"/>
      <c r="H71" s="7" t="str">
        <f aca="false">IF(G71="","",IFERROR(G71/F71-1,""))</f>
        <v/>
      </c>
      <c r="I71" s="6" t="n">
        <f aca="false">Inputs!$D$14+(Inputs!$D$24-Inputs!$D$14)*E71</f>
        <v>250</v>
      </c>
      <c r="J71" s="45"/>
      <c r="K71" s="7" t="str">
        <f aca="false">IF(J71="","",IFERROR(J71/I71-1,""))</f>
        <v/>
      </c>
      <c r="L71" s="52" t="str">
        <f aca="false">IF(OR(G71="",J71=""),"",IFERROR(G71/J71,""))</f>
        <v/>
      </c>
      <c r="M71" s="53" t="str">
        <f aca="false">IF(OR(J71="",'Site Daily'!E71=""),"",IFERROR(J71/'Site Daily'!E71*1000,""))</f>
        <v/>
      </c>
      <c r="N71" s="53" t="n">
        <f aca="false">I71*(Inputs!$D$17+(Inputs!$D$26-Inputs!$D$17)*E71)</f>
        <v>50</v>
      </c>
      <c r="O71" s="45"/>
      <c r="P71" s="7" t="str">
        <f aca="false">IF(OR(O71="",J71=""),"",IFERROR(O71/J71,""))</f>
        <v/>
      </c>
      <c r="Q71" s="46"/>
      <c r="R71" s="8" t="n">
        <f aca="false">N71*(Inputs!$D$16+(Inputs!$D$27-Inputs!$D$16)*E71)</f>
        <v>35000</v>
      </c>
      <c r="S71" s="8" t="str">
        <f aca="false">IF(OR(O71="",Q71="",J71=""),"",IFERROR(O71*Q71/J71,""))</f>
        <v/>
      </c>
      <c r="T71" s="7" t="str">
        <f aca="false">IF(S71="","",IFERROR(S71/R71-1,""))</f>
        <v/>
      </c>
      <c r="U71" s="8" t="n">
        <f aca="false">C71*(R71-Inputs!$D$19)*Inputs!$D$28</f>
        <v>21000</v>
      </c>
      <c r="V71" s="8" t="str">
        <f aca="false">IF(OR(C71=0,S71=""),"",(S71-Inputs!$D$19)*Inputs!$D$28)</f>
        <v/>
      </c>
      <c r="W71" s="45"/>
      <c r="X71" s="7" t="str">
        <f aca="false">IF(OR(W71="",G71=""),"",IFERROR(W71/G71,""))</f>
        <v/>
      </c>
      <c r="Y71" s="47"/>
    </row>
    <row r="72" customFormat="false" ht="15" hidden="false" customHeight="false" outlineLevel="0" collapsed="false">
      <c r="A72" s="44" t="n">
        <v>46361</v>
      </c>
      <c r="B72" s="20" t="str">
        <f aca="false">TEXT(A72,"ddd")</f>
        <v>Sat</v>
      </c>
      <c r="C72" s="6" t="n">
        <f aca="false">IF(A72&gt;=Inputs!$D$9,1,0)</f>
        <v>1</v>
      </c>
      <c r="D72" s="6" t="n">
        <f aca="false">IF(C72=1,A72-Inputs!$D$9+1,"")</f>
        <v>59</v>
      </c>
      <c r="E72" s="51" t="n">
        <f aca="false">IF(C72=1,MIN(1,D72/Inputs!$D$29),0)</f>
        <v>1</v>
      </c>
      <c r="F72" s="6" t="n">
        <f aca="false">Inputs!$D$13+(Inputs!$D$32-Inputs!$D$13)*E72</f>
        <v>300</v>
      </c>
      <c r="G72" s="45"/>
      <c r="H72" s="7" t="str">
        <f aca="false">IF(G72="","",IFERROR(G72/F72-1,""))</f>
        <v/>
      </c>
      <c r="I72" s="6" t="n">
        <f aca="false">Inputs!$D$14+(Inputs!$D$24-Inputs!$D$14)*E72</f>
        <v>250</v>
      </c>
      <c r="J72" s="45"/>
      <c r="K72" s="7" t="str">
        <f aca="false">IF(J72="","",IFERROR(J72/I72-1,""))</f>
        <v/>
      </c>
      <c r="L72" s="52" t="str">
        <f aca="false">IF(OR(G72="",J72=""),"",IFERROR(G72/J72,""))</f>
        <v/>
      </c>
      <c r="M72" s="53" t="str">
        <f aca="false">IF(OR(J72="",'Site Daily'!E72=""),"",IFERROR(J72/'Site Daily'!E72*1000,""))</f>
        <v/>
      </c>
      <c r="N72" s="53" t="n">
        <f aca="false">I72*(Inputs!$D$17+(Inputs!$D$26-Inputs!$D$17)*E72)</f>
        <v>50</v>
      </c>
      <c r="O72" s="45"/>
      <c r="P72" s="7" t="str">
        <f aca="false">IF(OR(O72="",J72=""),"",IFERROR(O72/J72,""))</f>
        <v/>
      </c>
      <c r="Q72" s="46"/>
      <c r="R72" s="8" t="n">
        <f aca="false">N72*(Inputs!$D$16+(Inputs!$D$27-Inputs!$D$16)*E72)</f>
        <v>35000</v>
      </c>
      <c r="S72" s="8" t="str">
        <f aca="false">IF(OR(O72="",Q72="",J72=""),"",IFERROR(O72*Q72/J72,""))</f>
        <v/>
      </c>
      <c r="T72" s="7" t="str">
        <f aca="false">IF(S72="","",IFERROR(S72/R72-1,""))</f>
        <v/>
      </c>
      <c r="U72" s="8" t="n">
        <f aca="false">C72*(R72-Inputs!$D$19)*Inputs!$D$28</f>
        <v>21000</v>
      </c>
      <c r="V72" s="8" t="str">
        <f aca="false">IF(OR(C72=0,S72=""),"",(S72-Inputs!$D$19)*Inputs!$D$28)</f>
        <v/>
      </c>
      <c r="W72" s="45"/>
      <c r="X72" s="7" t="str">
        <f aca="false">IF(OR(W72="",G72=""),"",IFERROR(W72/G72,""))</f>
        <v/>
      </c>
      <c r="Y72" s="47"/>
    </row>
    <row r="73" customFormat="false" ht="15" hidden="false" customHeight="false" outlineLevel="0" collapsed="false">
      <c r="A73" s="44" t="n">
        <v>46362</v>
      </c>
      <c r="B73" s="20" t="str">
        <f aca="false">TEXT(A73,"ddd")</f>
        <v>Sun</v>
      </c>
      <c r="C73" s="6" t="n">
        <f aca="false">IF(A73&gt;=Inputs!$D$9,1,0)</f>
        <v>1</v>
      </c>
      <c r="D73" s="6" t="n">
        <f aca="false">IF(C73=1,A73-Inputs!$D$9+1,"")</f>
        <v>60</v>
      </c>
      <c r="E73" s="51" t="n">
        <f aca="false">IF(C73=1,MIN(1,D73/Inputs!$D$29),0)</f>
        <v>1</v>
      </c>
      <c r="F73" s="6" t="n">
        <f aca="false">Inputs!$D$13+(Inputs!$D$32-Inputs!$D$13)*E73</f>
        <v>300</v>
      </c>
      <c r="G73" s="45"/>
      <c r="H73" s="7" t="str">
        <f aca="false">IF(G73="","",IFERROR(G73/F73-1,""))</f>
        <v/>
      </c>
      <c r="I73" s="6" t="n">
        <f aca="false">Inputs!$D$14+(Inputs!$D$24-Inputs!$D$14)*E73</f>
        <v>250</v>
      </c>
      <c r="J73" s="45"/>
      <c r="K73" s="7" t="str">
        <f aca="false">IF(J73="","",IFERROR(J73/I73-1,""))</f>
        <v/>
      </c>
      <c r="L73" s="52" t="str">
        <f aca="false">IF(OR(G73="",J73=""),"",IFERROR(G73/J73,""))</f>
        <v/>
      </c>
      <c r="M73" s="53" t="str">
        <f aca="false">IF(OR(J73="",'Site Daily'!E73=""),"",IFERROR(J73/'Site Daily'!E73*1000,""))</f>
        <v/>
      </c>
      <c r="N73" s="53" t="n">
        <f aca="false">I73*(Inputs!$D$17+(Inputs!$D$26-Inputs!$D$17)*E73)</f>
        <v>50</v>
      </c>
      <c r="O73" s="45"/>
      <c r="P73" s="7" t="str">
        <f aca="false">IF(OR(O73="",J73=""),"",IFERROR(O73/J73,""))</f>
        <v/>
      </c>
      <c r="Q73" s="46"/>
      <c r="R73" s="8" t="n">
        <f aca="false">N73*(Inputs!$D$16+(Inputs!$D$27-Inputs!$D$16)*E73)</f>
        <v>35000</v>
      </c>
      <c r="S73" s="8" t="str">
        <f aca="false">IF(OR(O73="",Q73="",J73=""),"",IFERROR(O73*Q73/J73,""))</f>
        <v/>
      </c>
      <c r="T73" s="7" t="str">
        <f aca="false">IF(S73="","",IFERROR(S73/R73-1,""))</f>
        <v/>
      </c>
      <c r="U73" s="8" t="n">
        <f aca="false">C73*(R73-Inputs!$D$19)*Inputs!$D$28</f>
        <v>21000</v>
      </c>
      <c r="V73" s="8" t="str">
        <f aca="false">IF(OR(C73=0,S73=""),"",(S73-Inputs!$D$19)*Inputs!$D$28)</f>
        <v/>
      </c>
      <c r="W73" s="45"/>
      <c r="X73" s="7" t="str">
        <f aca="false">IF(OR(W73="",G73=""),"",IFERROR(W73/G73,""))</f>
        <v/>
      </c>
      <c r="Y73" s="47"/>
    </row>
    <row r="74" customFormat="false" ht="15" hidden="false" customHeight="false" outlineLevel="0" collapsed="false">
      <c r="A74" s="44" t="n">
        <v>46363</v>
      </c>
      <c r="B74" s="20" t="str">
        <f aca="false">TEXT(A74,"ddd")</f>
        <v>Mon</v>
      </c>
      <c r="C74" s="6" t="n">
        <f aca="false">IF(A74&gt;=Inputs!$D$9,1,0)</f>
        <v>1</v>
      </c>
      <c r="D74" s="6" t="n">
        <f aca="false">IF(C74=1,A74-Inputs!$D$9+1,"")</f>
        <v>61</v>
      </c>
      <c r="E74" s="51" t="n">
        <f aca="false">IF(C74=1,MIN(1,D74/Inputs!$D$29),0)</f>
        <v>1</v>
      </c>
      <c r="F74" s="6" t="n">
        <f aca="false">Inputs!$D$13+(Inputs!$D$32-Inputs!$D$13)*E74</f>
        <v>300</v>
      </c>
      <c r="G74" s="45"/>
      <c r="H74" s="7" t="str">
        <f aca="false">IF(G74="","",IFERROR(G74/F74-1,""))</f>
        <v/>
      </c>
      <c r="I74" s="6" t="n">
        <f aca="false">Inputs!$D$14+(Inputs!$D$24-Inputs!$D$14)*E74</f>
        <v>250</v>
      </c>
      <c r="J74" s="45"/>
      <c r="K74" s="7" t="str">
        <f aca="false">IF(J74="","",IFERROR(J74/I74-1,""))</f>
        <v/>
      </c>
      <c r="L74" s="52" t="str">
        <f aca="false">IF(OR(G74="",J74=""),"",IFERROR(G74/J74,""))</f>
        <v/>
      </c>
      <c r="M74" s="53" t="str">
        <f aca="false">IF(OR(J74="",'Site Daily'!E74=""),"",IFERROR(J74/'Site Daily'!E74*1000,""))</f>
        <v/>
      </c>
      <c r="N74" s="53" t="n">
        <f aca="false">I74*(Inputs!$D$17+(Inputs!$D$26-Inputs!$D$17)*E74)</f>
        <v>50</v>
      </c>
      <c r="O74" s="45"/>
      <c r="P74" s="7" t="str">
        <f aca="false">IF(OR(O74="",J74=""),"",IFERROR(O74/J74,""))</f>
        <v/>
      </c>
      <c r="Q74" s="46"/>
      <c r="R74" s="8" t="n">
        <f aca="false">N74*(Inputs!$D$16+(Inputs!$D$27-Inputs!$D$16)*E74)</f>
        <v>35000</v>
      </c>
      <c r="S74" s="8" t="str">
        <f aca="false">IF(OR(O74="",Q74="",J74=""),"",IFERROR(O74*Q74/J74,""))</f>
        <v/>
      </c>
      <c r="T74" s="7" t="str">
        <f aca="false">IF(S74="","",IFERROR(S74/R74-1,""))</f>
        <v/>
      </c>
      <c r="U74" s="8" t="n">
        <f aca="false">C74*(R74-Inputs!$D$19)*Inputs!$D$28</f>
        <v>21000</v>
      </c>
      <c r="V74" s="8" t="str">
        <f aca="false">IF(OR(C74=0,S74=""),"",(S74-Inputs!$D$19)*Inputs!$D$28)</f>
        <v/>
      </c>
      <c r="W74" s="45"/>
      <c r="X74" s="7" t="str">
        <f aca="false">IF(OR(W74="",G74=""),"",IFERROR(W74/G74,""))</f>
        <v/>
      </c>
      <c r="Y74" s="47"/>
    </row>
    <row r="75" customFormat="false" ht="15" hidden="false" customHeight="false" outlineLevel="0" collapsed="false">
      <c r="A75" s="44" t="n">
        <v>46364</v>
      </c>
      <c r="B75" s="20" t="str">
        <f aca="false">TEXT(A75,"ddd")</f>
        <v>Tue</v>
      </c>
      <c r="C75" s="6" t="n">
        <f aca="false">IF(A75&gt;=Inputs!$D$9,1,0)</f>
        <v>1</v>
      </c>
      <c r="D75" s="6" t="n">
        <f aca="false">IF(C75=1,A75-Inputs!$D$9+1,"")</f>
        <v>62</v>
      </c>
      <c r="E75" s="51" t="n">
        <f aca="false">IF(C75=1,MIN(1,D75/Inputs!$D$29),0)</f>
        <v>1</v>
      </c>
      <c r="F75" s="6" t="n">
        <f aca="false">Inputs!$D$13+(Inputs!$D$32-Inputs!$D$13)*E75</f>
        <v>300</v>
      </c>
      <c r="G75" s="45"/>
      <c r="H75" s="7" t="str">
        <f aca="false">IF(G75="","",IFERROR(G75/F75-1,""))</f>
        <v/>
      </c>
      <c r="I75" s="6" t="n">
        <f aca="false">Inputs!$D$14+(Inputs!$D$24-Inputs!$D$14)*E75</f>
        <v>250</v>
      </c>
      <c r="J75" s="45"/>
      <c r="K75" s="7" t="str">
        <f aca="false">IF(J75="","",IFERROR(J75/I75-1,""))</f>
        <v/>
      </c>
      <c r="L75" s="52" t="str">
        <f aca="false">IF(OR(G75="",J75=""),"",IFERROR(G75/J75,""))</f>
        <v/>
      </c>
      <c r="M75" s="53" t="str">
        <f aca="false">IF(OR(J75="",'Site Daily'!E75=""),"",IFERROR(J75/'Site Daily'!E75*1000,""))</f>
        <v/>
      </c>
      <c r="N75" s="53" t="n">
        <f aca="false">I75*(Inputs!$D$17+(Inputs!$D$26-Inputs!$D$17)*E75)</f>
        <v>50</v>
      </c>
      <c r="O75" s="45"/>
      <c r="P75" s="7" t="str">
        <f aca="false">IF(OR(O75="",J75=""),"",IFERROR(O75/J75,""))</f>
        <v/>
      </c>
      <c r="Q75" s="46"/>
      <c r="R75" s="8" t="n">
        <f aca="false">N75*(Inputs!$D$16+(Inputs!$D$27-Inputs!$D$16)*E75)</f>
        <v>35000</v>
      </c>
      <c r="S75" s="8" t="str">
        <f aca="false">IF(OR(O75="",Q75="",J75=""),"",IFERROR(O75*Q75/J75,""))</f>
        <v/>
      </c>
      <c r="T75" s="7" t="str">
        <f aca="false">IF(S75="","",IFERROR(S75/R75-1,""))</f>
        <v/>
      </c>
      <c r="U75" s="8" t="n">
        <f aca="false">C75*(R75-Inputs!$D$19)*Inputs!$D$28</f>
        <v>21000</v>
      </c>
      <c r="V75" s="8" t="str">
        <f aca="false">IF(OR(C75=0,S75=""),"",(S75-Inputs!$D$19)*Inputs!$D$28)</f>
        <v/>
      </c>
      <c r="W75" s="45"/>
      <c r="X75" s="7" t="str">
        <f aca="false">IF(OR(W75="",G75=""),"",IFERROR(W75/G75,""))</f>
        <v/>
      </c>
      <c r="Y75" s="47"/>
    </row>
    <row r="76" customFormat="false" ht="15" hidden="false" customHeight="false" outlineLevel="0" collapsed="false">
      <c r="A76" s="44" t="n">
        <v>46365</v>
      </c>
      <c r="B76" s="20" t="str">
        <f aca="false">TEXT(A76,"ddd")</f>
        <v>Wed</v>
      </c>
      <c r="C76" s="6" t="n">
        <f aca="false">IF(A76&gt;=Inputs!$D$9,1,0)</f>
        <v>1</v>
      </c>
      <c r="D76" s="6" t="n">
        <f aca="false">IF(C76=1,A76-Inputs!$D$9+1,"")</f>
        <v>63</v>
      </c>
      <c r="E76" s="51" t="n">
        <f aca="false">IF(C76=1,MIN(1,D76/Inputs!$D$29),0)</f>
        <v>1</v>
      </c>
      <c r="F76" s="6" t="n">
        <f aca="false">Inputs!$D$13+(Inputs!$D$32-Inputs!$D$13)*E76</f>
        <v>300</v>
      </c>
      <c r="G76" s="45"/>
      <c r="H76" s="7" t="str">
        <f aca="false">IF(G76="","",IFERROR(G76/F76-1,""))</f>
        <v/>
      </c>
      <c r="I76" s="6" t="n">
        <f aca="false">Inputs!$D$14+(Inputs!$D$24-Inputs!$D$14)*E76</f>
        <v>250</v>
      </c>
      <c r="J76" s="45"/>
      <c r="K76" s="7" t="str">
        <f aca="false">IF(J76="","",IFERROR(J76/I76-1,""))</f>
        <v/>
      </c>
      <c r="L76" s="52" t="str">
        <f aca="false">IF(OR(G76="",J76=""),"",IFERROR(G76/J76,""))</f>
        <v/>
      </c>
      <c r="M76" s="53" t="str">
        <f aca="false">IF(OR(J76="",'Site Daily'!E76=""),"",IFERROR(J76/'Site Daily'!E76*1000,""))</f>
        <v/>
      </c>
      <c r="N76" s="53" t="n">
        <f aca="false">I76*(Inputs!$D$17+(Inputs!$D$26-Inputs!$D$17)*E76)</f>
        <v>50</v>
      </c>
      <c r="O76" s="45"/>
      <c r="P76" s="7" t="str">
        <f aca="false">IF(OR(O76="",J76=""),"",IFERROR(O76/J76,""))</f>
        <v/>
      </c>
      <c r="Q76" s="46"/>
      <c r="R76" s="8" t="n">
        <f aca="false">N76*(Inputs!$D$16+(Inputs!$D$27-Inputs!$D$16)*E76)</f>
        <v>35000</v>
      </c>
      <c r="S76" s="8" t="str">
        <f aca="false">IF(OR(O76="",Q76="",J76=""),"",IFERROR(O76*Q76/J76,""))</f>
        <v/>
      </c>
      <c r="T76" s="7" t="str">
        <f aca="false">IF(S76="","",IFERROR(S76/R76-1,""))</f>
        <v/>
      </c>
      <c r="U76" s="8" t="n">
        <f aca="false">C76*(R76-Inputs!$D$19)*Inputs!$D$28</f>
        <v>21000</v>
      </c>
      <c r="V76" s="8" t="str">
        <f aca="false">IF(OR(C76=0,S76=""),"",(S76-Inputs!$D$19)*Inputs!$D$28)</f>
        <v/>
      </c>
      <c r="W76" s="45"/>
      <c r="X76" s="7" t="str">
        <f aca="false">IF(OR(W76="",G76=""),"",IFERROR(W76/G76,""))</f>
        <v/>
      </c>
      <c r="Y76" s="47"/>
    </row>
    <row r="77" customFormat="false" ht="15" hidden="false" customHeight="false" outlineLevel="0" collapsed="false">
      <c r="A77" s="44" t="n">
        <v>46366</v>
      </c>
      <c r="B77" s="20" t="str">
        <f aca="false">TEXT(A77,"ddd")</f>
        <v>Thu</v>
      </c>
      <c r="C77" s="6" t="n">
        <f aca="false">IF(A77&gt;=Inputs!$D$9,1,0)</f>
        <v>1</v>
      </c>
      <c r="D77" s="6" t="n">
        <f aca="false">IF(C77=1,A77-Inputs!$D$9+1,"")</f>
        <v>64</v>
      </c>
      <c r="E77" s="51" t="n">
        <f aca="false">IF(C77=1,MIN(1,D77/Inputs!$D$29),0)</f>
        <v>1</v>
      </c>
      <c r="F77" s="6" t="n">
        <f aca="false">Inputs!$D$13+(Inputs!$D$32-Inputs!$D$13)*E77</f>
        <v>300</v>
      </c>
      <c r="G77" s="45"/>
      <c r="H77" s="7" t="str">
        <f aca="false">IF(G77="","",IFERROR(G77/F77-1,""))</f>
        <v/>
      </c>
      <c r="I77" s="6" t="n">
        <f aca="false">Inputs!$D$14+(Inputs!$D$24-Inputs!$D$14)*E77</f>
        <v>250</v>
      </c>
      <c r="J77" s="45"/>
      <c r="K77" s="7" t="str">
        <f aca="false">IF(J77="","",IFERROR(J77/I77-1,""))</f>
        <v/>
      </c>
      <c r="L77" s="52" t="str">
        <f aca="false">IF(OR(G77="",J77=""),"",IFERROR(G77/J77,""))</f>
        <v/>
      </c>
      <c r="M77" s="53" t="str">
        <f aca="false">IF(OR(J77="",'Site Daily'!E77=""),"",IFERROR(J77/'Site Daily'!E77*1000,""))</f>
        <v/>
      </c>
      <c r="N77" s="53" t="n">
        <f aca="false">I77*(Inputs!$D$17+(Inputs!$D$26-Inputs!$D$17)*E77)</f>
        <v>50</v>
      </c>
      <c r="O77" s="45"/>
      <c r="P77" s="7" t="str">
        <f aca="false">IF(OR(O77="",J77=""),"",IFERROR(O77/J77,""))</f>
        <v/>
      </c>
      <c r="Q77" s="46"/>
      <c r="R77" s="8" t="n">
        <f aca="false">N77*(Inputs!$D$16+(Inputs!$D$27-Inputs!$D$16)*E77)</f>
        <v>35000</v>
      </c>
      <c r="S77" s="8" t="str">
        <f aca="false">IF(OR(O77="",Q77="",J77=""),"",IFERROR(O77*Q77/J77,""))</f>
        <v/>
      </c>
      <c r="T77" s="7" t="str">
        <f aca="false">IF(S77="","",IFERROR(S77/R77-1,""))</f>
        <v/>
      </c>
      <c r="U77" s="8" t="n">
        <f aca="false">C77*(R77-Inputs!$D$19)*Inputs!$D$28</f>
        <v>21000</v>
      </c>
      <c r="V77" s="8" t="str">
        <f aca="false">IF(OR(C77=0,S77=""),"",(S77-Inputs!$D$19)*Inputs!$D$28)</f>
        <v/>
      </c>
      <c r="W77" s="45"/>
      <c r="X77" s="7" t="str">
        <f aca="false">IF(OR(W77="",G77=""),"",IFERROR(W77/G77,""))</f>
        <v/>
      </c>
      <c r="Y77" s="47"/>
    </row>
    <row r="78" customFormat="false" ht="15" hidden="false" customHeight="false" outlineLevel="0" collapsed="false">
      <c r="A78" s="44" t="n">
        <v>46367</v>
      </c>
      <c r="B78" s="20" t="str">
        <f aca="false">TEXT(A78,"ddd")</f>
        <v>Fri</v>
      </c>
      <c r="C78" s="6" t="n">
        <f aca="false">IF(A78&gt;=Inputs!$D$9,1,0)</f>
        <v>1</v>
      </c>
      <c r="D78" s="6" t="n">
        <f aca="false">IF(C78=1,A78-Inputs!$D$9+1,"")</f>
        <v>65</v>
      </c>
      <c r="E78" s="51" t="n">
        <f aca="false">IF(C78=1,MIN(1,D78/Inputs!$D$29),0)</f>
        <v>1</v>
      </c>
      <c r="F78" s="6" t="n">
        <f aca="false">Inputs!$D$13+(Inputs!$D$32-Inputs!$D$13)*E78</f>
        <v>300</v>
      </c>
      <c r="G78" s="45"/>
      <c r="H78" s="7" t="str">
        <f aca="false">IF(G78="","",IFERROR(G78/F78-1,""))</f>
        <v/>
      </c>
      <c r="I78" s="6" t="n">
        <f aca="false">Inputs!$D$14+(Inputs!$D$24-Inputs!$D$14)*E78</f>
        <v>250</v>
      </c>
      <c r="J78" s="45"/>
      <c r="K78" s="7" t="str">
        <f aca="false">IF(J78="","",IFERROR(J78/I78-1,""))</f>
        <v/>
      </c>
      <c r="L78" s="52" t="str">
        <f aca="false">IF(OR(G78="",J78=""),"",IFERROR(G78/J78,""))</f>
        <v/>
      </c>
      <c r="M78" s="53" t="str">
        <f aca="false">IF(OR(J78="",'Site Daily'!E78=""),"",IFERROR(J78/'Site Daily'!E78*1000,""))</f>
        <v/>
      </c>
      <c r="N78" s="53" t="n">
        <f aca="false">I78*(Inputs!$D$17+(Inputs!$D$26-Inputs!$D$17)*E78)</f>
        <v>50</v>
      </c>
      <c r="O78" s="45"/>
      <c r="P78" s="7" t="str">
        <f aca="false">IF(OR(O78="",J78=""),"",IFERROR(O78/J78,""))</f>
        <v/>
      </c>
      <c r="Q78" s="46"/>
      <c r="R78" s="8" t="n">
        <f aca="false">N78*(Inputs!$D$16+(Inputs!$D$27-Inputs!$D$16)*E78)</f>
        <v>35000</v>
      </c>
      <c r="S78" s="8" t="str">
        <f aca="false">IF(OR(O78="",Q78="",J78=""),"",IFERROR(O78*Q78/J78,""))</f>
        <v/>
      </c>
      <c r="T78" s="7" t="str">
        <f aca="false">IF(S78="","",IFERROR(S78/R78-1,""))</f>
        <v/>
      </c>
      <c r="U78" s="8" t="n">
        <f aca="false">C78*(R78-Inputs!$D$19)*Inputs!$D$28</f>
        <v>21000</v>
      </c>
      <c r="V78" s="8" t="str">
        <f aca="false">IF(OR(C78=0,S78=""),"",(S78-Inputs!$D$19)*Inputs!$D$28)</f>
        <v/>
      </c>
      <c r="W78" s="45"/>
      <c r="X78" s="7" t="str">
        <f aca="false">IF(OR(W78="",G78=""),"",IFERROR(W78/G78,""))</f>
        <v/>
      </c>
      <c r="Y78" s="47"/>
    </row>
    <row r="79" customFormat="false" ht="15" hidden="false" customHeight="false" outlineLevel="0" collapsed="false">
      <c r="A79" s="44" t="n">
        <v>46368</v>
      </c>
      <c r="B79" s="20" t="str">
        <f aca="false">TEXT(A79,"ddd")</f>
        <v>Sat</v>
      </c>
      <c r="C79" s="6" t="n">
        <f aca="false">IF(A79&gt;=Inputs!$D$9,1,0)</f>
        <v>1</v>
      </c>
      <c r="D79" s="6" t="n">
        <f aca="false">IF(C79=1,A79-Inputs!$D$9+1,"")</f>
        <v>66</v>
      </c>
      <c r="E79" s="51" t="n">
        <f aca="false">IF(C79=1,MIN(1,D79/Inputs!$D$29),0)</f>
        <v>1</v>
      </c>
      <c r="F79" s="6" t="n">
        <f aca="false">Inputs!$D$13+(Inputs!$D$32-Inputs!$D$13)*E79</f>
        <v>300</v>
      </c>
      <c r="G79" s="45"/>
      <c r="H79" s="7" t="str">
        <f aca="false">IF(G79="","",IFERROR(G79/F79-1,""))</f>
        <v/>
      </c>
      <c r="I79" s="6" t="n">
        <f aca="false">Inputs!$D$14+(Inputs!$D$24-Inputs!$D$14)*E79</f>
        <v>250</v>
      </c>
      <c r="J79" s="45"/>
      <c r="K79" s="7" t="str">
        <f aca="false">IF(J79="","",IFERROR(J79/I79-1,""))</f>
        <v/>
      </c>
      <c r="L79" s="52" t="str">
        <f aca="false">IF(OR(G79="",J79=""),"",IFERROR(G79/J79,""))</f>
        <v/>
      </c>
      <c r="M79" s="53" t="str">
        <f aca="false">IF(OR(J79="",'Site Daily'!E79=""),"",IFERROR(J79/'Site Daily'!E79*1000,""))</f>
        <v/>
      </c>
      <c r="N79" s="53" t="n">
        <f aca="false">I79*(Inputs!$D$17+(Inputs!$D$26-Inputs!$D$17)*E79)</f>
        <v>50</v>
      </c>
      <c r="O79" s="45"/>
      <c r="P79" s="7" t="str">
        <f aca="false">IF(OR(O79="",J79=""),"",IFERROR(O79/J79,""))</f>
        <v/>
      </c>
      <c r="Q79" s="46"/>
      <c r="R79" s="8" t="n">
        <f aca="false">N79*(Inputs!$D$16+(Inputs!$D$27-Inputs!$D$16)*E79)</f>
        <v>35000</v>
      </c>
      <c r="S79" s="8" t="str">
        <f aca="false">IF(OR(O79="",Q79="",J79=""),"",IFERROR(O79*Q79/J79,""))</f>
        <v/>
      </c>
      <c r="T79" s="7" t="str">
        <f aca="false">IF(S79="","",IFERROR(S79/R79-1,""))</f>
        <v/>
      </c>
      <c r="U79" s="8" t="n">
        <f aca="false">C79*(R79-Inputs!$D$19)*Inputs!$D$28</f>
        <v>21000</v>
      </c>
      <c r="V79" s="8" t="str">
        <f aca="false">IF(OR(C79=0,S79=""),"",(S79-Inputs!$D$19)*Inputs!$D$28)</f>
        <v/>
      </c>
      <c r="W79" s="45"/>
      <c r="X79" s="7" t="str">
        <f aca="false">IF(OR(W79="",G79=""),"",IFERROR(W79/G79,""))</f>
        <v/>
      </c>
      <c r="Y79" s="47"/>
    </row>
    <row r="80" customFormat="false" ht="15" hidden="false" customHeight="false" outlineLevel="0" collapsed="false">
      <c r="A80" s="44" t="n">
        <v>46369</v>
      </c>
      <c r="B80" s="20" t="str">
        <f aca="false">TEXT(A80,"ddd")</f>
        <v>Sun</v>
      </c>
      <c r="C80" s="6" t="n">
        <f aca="false">IF(A80&gt;=Inputs!$D$9,1,0)</f>
        <v>1</v>
      </c>
      <c r="D80" s="6" t="n">
        <f aca="false">IF(C80=1,A80-Inputs!$D$9+1,"")</f>
        <v>67</v>
      </c>
      <c r="E80" s="51" t="n">
        <f aca="false">IF(C80=1,MIN(1,D80/Inputs!$D$29),0)</f>
        <v>1</v>
      </c>
      <c r="F80" s="6" t="n">
        <f aca="false">Inputs!$D$13+(Inputs!$D$32-Inputs!$D$13)*E80</f>
        <v>300</v>
      </c>
      <c r="G80" s="45"/>
      <c r="H80" s="7" t="str">
        <f aca="false">IF(G80="","",IFERROR(G80/F80-1,""))</f>
        <v/>
      </c>
      <c r="I80" s="6" t="n">
        <f aca="false">Inputs!$D$14+(Inputs!$D$24-Inputs!$D$14)*E80</f>
        <v>250</v>
      </c>
      <c r="J80" s="45"/>
      <c r="K80" s="7" t="str">
        <f aca="false">IF(J80="","",IFERROR(J80/I80-1,""))</f>
        <v/>
      </c>
      <c r="L80" s="52" t="str">
        <f aca="false">IF(OR(G80="",J80=""),"",IFERROR(G80/J80,""))</f>
        <v/>
      </c>
      <c r="M80" s="53" t="str">
        <f aca="false">IF(OR(J80="",'Site Daily'!E80=""),"",IFERROR(J80/'Site Daily'!E80*1000,""))</f>
        <v/>
      </c>
      <c r="N80" s="53" t="n">
        <f aca="false">I80*(Inputs!$D$17+(Inputs!$D$26-Inputs!$D$17)*E80)</f>
        <v>50</v>
      </c>
      <c r="O80" s="45"/>
      <c r="P80" s="7" t="str">
        <f aca="false">IF(OR(O80="",J80=""),"",IFERROR(O80/J80,""))</f>
        <v/>
      </c>
      <c r="Q80" s="46"/>
      <c r="R80" s="8" t="n">
        <f aca="false">N80*(Inputs!$D$16+(Inputs!$D$27-Inputs!$D$16)*E80)</f>
        <v>35000</v>
      </c>
      <c r="S80" s="8" t="str">
        <f aca="false">IF(OR(O80="",Q80="",J80=""),"",IFERROR(O80*Q80/J80,""))</f>
        <v/>
      </c>
      <c r="T80" s="7" t="str">
        <f aca="false">IF(S80="","",IFERROR(S80/R80-1,""))</f>
        <v/>
      </c>
      <c r="U80" s="8" t="n">
        <f aca="false">C80*(R80-Inputs!$D$19)*Inputs!$D$28</f>
        <v>21000</v>
      </c>
      <c r="V80" s="8" t="str">
        <f aca="false">IF(OR(C80=0,S80=""),"",(S80-Inputs!$D$19)*Inputs!$D$28)</f>
        <v/>
      </c>
      <c r="W80" s="45"/>
      <c r="X80" s="7" t="str">
        <f aca="false">IF(OR(W80="",G80=""),"",IFERROR(W80/G80,""))</f>
        <v/>
      </c>
      <c r="Y80" s="47"/>
    </row>
    <row r="81" customFormat="false" ht="15" hidden="false" customHeight="false" outlineLevel="0" collapsed="false">
      <c r="A81" s="44" t="n">
        <v>46370</v>
      </c>
      <c r="B81" s="20" t="str">
        <f aca="false">TEXT(A81,"ddd")</f>
        <v>Mon</v>
      </c>
      <c r="C81" s="6" t="n">
        <f aca="false">IF(A81&gt;=Inputs!$D$9,1,0)</f>
        <v>1</v>
      </c>
      <c r="D81" s="6" t="n">
        <f aca="false">IF(C81=1,A81-Inputs!$D$9+1,"")</f>
        <v>68</v>
      </c>
      <c r="E81" s="51" t="n">
        <f aca="false">IF(C81=1,MIN(1,D81/Inputs!$D$29),0)</f>
        <v>1</v>
      </c>
      <c r="F81" s="6" t="n">
        <f aca="false">Inputs!$D$13+(Inputs!$D$32-Inputs!$D$13)*E81</f>
        <v>300</v>
      </c>
      <c r="G81" s="45"/>
      <c r="H81" s="7" t="str">
        <f aca="false">IF(G81="","",IFERROR(G81/F81-1,""))</f>
        <v/>
      </c>
      <c r="I81" s="6" t="n">
        <f aca="false">Inputs!$D$14+(Inputs!$D$24-Inputs!$D$14)*E81</f>
        <v>250</v>
      </c>
      <c r="J81" s="45"/>
      <c r="K81" s="7" t="str">
        <f aca="false">IF(J81="","",IFERROR(J81/I81-1,""))</f>
        <v/>
      </c>
      <c r="L81" s="52" t="str">
        <f aca="false">IF(OR(G81="",J81=""),"",IFERROR(G81/J81,""))</f>
        <v/>
      </c>
      <c r="M81" s="53" t="str">
        <f aca="false">IF(OR(J81="",'Site Daily'!E81=""),"",IFERROR(J81/'Site Daily'!E81*1000,""))</f>
        <v/>
      </c>
      <c r="N81" s="53" t="n">
        <f aca="false">I81*(Inputs!$D$17+(Inputs!$D$26-Inputs!$D$17)*E81)</f>
        <v>50</v>
      </c>
      <c r="O81" s="45"/>
      <c r="P81" s="7" t="str">
        <f aca="false">IF(OR(O81="",J81=""),"",IFERROR(O81/J81,""))</f>
        <v/>
      </c>
      <c r="Q81" s="46"/>
      <c r="R81" s="8" t="n">
        <f aca="false">N81*(Inputs!$D$16+(Inputs!$D$27-Inputs!$D$16)*E81)</f>
        <v>35000</v>
      </c>
      <c r="S81" s="8" t="str">
        <f aca="false">IF(OR(O81="",Q81="",J81=""),"",IFERROR(O81*Q81/J81,""))</f>
        <v/>
      </c>
      <c r="T81" s="7" t="str">
        <f aca="false">IF(S81="","",IFERROR(S81/R81-1,""))</f>
        <v/>
      </c>
      <c r="U81" s="8" t="n">
        <f aca="false">C81*(R81-Inputs!$D$19)*Inputs!$D$28</f>
        <v>21000</v>
      </c>
      <c r="V81" s="8" t="str">
        <f aca="false">IF(OR(C81=0,S81=""),"",(S81-Inputs!$D$19)*Inputs!$D$28)</f>
        <v/>
      </c>
      <c r="W81" s="45"/>
      <c r="X81" s="7" t="str">
        <f aca="false">IF(OR(W81="",G81=""),"",IFERROR(W81/G81,""))</f>
        <v/>
      </c>
      <c r="Y81" s="47"/>
    </row>
    <row r="82" customFormat="false" ht="15" hidden="false" customHeight="false" outlineLevel="0" collapsed="false">
      <c r="A82" s="44" t="n">
        <v>46371</v>
      </c>
      <c r="B82" s="20" t="str">
        <f aca="false">TEXT(A82,"ddd")</f>
        <v>Tue</v>
      </c>
      <c r="C82" s="6" t="n">
        <f aca="false">IF(A82&gt;=Inputs!$D$9,1,0)</f>
        <v>1</v>
      </c>
      <c r="D82" s="6" t="n">
        <f aca="false">IF(C82=1,A82-Inputs!$D$9+1,"")</f>
        <v>69</v>
      </c>
      <c r="E82" s="51" t="n">
        <f aca="false">IF(C82=1,MIN(1,D82/Inputs!$D$29),0)</f>
        <v>1</v>
      </c>
      <c r="F82" s="6" t="n">
        <f aca="false">Inputs!$D$13+(Inputs!$D$32-Inputs!$D$13)*E82</f>
        <v>300</v>
      </c>
      <c r="G82" s="45"/>
      <c r="H82" s="7" t="str">
        <f aca="false">IF(G82="","",IFERROR(G82/F82-1,""))</f>
        <v/>
      </c>
      <c r="I82" s="6" t="n">
        <f aca="false">Inputs!$D$14+(Inputs!$D$24-Inputs!$D$14)*E82</f>
        <v>250</v>
      </c>
      <c r="J82" s="45"/>
      <c r="K82" s="7" t="str">
        <f aca="false">IF(J82="","",IFERROR(J82/I82-1,""))</f>
        <v/>
      </c>
      <c r="L82" s="52" t="str">
        <f aca="false">IF(OR(G82="",J82=""),"",IFERROR(G82/J82,""))</f>
        <v/>
      </c>
      <c r="M82" s="53" t="str">
        <f aca="false">IF(OR(J82="",'Site Daily'!E82=""),"",IFERROR(J82/'Site Daily'!E82*1000,""))</f>
        <v/>
      </c>
      <c r="N82" s="53" t="n">
        <f aca="false">I82*(Inputs!$D$17+(Inputs!$D$26-Inputs!$D$17)*E82)</f>
        <v>50</v>
      </c>
      <c r="O82" s="45"/>
      <c r="P82" s="7" t="str">
        <f aca="false">IF(OR(O82="",J82=""),"",IFERROR(O82/J82,""))</f>
        <v/>
      </c>
      <c r="Q82" s="46"/>
      <c r="R82" s="8" t="n">
        <f aca="false">N82*(Inputs!$D$16+(Inputs!$D$27-Inputs!$D$16)*E82)</f>
        <v>35000</v>
      </c>
      <c r="S82" s="8" t="str">
        <f aca="false">IF(OR(O82="",Q82="",J82=""),"",IFERROR(O82*Q82/J82,""))</f>
        <v/>
      </c>
      <c r="T82" s="7" t="str">
        <f aca="false">IF(S82="","",IFERROR(S82/R82-1,""))</f>
        <v/>
      </c>
      <c r="U82" s="8" t="n">
        <f aca="false">C82*(R82-Inputs!$D$19)*Inputs!$D$28</f>
        <v>21000</v>
      </c>
      <c r="V82" s="8" t="str">
        <f aca="false">IF(OR(C82=0,S82=""),"",(S82-Inputs!$D$19)*Inputs!$D$28)</f>
        <v/>
      </c>
      <c r="W82" s="45"/>
      <c r="X82" s="7" t="str">
        <f aca="false">IF(OR(W82="",G82=""),"",IFERROR(W82/G82,""))</f>
        <v/>
      </c>
      <c r="Y82" s="47"/>
    </row>
    <row r="83" customFormat="false" ht="15" hidden="false" customHeight="false" outlineLevel="0" collapsed="false">
      <c r="A83" s="44" t="n">
        <v>46372</v>
      </c>
      <c r="B83" s="20" t="str">
        <f aca="false">TEXT(A83,"ddd")</f>
        <v>Wed</v>
      </c>
      <c r="C83" s="6" t="n">
        <f aca="false">IF(A83&gt;=Inputs!$D$9,1,0)</f>
        <v>1</v>
      </c>
      <c r="D83" s="6" t="n">
        <f aca="false">IF(C83=1,A83-Inputs!$D$9+1,"")</f>
        <v>70</v>
      </c>
      <c r="E83" s="51" t="n">
        <f aca="false">IF(C83=1,MIN(1,D83/Inputs!$D$29),0)</f>
        <v>1</v>
      </c>
      <c r="F83" s="6" t="n">
        <f aca="false">Inputs!$D$13+(Inputs!$D$32-Inputs!$D$13)*E83</f>
        <v>300</v>
      </c>
      <c r="G83" s="45"/>
      <c r="H83" s="7" t="str">
        <f aca="false">IF(G83="","",IFERROR(G83/F83-1,""))</f>
        <v/>
      </c>
      <c r="I83" s="6" t="n">
        <f aca="false">Inputs!$D$14+(Inputs!$D$24-Inputs!$D$14)*E83</f>
        <v>250</v>
      </c>
      <c r="J83" s="45"/>
      <c r="K83" s="7" t="str">
        <f aca="false">IF(J83="","",IFERROR(J83/I83-1,""))</f>
        <v/>
      </c>
      <c r="L83" s="52" t="str">
        <f aca="false">IF(OR(G83="",J83=""),"",IFERROR(G83/J83,""))</f>
        <v/>
      </c>
      <c r="M83" s="53" t="str">
        <f aca="false">IF(OR(J83="",'Site Daily'!E83=""),"",IFERROR(J83/'Site Daily'!E83*1000,""))</f>
        <v/>
      </c>
      <c r="N83" s="53" t="n">
        <f aca="false">I83*(Inputs!$D$17+(Inputs!$D$26-Inputs!$D$17)*E83)</f>
        <v>50</v>
      </c>
      <c r="O83" s="45"/>
      <c r="P83" s="7" t="str">
        <f aca="false">IF(OR(O83="",J83=""),"",IFERROR(O83/J83,""))</f>
        <v/>
      </c>
      <c r="Q83" s="46"/>
      <c r="R83" s="8" t="n">
        <f aca="false">N83*(Inputs!$D$16+(Inputs!$D$27-Inputs!$D$16)*E83)</f>
        <v>35000</v>
      </c>
      <c r="S83" s="8" t="str">
        <f aca="false">IF(OR(O83="",Q83="",J83=""),"",IFERROR(O83*Q83/J83,""))</f>
        <v/>
      </c>
      <c r="T83" s="7" t="str">
        <f aca="false">IF(S83="","",IFERROR(S83/R83-1,""))</f>
        <v/>
      </c>
      <c r="U83" s="8" t="n">
        <f aca="false">C83*(R83-Inputs!$D$19)*Inputs!$D$28</f>
        <v>21000</v>
      </c>
      <c r="V83" s="8" t="str">
        <f aca="false">IF(OR(C83=0,S83=""),"",(S83-Inputs!$D$19)*Inputs!$D$28)</f>
        <v/>
      </c>
      <c r="W83" s="45"/>
      <c r="X83" s="7" t="str">
        <f aca="false">IF(OR(W83="",G83=""),"",IFERROR(W83/G83,""))</f>
        <v/>
      </c>
      <c r="Y83" s="47"/>
    </row>
    <row r="84" customFormat="false" ht="15" hidden="false" customHeight="false" outlineLevel="0" collapsed="false">
      <c r="A84" s="44" t="n">
        <v>46373</v>
      </c>
      <c r="B84" s="20" t="str">
        <f aca="false">TEXT(A84,"ddd")</f>
        <v>Thu</v>
      </c>
      <c r="C84" s="6" t="n">
        <f aca="false">IF(A84&gt;=Inputs!$D$9,1,0)</f>
        <v>1</v>
      </c>
      <c r="D84" s="6" t="n">
        <f aca="false">IF(C84=1,A84-Inputs!$D$9+1,"")</f>
        <v>71</v>
      </c>
      <c r="E84" s="51" t="n">
        <f aca="false">IF(C84=1,MIN(1,D84/Inputs!$D$29),0)</f>
        <v>1</v>
      </c>
      <c r="F84" s="6" t="n">
        <f aca="false">Inputs!$D$13+(Inputs!$D$32-Inputs!$D$13)*E84</f>
        <v>300</v>
      </c>
      <c r="G84" s="45"/>
      <c r="H84" s="7" t="str">
        <f aca="false">IF(G84="","",IFERROR(G84/F84-1,""))</f>
        <v/>
      </c>
      <c r="I84" s="6" t="n">
        <f aca="false">Inputs!$D$14+(Inputs!$D$24-Inputs!$D$14)*E84</f>
        <v>250</v>
      </c>
      <c r="J84" s="45"/>
      <c r="K84" s="7" t="str">
        <f aca="false">IF(J84="","",IFERROR(J84/I84-1,""))</f>
        <v/>
      </c>
      <c r="L84" s="52" t="str">
        <f aca="false">IF(OR(G84="",J84=""),"",IFERROR(G84/J84,""))</f>
        <v/>
      </c>
      <c r="M84" s="53" t="str">
        <f aca="false">IF(OR(J84="",'Site Daily'!E84=""),"",IFERROR(J84/'Site Daily'!E84*1000,""))</f>
        <v/>
      </c>
      <c r="N84" s="53" t="n">
        <f aca="false">I84*(Inputs!$D$17+(Inputs!$D$26-Inputs!$D$17)*E84)</f>
        <v>50</v>
      </c>
      <c r="O84" s="45"/>
      <c r="P84" s="7" t="str">
        <f aca="false">IF(OR(O84="",J84=""),"",IFERROR(O84/J84,""))</f>
        <v/>
      </c>
      <c r="Q84" s="46"/>
      <c r="R84" s="8" t="n">
        <f aca="false">N84*(Inputs!$D$16+(Inputs!$D$27-Inputs!$D$16)*E84)</f>
        <v>35000</v>
      </c>
      <c r="S84" s="8" t="str">
        <f aca="false">IF(OR(O84="",Q84="",J84=""),"",IFERROR(O84*Q84/J84,""))</f>
        <v/>
      </c>
      <c r="T84" s="7" t="str">
        <f aca="false">IF(S84="","",IFERROR(S84/R84-1,""))</f>
        <v/>
      </c>
      <c r="U84" s="8" t="n">
        <f aca="false">C84*(R84-Inputs!$D$19)*Inputs!$D$28</f>
        <v>21000</v>
      </c>
      <c r="V84" s="8" t="str">
        <f aca="false">IF(OR(C84=0,S84=""),"",(S84-Inputs!$D$19)*Inputs!$D$28)</f>
        <v/>
      </c>
      <c r="W84" s="45"/>
      <c r="X84" s="7" t="str">
        <f aca="false">IF(OR(W84="",G84=""),"",IFERROR(W84/G84,""))</f>
        <v/>
      </c>
      <c r="Y84" s="47"/>
    </row>
    <row r="85" customFormat="false" ht="15" hidden="false" customHeight="false" outlineLevel="0" collapsed="false">
      <c r="A85" s="44" t="n">
        <v>46374</v>
      </c>
      <c r="B85" s="20" t="str">
        <f aca="false">TEXT(A85,"ddd")</f>
        <v>Fri</v>
      </c>
      <c r="C85" s="6" t="n">
        <f aca="false">IF(A85&gt;=Inputs!$D$9,1,0)</f>
        <v>1</v>
      </c>
      <c r="D85" s="6" t="n">
        <f aca="false">IF(C85=1,A85-Inputs!$D$9+1,"")</f>
        <v>72</v>
      </c>
      <c r="E85" s="51" t="n">
        <f aca="false">IF(C85=1,MIN(1,D85/Inputs!$D$29),0)</f>
        <v>1</v>
      </c>
      <c r="F85" s="6" t="n">
        <f aca="false">Inputs!$D$13+(Inputs!$D$32-Inputs!$D$13)*E85</f>
        <v>300</v>
      </c>
      <c r="G85" s="45"/>
      <c r="H85" s="7" t="str">
        <f aca="false">IF(G85="","",IFERROR(G85/F85-1,""))</f>
        <v/>
      </c>
      <c r="I85" s="6" t="n">
        <f aca="false">Inputs!$D$14+(Inputs!$D$24-Inputs!$D$14)*E85</f>
        <v>250</v>
      </c>
      <c r="J85" s="45"/>
      <c r="K85" s="7" t="str">
        <f aca="false">IF(J85="","",IFERROR(J85/I85-1,""))</f>
        <v/>
      </c>
      <c r="L85" s="52" t="str">
        <f aca="false">IF(OR(G85="",J85=""),"",IFERROR(G85/J85,""))</f>
        <v/>
      </c>
      <c r="M85" s="53" t="str">
        <f aca="false">IF(OR(J85="",'Site Daily'!E85=""),"",IFERROR(J85/'Site Daily'!E85*1000,""))</f>
        <v/>
      </c>
      <c r="N85" s="53" t="n">
        <f aca="false">I85*(Inputs!$D$17+(Inputs!$D$26-Inputs!$D$17)*E85)</f>
        <v>50</v>
      </c>
      <c r="O85" s="45"/>
      <c r="P85" s="7" t="str">
        <f aca="false">IF(OR(O85="",J85=""),"",IFERROR(O85/J85,""))</f>
        <v/>
      </c>
      <c r="Q85" s="46"/>
      <c r="R85" s="8" t="n">
        <f aca="false">N85*(Inputs!$D$16+(Inputs!$D$27-Inputs!$D$16)*E85)</f>
        <v>35000</v>
      </c>
      <c r="S85" s="8" t="str">
        <f aca="false">IF(OR(O85="",Q85="",J85=""),"",IFERROR(O85*Q85/J85,""))</f>
        <v/>
      </c>
      <c r="T85" s="7" t="str">
        <f aca="false">IF(S85="","",IFERROR(S85/R85-1,""))</f>
        <v/>
      </c>
      <c r="U85" s="8" t="n">
        <f aca="false">C85*(R85-Inputs!$D$19)*Inputs!$D$28</f>
        <v>21000</v>
      </c>
      <c r="V85" s="8" t="str">
        <f aca="false">IF(OR(C85=0,S85=""),"",(S85-Inputs!$D$19)*Inputs!$D$28)</f>
        <v/>
      </c>
      <c r="W85" s="45"/>
      <c r="X85" s="7" t="str">
        <f aca="false">IF(OR(W85="",G85=""),"",IFERROR(W85/G85,""))</f>
        <v/>
      </c>
      <c r="Y85" s="47"/>
    </row>
    <row r="86" customFormat="false" ht="15" hidden="false" customHeight="false" outlineLevel="0" collapsed="false">
      <c r="A86" s="44" t="n">
        <v>46375</v>
      </c>
      <c r="B86" s="20" t="str">
        <f aca="false">TEXT(A86,"ddd")</f>
        <v>Sat</v>
      </c>
      <c r="C86" s="6" t="n">
        <f aca="false">IF(A86&gt;=Inputs!$D$9,1,0)</f>
        <v>1</v>
      </c>
      <c r="D86" s="6" t="n">
        <f aca="false">IF(C86=1,A86-Inputs!$D$9+1,"")</f>
        <v>73</v>
      </c>
      <c r="E86" s="51" t="n">
        <f aca="false">IF(C86=1,MIN(1,D86/Inputs!$D$29),0)</f>
        <v>1</v>
      </c>
      <c r="F86" s="6" t="n">
        <f aca="false">Inputs!$D$13+(Inputs!$D$32-Inputs!$D$13)*E86</f>
        <v>300</v>
      </c>
      <c r="G86" s="45"/>
      <c r="H86" s="7" t="str">
        <f aca="false">IF(G86="","",IFERROR(G86/F86-1,""))</f>
        <v/>
      </c>
      <c r="I86" s="6" t="n">
        <f aca="false">Inputs!$D$14+(Inputs!$D$24-Inputs!$D$14)*E86</f>
        <v>250</v>
      </c>
      <c r="J86" s="45"/>
      <c r="K86" s="7" t="str">
        <f aca="false">IF(J86="","",IFERROR(J86/I86-1,""))</f>
        <v/>
      </c>
      <c r="L86" s="52" t="str">
        <f aca="false">IF(OR(G86="",J86=""),"",IFERROR(G86/J86,""))</f>
        <v/>
      </c>
      <c r="M86" s="53" t="str">
        <f aca="false">IF(OR(J86="",'Site Daily'!E86=""),"",IFERROR(J86/'Site Daily'!E86*1000,""))</f>
        <v/>
      </c>
      <c r="N86" s="53" t="n">
        <f aca="false">I86*(Inputs!$D$17+(Inputs!$D$26-Inputs!$D$17)*E86)</f>
        <v>50</v>
      </c>
      <c r="O86" s="45"/>
      <c r="P86" s="7" t="str">
        <f aca="false">IF(OR(O86="",J86=""),"",IFERROR(O86/J86,""))</f>
        <v/>
      </c>
      <c r="Q86" s="46"/>
      <c r="R86" s="8" t="n">
        <f aca="false">N86*(Inputs!$D$16+(Inputs!$D$27-Inputs!$D$16)*E86)</f>
        <v>35000</v>
      </c>
      <c r="S86" s="8" t="str">
        <f aca="false">IF(OR(O86="",Q86="",J86=""),"",IFERROR(O86*Q86/J86,""))</f>
        <v/>
      </c>
      <c r="T86" s="7" t="str">
        <f aca="false">IF(S86="","",IFERROR(S86/R86-1,""))</f>
        <v/>
      </c>
      <c r="U86" s="8" t="n">
        <f aca="false">C86*(R86-Inputs!$D$19)*Inputs!$D$28</f>
        <v>21000</v>
      </c>
      <c r="V86" s="8" t="str">
        <f aca="false">IF(OR(C86=0,S86=""),"",(S86-Inputs!$D$19)*Inputs!$D$28)</f>
        <v/>
      </c>
      <c r="W86" s="45"/>
      <c r="X86" s="7" t="str">
        <f aca="false">IF(OR(W86="",G86=""),"",IFERROR(W86/G86,""))</f>
        <v/>
      </c>
      <c r="Y86" s="47"/>
    </row>
    <row r="87" customFormat="false" ht="15" hidden="false" customHeight="false" outlineLevel="0" collapsed="false">
      <c r="A87" s="44" t="n">
        <v>46376</v>
      </c>
      <c r="B87" s="20" t="str">
        <f aca="false">TEXT(A87,"ddd")</f>
        <v>Sun</v>
      </c>
      <c r="C87" s="6" t="n">
        <f aca="false">IF(A87&gt;=Inputs!$D$9,1,0)</f>
        <v>1</v>
      </c>
      <c r="D87" s="6" t="n">
        <f aca="false">IF(C87=1,A87-Inputs!$D$9+1,"")</f>
        <v>74</v>
      </c>
      <c r="E87" s="51" t="n">
        <f aca="false">IF(C87=1,MIN(1,D87/Inputs!$D$29),0)</f>
        <v>1</v>
      </c>
      <c r="F87" s="6" t="n">
        <f aca="false">Inputs!$D$13+(Inputs!$D$32-Inputs!$D$13)*E87</f>
        <v>300</v>
      </c>
      <c r="G87" s="45"/>
      <c r="H87" s="7" t="str">
        <f aca="false">IF(G87="","",IFERROR(G87/F87-1,""))</f>
        <v/>
      </c>
      <c r="I87" s="6" t="n">
        <f aca="false">Inputs!$D$14+(Inputs!$D$24-Inputs!$D$14)*E87</f>
        <v>250</v>
      </c>
      <c r="J87" s="45"/>
      <c r="K87" s="7" t="str">
        <f aca="false">IF(J87="","",IFERROR(J87/I87-1,""))</f>
        <v/>
      </c>
      <c r="L87" s="52" t="str">
        <f aca="false">IF(OR(G87="",J87=""),"",IFERROR(G87/J87,""))</f>
        <v/>
      </c>
      <c r="M87" s="53" t="str">
        <f aca="false">IF(OR(J87="",'Site Daily'!E87=""),"",IFERROR(J87/'Site Daily'!E87*1000,""))</f>
        <v/>
      </c>
      <c r="N87" s="53" t="n">
        <f aca="false">I87*(Inputs!$D$17+(Inputs!$D$26-Inputs!$D$17)*E87)</f>
        <v>50</v>
      </c>
      <c r="O87" s="45"/>
      <c r="P87" s="7" t="str">
        <f aca="false">IF(OR(O87="",J87=""),"",IFERROR(O87/J87,""))</f>
        <v/>
      </c>
      <c r="Q87" s="46"/>
      <c r="R87" s="8" t="n">
        <f aca="false">N87*(Inputs!$D$16+(Inputs!$D$27-Inputs!$D$16)*E87)</f>
        <v>35000</v>
      </c>
      <c r="S87" s="8" t="str">
        <f aca="false">IF(OR(O87="",Q87="",J87=""),"",IFERROR(O87*Q87/J87,""))</f>
        <v/>
      </c>
      <c r="T87" s="7" t="str">
        <f aca="false">IF(S87="","",IFERROR(S87/R87-1,""))</f>
        <v/>
      </c>
      <c r="U87" s="8" t="n">
        <f aca="false">C87*(R87-Inputs!$D$19)*Inputs!$D$28</f>
        <v>21000</v>
      </c>
      <c r="V87" s="8" t="str">
        <f aca="false">IF(OR(C87=0,S87=""),"",(S87-Inputs!$D$19)*Inputs!$D$28)</f>
        <v/>
      </c>
      <c r="W87" s="45"/>
      <c r="X87" s="7" t="str">
        <f aca="false">IF(OR(W87="",G87=""),"",IFERROR(W87/G87,""))</f>
        <v/>
      </c>
      <c r="Y87" s="47"/>
    </row>
    <row r="88" customFormat="false" ht="15" hidden="false" customHeight="false" outlineLevel="0" collapsed="false">
      <c r="A88" s="44" t="n">
        <v>46377</v>
      </c>
      <c r="B88" s="20" t="str">
        <f aca="false">TEXT(A88,"ddd")</f>
        <v>Mon</v>
      </c>
      <c r="C88" s="6" t="n">
        <f aca="false">IF(A88&gt;=Inputs!$D$9,1,0)</f>
        <v>1</v>
      </c>
      <c r="D88" s="6" t="n">
        <f aca="false">IF(C88=1,A88-Inputs!$D$9+1,"")</f>
        <v>75</v>
      </c>
      <c r="E88" s="51" t="n">
        <f aca="false">IF(C88=1,MIN(1,D88/Inputs!$D$29),0)</f>
        <v>1</v>
      </c>
      <c r="F88" s="6" t="n">
        <f aca="false">Inputs!$D$13+(Inputs!$D$32-Inputs!$D$13)*E88</f>
        <v>300</v>
      </c>
      <c r="G88" s="45"/>
      <c r="H88" s="7" t="str">
        <f aca="false">IF(G88="","",IFERROR(G88/F88-1,""))</f>
        <v/>
      </c>
      <c r="I88" s="6" t="n">
        <f aca="false">Inputs!$D$14+(Inputs!$D$24-Inputs!$D$14)*E88</f>
        <v>250</v>
      </c>
      <c r="J88" s="45"/>
      <c r="K88" s="7" t="str">
        <f aca="false">IF(J88="","",IFERROR(J88/I88-1,""))</f>
        <v/>
      </c>
      <c r="L88" s="52" t="str">
        <f aca="false">IF(OR(G88="",J88=""),"",IFERROR(G88/J88,""))</f>
        <v/>
      </c>
      <c r="M88" s="53" t="str">
        <f aca="false">IF(OR(J88="",'Site Daily'!E88=""),"",IFERROR(J88/'Site Daily'!E88*1000,""))</f>
        <v/>
      </c>
      <c r="N88" s="53" t="n">
        <f aca="false">I88*(Inputs!$D$17+(Inputs!$D$26-Inputs!$D$17)*E88)</f>
        <v>50</v>
      </c>
      <c r="O88" s="45"/>
      <c r="P88" s="7" t="str">
        <f aca="false">IF(OR(O88="",J88=""),"",IFERROR(O88/J88,""))</f>
        <v/>
      </c>
      <c r="Q88" s="46"/>
      <c r="R88" s="8" t="n">
        <f aca="false">N88*(Inputs!$D$16+(Inputs!$D$27-Inputs!$D$16)*E88)</f>
        <v>35000</v>
      </c>
      <c r="S88" s="8" t="str">
        <f aca="false">IF(OR(O88="",Q88="",J88=""),"",IFERROR(O88*Q88/J88,""))</f>
        <v/>
      </c>
      <c r="T88" s="7" t="str">
        <f aca="false">IF(S88="","",IFERROR(S88/R88-1,""))</f>
        <v/>
      </c>
      <c r="U88" s="8" t="n">
        <f aca="false">C88*(R88-Inputs!$D$19)*Inputs!$D$28</f>
        <v>21000</v>
      </c>
      <c r="V88" s="8" t="str">
        <f aca="false">IF(OR(C88=0,S88=""),"",(S88-Inputs!$D$19)*Inputs!$D$28)</f>
        <v/>
      </c>
      <c r="W88" s="45"/>
      <c r="X88" s="7" t="str">
        <f aca="false">IF(OR(W88="",G88=""),"",IFERROR(W88/G88,""))</f>
        <v/>
      </c>
      <c r="Y88" s="47"/>
    </row>
    <row r="89" customFormat="false" ht="15" hidden="false" customHeight="false" outlineLevel="0" collapsed="false">
      <c r="A89" s="44" t="n">
        <v>46378</v>
      </c>
      <c r="B89" s="20" t="str">
        <f aca="false">TEXT(A89,"ddd")</f>
        <v>Tue</v>
      </c>
      <c r="C89" s="6" t="n">
        <f aca="false">IF(A89&gt;=Inputs!$D$9,1,0)</f>
        <v>1</v>
      </c>
      <c r="D89" s="6" t="n">
        <f aca="false">IF(C89=1,A89-Inputs!$D$9+1,"")</f>
        <v>76</v>
      </c>
      <c r="E89" s="51" t="n">
        <f aca="false">IF(C89=1,MIN(1,D89/Inputs!$D$29),0)</f>
        <v>1</v>
      </c>
      <c r="F89" s="6" t="n">
        <f aca="false">Inputs!$D$13+(Inputs!$D$32-Inputs!$D$13)*E89</f>
        <v>300</v>
      </c>
      <c r="G89" s="45"/>
      <c r="H89" s="7" t="str">
        <f aca="false">IF(G89="","",IFERROR(G89/F89-1,""))</f>
        <v/>
      </c>
      <c r="I89" s="6" t="n">
        <f aca="false">Inputs!$D$14+(Inputs!$D$24-Inputs!$D$14)*E89</f>
        <v>250</v>
      </c>
      <c r="J89" s="45"/>
      <c r="K89" s="7" t="str">
        <f aca="false">IF(J89="","",IFERROR(J89/I89-1,""))</f>
        <v/>
      </c>
      <c r="L89" s="52" t="str">
        <f aca="false">IF(OR(G89="",J89=""),"",IFERROR(G89/J89,""))</f>
        <v/>
      </c>
      <c r="M89" s="53" t="str">
        <f aca="false">IF(OR(J89="",'Site Daily'!E89=""),"",IFERROR(J89/'Site Daily'!E89*1000,""))</f>
        <v/>
      </c>
      <c r="N89" s="53" t="n">
        <f aca="false">I89*(Inputs!$D$17+(Inputs!$D$26-Inputs!$D$17)*E89)</f>
        <v>50</v>
      </c>
      <c r="O89" s="45"/>
      <c r="P89" s="7" t="str">
        <f aca="false">IF(OR(O89="",J89=""),"",IFERROR(O89/J89,""))</f>
        <v/>
      </c>
      <c r="Q89" s="46"/>
      <c r="R89" s="8" t="n">
        <f aca="false">N89*(Inputs!$D$16+(Inputs!$D$27-Inputs!$D$16)*E89)</f>
        <v>35000</v>
      </c>
      <c r="S89" s="8" t="str">
        <f aca="false">IF(OR(O89="",Q89="",J89=""),"",IFERROR(O89*Q89/J89,""))</f>
        <v/>
      </c>
      <c r="T89" s="7" t="str">
        <f aca="false">IF(S89="","",IFERROR(S89/R89-1,""))</f>
        <v/>
      </c>
      <c r="U89" s="8" t="n">
        <f aca="false">C89*(R89-Inputs!$D$19)*Inputs!$D$28</f>
        <v>21000</v>
      </c>
      <c r="V89" s="8" t="str">
        <f aca="false">IF(OR(C89=0,S89=""),"",(S89-Inputs!$D$19)*Inputs!$D$28)</f>
        <v/>
      </c>
      <c r="W89" s="45"/>
      <c r="X89" s="7" t="str">
        <f aca="false">IF(OR(W89="",G89=""),"",IFERROR(W89/G89,""))</f>
        <v/>
      </c>
      <c r="Y89" s="47"/>
    </row>
    <row r="90" customFormat="false" ht="15" hidden="false" customHeight="false" outlineLevel="0" collapsed="false">
      <c r="A90" s="44" t="n">
        <v>46379</v>
      </c>
      <c r="B90" s="20" t="str">
        <f aca="false">TEXT(A90,"ddd")</f>
        <v>Wed</v>
      </c>
      <c r="C90" s="6" t="n">
        <f aca="false">IF(A90&gt;=Inputs!$D$9,1,0)</f>
        <v>1</v>
      </c>
      <c r="D90" s="6" t="n">
        <f aca="false">IF(C90=1,A90-Inputs!$D$9+1,"")</f>
        <v>77</v>
      </c>
      <c r="E90" s="51" t="n">
        <f aca="false">IF(C90=1,MIN(1,D90/Inputs!$D$29),0)</f>
        <v>1</v>
      </c>
      <c r="F90" s="6" t="n">
        <f aca="false">Inputs!$D$13+(Inputs!$D$32-Inputs!$D$13)*E90</f>
        <v>300</v>
      </c>
      <c r="G90" s="45"/>
      <c r="H90" s="7" t="str">
        <f aca="false">IF(G90="","",IFERROR(G90/F90-1,""))</f>
        <v/>
      </c>
      <c r="I90" s="6" t="n">
        <f aca="false">Inputs!$D$14+(Inputs!$D$24-Inputs!$D$14)*E90</f>
        <v>250</v>
      </c>
      <c r="J90" s="45"/>
      <c r="K90" s="7" t="str">
        <f aca="false">IF(J90="","",IFERROR(J90/I90-1,""))</f>
        <v/>
      </c>
      <c r="L90" s="52" t="str">
        <f aca="false">IF(OR(G90="",J90=""),"",IFERROR(G90/J90,""))</f>
        <v/>
      </c>
      <c r="M90" s="53" t="str">
        <f aca="false">IF(OR(J90="",'Site Daily'!E90=""),"",IFERROR(J90/'Site Daily'!E90*1000,""))</f>
        <v/>
      </c>
      <c r="N90" s="53" t="n">
        <f aca="false">I90*(Inputs!$D$17+(Inputs!$D$26-Inputs!$D$17)*E90)</f>
        <v>50</v>
      </c>
      <c r="O90" s="45"/>
      <c r="P90" s="7" t="str">
        <f aca="false">IF(OR(O90="",J90=""),"",IFERROR(O90/J90,""))</f>
        <v/>
      </c>
      <c r="Q90" s="46"/>
      <c r="R90" s="8" t="n">
        <f aca="false">N90*(Inputs!$D$16+(Inputs!$D$27-Inputs!$D$16)*E90)</f>
        <v>35000</v>
      </c>
      <c r="S90" s="8" t="str">
        <f aca="false">IF(OR(O90="",Q90="",J90=""),"",IFERROR(O90*Q90/J90,""))</f>
        <v/>
      </c>
      <c r="T90" s="7" t="str">
        <f aca="false">IF(S90="","",IFERROR(S90/R90-1,""))</f>
        <v/>
      </c>
      <c r="U90" s="8" t="n">
        <f aca="false">C90*(R90-Inputs!$D$19)*Inputs!$D$28</f>
        <v>21000</v>
      </c>
      <c r="V90" s="8" t="str">
        <f aca="false">IF(OR(C90=0,S90=""),"",(S90-Inputs!$D$19)*Inputs!$D$28)</f>
        <v/>
      </c>
      <c r="W90" s="45"/>
      <c r="X90" s="7" t="str">
        <f aca="false">IF(OR(W90="",G90=""),"",IFERROR(W90/G90,""))</f>
        <v/>
      </c>
      <c r="Y90" s="47"/>
    </row>
    <row r="91" customFormat="false" ht="15" hidden="false" customHeight="false" outlineLevel="0" collapsed="false">
      <c r="A91" s="44" t="n">
        <v>46380</v>
      </c>
      <c r="B91" s="20" t="str">
        <f aca="false">TEXT(A91,"ddd")</f>
        <v>Thu</v>
      </c>
      <c r="C91" s="6" t="n">
        <f aca="false">IF(A91&gt;=Inputs!$D$9,1,0)</f>
        <v>1</v>
      </c>
      <c r="D91" s="6" t="n">
        <f aca="false">IF(C91=1,A91-Inputs!$D$9+1,"")</f>
        <v>78</v>
      </c>
      <c r="E91" s="51" t="n">
        <f aca="false">IF(C91=1,MIN(1,D91/Inputs!$D$29),0)</f>
        <v>1</v>
      </c>
      <c r="F91" s="6" t="n">
        <f aca="false">Inputs!$D$13+(Inputs!$D$32-Inputs!$D$13)*E91</f>
        <v>300</v>
      </c>
      <c r="G91" s="45"/>
      <c r="H91" s="7" t="str">
        <f aca="false">IF(G91="","",IFERROR(G91/F91-1,""))</f>
        <v/>
      </c>
      <c r="I91" s="6" t="n">
        <f aca="false">Inputs!$D$14+(Inputs!$D$24-Inputs!$D$14)*E91</f>
        <v>250</v>
      </c>
      <c r="J91" s="45"/>
      <c r="K91" s="7" t="str">
        <f aca="false">IF(J91="","",IFERROR(J91/I91-1,""))</f>
        <v/>
      </c>
      <c r="L91" s="52" t="str">
        <f aca="false">IF(OR(G91="",J91=""),"",IFERROR(G91/J91,""))</f>
        <v/>
      </c>
      <c r="M91" s="53" t="str">
        <f aca="false">IF(OR(J91="",'Site Daily'!E91=""),"",IFERROR(J91/'Site Daily'!E91*1000,""))</f>
        <v/>
      </c>
      <c r="N91" s="53" t="n">
        <f aca="false">I91*(Inputs!$D$17+(Inputs!$D$26-Inputs!$D$17)*E91)</f>
        <v>50</v>
      </c>
      <c r="O91" s="45"/>
      <c r="P91" s="7" t="str">
        <f aca="false">IF(OR(O91="",J91=""),"",IFERROR(O91/J91,""))</f>
        <v/>
      </c>
      <c r="Q91" s="46"/>
      <c r="R91" s="8" t="n">
        <f aca="false">N91*(Inputs!$D$16+(Inputs!$D$27-Inputs!$D$16)*E91)</f>
        <v>35000</v>
      </c>
      <c r="S91" s="8" t="str">
        <f aca="false">IF(OR(O91="",Q91="",J91=""),"",IFERROR(O91*Q91/J91,""))</f>
        <v/>
      </c>
      <c r="T91" s="7" t="str">
        <f aca="false">IF(S91="","",IFERROR(S91/R91-1,""))</f>
        <v/>
      </c>
      <c r="U91" s="8" t="n">
        <f aca="false">C91*(R91-Inputs!$D$19)*Inputs!$D$28</f>
        <v>21000</v>
      </c>
      <c r="V91" s="8" t="str">
        <f aca="false">IF(OR(C91=0,S91=""),"",(S91-Inputs!$D$19)*Inputs!$D$28)</f>
        <v/>
      </c>
      <c r="W91" s="45"/>
      <c r="X91" s="7" t="str">
        <f aca="false">IF(OR(W91="",G91=""),"",IFERROR(W91/G91,""))</f>
        <v/>
      </c>
      <c r="Y91" s="47"/>
    </row>
    <row r="92" customFormat="false" ht="15" hidden="false" customHeight="false" outlineLevel="0" collapsed="false">
      <c r="A92" s="44" t="n">
        <v>46381</v>
      </c>
      <c r="B92" s="20" t="str">
        <f aca="false">TEXT(A92,"ddd")</f>
        <v>Fri</v>
      </c>
      <c r="C92" s="6" t="n">
        <f aca="false">IF(A92&gt;=Inputs!$D$9,1,0)</f>
        <v>1</v>
      </c>
      <c r="D92" s="6" t="n">
        <f aca="false">IF(C92=1,A92-Inputs!$D$9+1,"")</f>
        <v>79</v>
      </c>
      <c r="E92" s="51" t="n">
        <f aca="false">IF(C92=1,MIN(1,D92/Inputs!$D$29),0)</f>
        <v>1</v>
      </c>
      <c r="F92" s="6" t="n">
        <f aca="false">Inputs!$D$13+(Inputs!$D$32-Inputs!$D$13)*E92</f>
        <v>300</v>
      </c>
      <c r="G92" s="45"/>
      <c r="H92" s="7" t="str">
        <f aca="false">IF(G92="","",IFERROR(G92/F92-1,""))</f>
        <v/>
      </c>
      <c r="I92" s="6" t="n">
        <f aca="false">Inputs!$D$14+(Inputs!$D$24-Inputs!$D$14)*E92</f>
        <v>250</v>
      </c>
      <c r="J92" s="45"/>
      <c r="K92" s="7" t="str">
        <f aca="false">IF(J92="","",IFERROR(J92/I92-1,""))</f>
        <v/>
      </c>
      <c r="L92" s="52" t="str">
        <f aca="false">IF(OR(G92="",J92=""),"",IFERROR(G92/J92,""))</f>
        <v/>
      </c>
      <c r="M92" s="53" t="str">
        <f aca="false">IF(OR(J92="",'Site Daily'!E92=""),"",IFERROR(J92/'Site Daily'!E92*1000,""))</f>
        <v/>
      </c>
      <c r="N92" s="53" t="n">
        <f aca="false">I92*(Inputs!$D$17+(Inputs!$D$26-Inputs!$D$17)*E92)</f>
        <v>50</v>
      </c>
      <c r="O92" s="45"/>
      <c r="P92" s="7" t="str">
        <f aca="false">IF(OR(O92="",J92=""),"",IFERROR(O92/J92,""))</f>
        <v/>
      </c>
      <c r="Q92" s="46"/>
      <c r="R92" s="8" t="n">
        <f aca="false">N92*(Inputs!$D$16+(Inputs!$D$27-Inputs!$D$16)*E92)</f>
        <v>35000</v>
      </c>
      <c r="S92" s="8" t="str">
        <f aca="false">IF(OR(O92="",Q92="",J92=""),"",IFERROR(O92*Q92/J92,""))</f>
        <v/>
      </c>
      <c r="T92" s="7" t="str">
        <f aca="false">IF(S92="","",IFERROR(S92/R92-1,""))</f>
        <v/>
      </c>
      <c r="U92" s="8" t="n">
        <f aca="false">C92*(R92-Inputs!$D$19)*Inputs!$D$28</f>
        <v>21000</v>
      </c>
      <c r="V92" s="8" t="str">
        <f aca="false">IF(OR(C92=0,S92=""),"",(S92-Inputs!$D$19)*Inputs!$D$28)</f>
        <v/>
      </c>
      <c r="W92" s="45"/>
      <c r="X92" s="7" t="str">
        <f aca="false">IF(OR(W92="",G92=""),"",IFERROR(W92/G92,""))</f>
        <v/>
      </c>
      <c r="Y92" s="47"/>
    </row>
    <row r="93" customFormat="false" ht="15" hidden="false" customHeight="false" outlineLevel="0" collapsed="false">
      <c r="A93" s="44" t="n">
        <v>46382</v>
      </c>
      <c r="B93" s="20" t="str">
        <f aca="false">TEXT(A93,"ddd")</f>
        <v>Sat</v>
      </c>
      <c r="C93" s="6" t="n">
        <f aca="false">IF(A93&gt;=Inputs!$D$9,1,0)</f>
        <v>1</v>
      </c>
      <c r="D93" s="6" t="n">
        <f aca="false">IF(C93=1,A93-Inputs!$D$9+1,"")</f>
        <v>80</v>
      </c>
      <c r="E93" s="51" t="n">
        <f aca="false">IF(C93=1,MIN(1,D93/Inputs!$D$29),0)</f>
        <v>1</v>
      </c>
      <c r="F93" s="6" t="n">
        <f aca="false">Inputs!$D$13+(Inputs!$D$32-Inputs!$D$13)*E93</f>
        <v>300</v>
      </c>
      <c r="G93" s="45"/>
      <c r="H93" s="7" t="str">
        <f aca="false">IF(G93="","",IFERROR(G93/F93-1,""))</f>
        <v/>
      </c>
      <c r="I93" s="6" t="n">
        <f aca="false">Inputs!$D$14+(Inputs!$D$24-Inputs!$D$14)*E93</f>
        <v>250</v>
      </c>
      <c r="J93" s="45"/>
      <c r="K93" s="7" t="str">
        <f aca="false">IF(J93="","",IFERROR(J93/I93-1,""))</f>
        <v/>
      </c>
      <c r="L93" s="52" t="str">
        <f aca="false">IF(OR(G93="",J93=""),"",IFERROR(G93/J93,""))</f>
        <v/>
      </c>
      <c r="M93" s="53" t="str">
        <f aca="false">IF(OR(J93="",'Site Daily'!E93=""),"",IFERROR(J93/'Site Daily'!E93*1000,""))</f>
        <v/>
      </c>
      <c r="N93" s="53" t="n">
        <f aca="false">I93*(Inputs!$D$17+(Inputs!$D$26-Inputs!$D$17)*E93)</f>
        <v>50</v>
      </c>
      <c r="O93" s="45"/>
      <c r="P93" s="7" t="str">
        <f aca="false">IF(OR(O93="",J93=""),"",IFERROR(O93/J93,""))</f>
        <v/>
      </c>
      <c r="Q93" s="46"/>
      <c r="R93" s="8" t="n">
        <f aca="false">N93*(Inputs!$D$16+(Inputs!$D$27-Inputs!$D$16)*E93)</f>
        <v>35000</v>
      </c>
      <c r="S93" s="8" t="str">
        <f aca="false">IF(OR(O93="",Q93="",J93=""),"",IFERROR(O93*Q93/J93,""))</f>
        <v/>
      </c>
      <c r="T93" s="7" t="str">
        <f aca="false">IF(S93="","",IFERROR(S93/R93-1,""))</f>
        <v/>
      </c>
      <c r="U93" s="8" t="n">
        <f aca="false">C93*(R93-Inputs!$D$19)*Inputs!$D$28</f>
        <v>21000</v>
      </c>
      <c r="V93" s="8" t="str">
        <f aca="false">IF(OR(C93=0,S93=""),"",(S93-Inputs!$D$19)*Inputs!$D$28)</f>
        <v/>
      </c>
      <c r="W93" s="45"/>
      <c r="X93" s="7" t="str">
        <f aca="false">IF(OR(W93="",G93=""),"",IFERROR(W93/G93,""))</f>
        <v/>
      </c>
      <c r="Y93" s="47"/>
    </row>
    <row r="94" customFormat="false" ht="15" hidden="false" customHeight="false" outlineLevel="0" collapsed="false">
      <c r="A94" s="44" t="n">
        <v>46383</v>
      </c>
      <c r="B94" s="20" t="str">
        <f aca="false">TEXT(A94,"ddd")</f>
        <v>Sun</v>
      </c>
      <c r="C94" s="6" t="n">
        <f aca="false">IF(A94&gt;=Inputs!$D$9,1,0)</f>
        <v>1</v>
      </c>
      <c r="D94" s="6" t="n">
        <f aca="false">IF(C94=1,A94-Inputs!$D$9+1,"")</f>
        <v>81</v>
      </c>
      <c r="E94" s="51" t="n">
        <f aca="false">IF(C94=1,MIN(1,D94/Inputs!$D$29),0)</f>
        <v>1</v>
      </c>
      <c r="F94" s="6" t="n">
        <f aca="false">Inputs!$D$13+(Inputs!$D$32-Inputs!$D$13)*E94</f>
        <v>300</v>
      </c>
      <c r="G94" s="45"/>
      <c r="H94" s="7" t="str">
        <f aca="false">IF(G94="","",IFERROR(G94/F94-1,""))</f>
        <v/>
      </c>
      <c r="I94" s="6" t="n">
        <f aca="false">Inputs!$D$14+(Inputs!$D$24-Inputs!$D$14)*E94</f>
        <v>250</v>
      </c>
      <c r="J94" s="45"/>
      <c r="K94" s="7" t="str">
        <f aca="false">IF(J94="","",IFERROR(J94/I94-1,""))</f>
        <v/>
      </c>
      <c r="L94" s="52" t="str">
        <f aca="false">IF(OR(G94="",J94=""),"",IFERROR(G94/J94,""))</f>
        <v/>
      </c>
      <c r="M94" s="53" t="str">
        <f aca="false">IF(OR(J94="",'Site Daily'!E94=""),"",IFERROR(J94/'Site Daily'!E94*1000,""))</f>
        <v/>
      </c>
      <c r="N94" s="53" t="n">
        <f aca="false">I94*(Inputs!$D$17+(Inputs!$D$26-Inputs!$D$17)*E94)</f>
        <v>50</v>
      </c>
      <c r="O94" s="45"/>
      <c r="P94" s="7" t="str">
        <f aca="false">IF(OR(O94="",J94=""),"",IFERROR(O94/J94,""))</f>
        <v/>
      </c>
      <c r="Q94" s="46"/>
      <c r="R94" s="8" t="n">
        <f aca="false">N94*(Inputs!$D$16+(Inputs!$D$27-Inputs!$D$16)*E94)</f>
        <v>35000</v>
      </c>
      <c r="S94" s="8" t="str">
        <f aca="false">IF(OR(O94="",Q94="",J94=""),"",IFERROR(O94*Q94/J94,""))</f>
        <v/>
      </c>
      <c r="T94" s="7" t="str">
        <f aca="false">IF(S94="","",IFERROR(S94/R94-1,""))</f>
        <v/>
      </c>
      <c r="U94" s="8" t="n">
        <f aca="false">C94*(R94-Inputs!$D$19)*Inputs!$D$28</f>
        <v>21000</v>
      </c>
      <c r="V94" s="8" t="str">
        <f aca="false">IF(OR(C94=0,S94=""),"",(S94-Inputs!$D$19)*Inputs!$D$28)</f>
        <v/>
      </c>
      <c r="W94" s="45"/>
      <c r="X94" s="7" t="str">
        <f aca="false">IF(OR(W94="",G94=""),"",IFERROR(W94/G94,""))</f>
        <v/>
      </c>
      <c r="Y94" s="47"/>
    </row>
    <row r="95" customFormat="false" ht="15" hidden="false" customHeight="false" outlineLevel="0" collapsed="false">
      <c r="A95" s="44" t="n">
        <v>46384</v>
      </c>
      <c r="B95" s="20" t="str">
        <f aca="false">TEXT(A95,"ddd")</f>
        <v>Mon</v>
      </c>
      <c r="C95" s="6" t="n">
        <f aca="false">IF(A95&gt;=Inputs!$D$9,1,0)</f>
        <v>1</v>
      </c>
      <c r="D95" s="6" t="n">
        <f aca="false">IF(C95=1,A95-Inputs!$D$9+1,"")</f>
        <v>82</v>
      </c>
      <c r="E95" s="51" t="n">
        <f aca="false">IF(C95=1,MIN(1,D95/Inputs!$D$29),0)</f>
        <v>1</v>
      </c>
      <c r="F95" s="6" t="n">
        <f aca="false">Inputs!$D$13+(Inputs!$D$32-Inputs!$D$13)*E95</f>
        <v>300</v>
      </c>
      <c r="G95" s="45"/>
      <c r="H95" s="7" t="str">
        <f aca="false">IF(G95="","",IFERROR(G95/F95-1,""))</f>
        <v/>
      </c>
      <c r="I95" s="6" t="n">
        <f aca="false">Inputs!$D$14+(Inputs!$D$24-Inputs!$D$14)*E95</f>
        <v>250</v>
      </c>
      <c r="J95" s="45"/>
      <c r="K95" s="7" t="str">
        <f aca="false">IF(J95="","",IFERROR(J95/I95-1,""))</f>
        <v/>
      </c>
      <c r="L95" s="52" t="str">
        <f aca="false">IF(OR(G95="",J95=""),"",IFERROR(G95/J95,""))</f>
        <v/>
      </c>
      <c r="M95" s="53" t="str">
        <f aca="false">IF(OR(J95="",'Site Daily'!E95=""),"",IFERROR(J95/'Site Daily'!E95*1000,""))</f>
        <v/>
      </c>
      <c r="N95" s="53" t="n">
        <f aca="false">I95*(Inputs!$D$17+(Inputs!$D$26-Inputs!$D$17)*E95)</f>
        <v>50</v>
      </c>
      <c r="O95" s="45"/>
      <c r="P95" s="7" t="str">
        <f aca="false">IF(OR(O95="",J95=""),"",IFERROR(O95/J95,""))</f>
        <v/>
      </c>
      <c r="Q95" s="46"/>
      <c r="R95" s="8" t="n">
        <f aca="false">N95*(Inputs!$D$16+(Inputs!$D$27-Inputs!$D$16)*E95)</f>
        <v>35000</v>
      </c>
      <c r="S95" s="8" t="str">
        <f aca="false">IF(OR(O95="",Q95="",J95=""),"",IFERROR(O95*Q95/J95,""))</f>
        <v/>
      </c>
      <c r="T95" s="7" t="str">
        <f aca="false">IF(S95="","",IFERROR(S95/R95-1,""))</f>
        <v/>
      </c>
      <c r="U95" s="8" t="n">
        <f aca="false">C95*(R95-Inputs!$D$19)*Inputs!$D$28</f>
        <v>21000</v>
      </c>
      <c r="V95" s="8" t="str">
        <f aca="false">IF(OR(C95=0,S95=""),"",(S95-Inputs!$D$19)*Inputs!$D$28)</f>
        <v/>
      </c>
      <c r="W95" s="45"/>
      <c r="X95" s="7" t="str">
        <f aca="false">IF(OR(W95="",G95=""),"",IFERROR(W95/G95,""))</f>
        <v/>
      </c>
      <c r="Y95" s="47"/>
    </row>
    <row r="96" customFormat="false" ht="15" hidden="false" customHeight="false" outlineLevel="0" collapsed="false">
      <c r="A96" s="44" t="n">
        <v>46385</v>
      </c>
      <c r="B96" s="20" t="str">
        <f aca="false">TEXT(A96,"ddd")</f>
        <v>Tue</v>
      </c>
      <c r="C96" s="6" t="n">
        <f aca="false">IF(A96&gt;=Inputs!$D$9,1,0)</f>
        <v>1</v>
      </c>
      <c r="D96" s="6" t="n">
        <f aca="false">IF(C96=1,A96-Inputs!$D$9+1,"")</f>
        <v>83</v>
      </c>
      <c r="E96" s="51" t="n">
        <f aca="false">IF(C96=1,MIN(1,D96/Inputs!$D$29),0)</f>
        <v>1</v>
      </c>
      <c r="F96" s="6" t="n">
        <f aca="false">Inputs!$D$13+(Inputs!$D$32-Inputs!$D$13)*E96</f>
        <v>300</v>
      </c>
      <c r="G96" s="45"/>
      <c r="H96" s="7" t="str">
        <f aca="false">IF(G96="","",IFERROR(G96/F96-1,""))</f>
        <v/>
      </c>
      <c r="I96" s="6" t="n">
        <f aca="false">Inputs!$D$14+(Inputs!$D$24-Inputs!$D$14)*E96</f>
        <v>250</v>
      </c>
      <c r="J96" s="45"/>
      <c r="K96" s="7" t="str">
        <f aca="false">IF(J96="","",IFERROR(J96/I96-1,""))</f>
        <v/>
      </c>
      <c r="L96" s="52" t="str">
        <f aca="false">IF(OR(G96="",J96=""),"",IFERROR(G96/J96,""))</f>
        <v/>
      </c>
      <c r="M96" s="53" t="str">
        <f aca="false">IF(OR(J96="",'Site Daily'!E96=""),"",IFERROR(J96/'Site Daily'!E96*1000,""))</f>
        <v/>
      </c>
      <c r="N96" s="53" t="n">
        <f aca="false">I96*(Inputs!$D$17+(Inputs!$D$26-Inputs!$D$17)*E96)</f>
        <v>50</v>
      </c>
      <c r="O96" s="45"/>
      <c r="P96" s="7" t="str">
        <f aca="false">IF(OR(O96="",J96=""),"",IFERROR(O96/J96,""))</f>
        <v/>
      </c>
      <c r="Q96" s="46"/>
      <c r="R96" s="8" t="n">
        <f aca="false">N96*(Inputs!$D$16+(Inputs!$D$27-Inputs!$D$16)*E96)</f>
        <v>35000</v>
      </c>
      <c r="S96" s="8" t="str">
        <f aca="false">IF(OR(O96="",Q96="",J96=""),"",IFERROR(O96*Q96/J96,""))</f>
        <v/>
      </c>
      <c r="T96" s="7" t="str">
        <f aca="false">IF(S96="","",IFERROR(S96/R96-1,""))</f>
        <v/>
      </c>
      <c r="U96" s="8" t="n">
        <f aca="false">C96*(R96-Inputs!$D$19)*Inputs!$D$28</f>
        <v>21000</v>
      </c>
      <c r="V96" s="8" t="str">
        <f aca="false">IF(OR(C96=0,S96=""),"",(S96-Inputs!$D$19)*Inputs!$D$28)</f>
        <v/>
      </c>
      <c r="W96" s="45"/>
      <c r="X96" s="7" t="str">
        <f aca="false">IF(OR(W96="",G96=""),"",IFERROR(W96/G96,""))</f>
        <v/>
      </c>
      <c r="Y96" s="47"/>
    </row>
    <row r="97" customFormat="false" ht="15" hidden="false" customHeight="false" outlineLevel="0" collapsed="false">
      <c r="A97" s="44" t="n">
        <v>46386</v>
      </c>
      <c r="B97" s="20" t="str">
        <f aca="false">TEXT(A97,"ddd")</f>
        <v>Wed</v>
      </c>
      <c r="C97" s="6" t="n">
        <f aca="false">IF(A97&gt;=Inputs!$D$9,1,0)</f>
        <v>1</v>
      </c>
      <c r="D97" s="6" t="n">
        <f aca="false">IF(C97=1,A97-Inputs!$D$9+1,"")</f>
        <v>84</v>
      </c>
      <c r="E97" s="51" t="n">
        <f aca="false">IF(C97=1,MIN(1,D97/Inputs!$D$29),0)</f>
        <v>1</v>
      </c>
      <c r="F97" s="6" t="n">
        <f aca="false">Inputs!$D$13+(Inputs!$D$32-Inputs!$D$13)*E97</f>
        <v>300</v>
      </c>
      <c r="G97" s="45"/>
      <c r="H97" s="7" t="str">
        <f aca="false">IF(G97="","",IFERROR(G97/F97-1,""))</f>
        <v/>
      </c>
      <c r="I97" s="6" t="n">
        <f aca="false">Inputs!$D$14+(Inputs!$D$24-Inputs!$D$14)*E97</f>
        <v>250</v>
      </c>
      <c r="J97" s="45"/>
      <c r="K97" s="7" t="str">
        <f aca="false">IF(J97="","",IFERROR(J97/I97-1,""))</f>
        <v/>
      </c>
      <c r="L97" s="52" t="str">
        <f aca="false">IF(OR(G97="",J97=""),"",IFERROR(G97/J97,""))</f>
        <v/>
      </c>
      <c r="M97" s="53" t="str">
        <f aca="false">IF(OR(J97="",'Site Daily'!E97=""),"",IFERROR(J97/'Site Daily'!E97*1000,""))</f>
        <v/>
      </c>
      <c r="N97" s="53" t="n">
        <f aca="false">I97*(Inputs!$D$17+(Inputs!$D$26-Inputs!$D$17)*E97)</f>
        <v>50</v>
      </c>
      <c r="O97" s="45"/>
      <c r="P97" s="7" t="str">
        <f aca="false">IF(OR(O97="",J97=""),"",IFERROR(O97/J97,""))</f>
        <v/>
      </c>
      <c r="Q97" s="46"/>
      <c r="R97" s="8" t="n">
        <f aca="false">N97*(Inputs!$D$16+(Inputs!$D$27-Inputs!$D$16)*E97)</f>
        <v>35000</v>
      </c>
      <c r="S97" s="8" t="str">
        <f aca="false">IF(OR(O97="",Q97="",J97=""),"",IFERROR(O97*Q97/J97,""))</f>
        <v/>
      </c>
      <c r="T97" s="7" t="str">
        <f aca="false">IF(S97="","",IFERROR(S97/R97-1,""))</f>
        <v/>
      </c>
      <c r="U97" s="8" t="n">
        <f aca="false">C97*(R97-Inputs!$D$19)*Inputs!$D$28</f>
        <v>21000</v>
      </c>
      <c r="V97" s="8" t="str">
        <f aca="false">IF(OR(C97=0,S97=""),"",(S97-Inputs!$D$19)*Inputs!$D$28)</f>
        <v/>
      </c>
      <c r="W97" s="45"/>
      <c r="X97" s="7" t="str">
        <f aca="false">IF(OR(W97="",G97=""),"",IFERROR(W97/G97,""))</f>
        <v/>
      </c>
      <c r="Y97" s="47"/>
    </row>
    <row r="98" customFormat="false" ht="15" hidden="false" customHeight="false" outlineLevel="0" collapsed="false">
      <c r="A98" s="44" t="n">
        <v>46387</v>
      </c>
      <c r="B98" s="20" t="str">
        <f aca="false">TEXT(A98,"ddd")</f>
        <v>Thu</v>
      </c>
      <c r="C98" s="6" t="n">
        <f aca="false">IF(A98&gt;=Inputs!$D$9,1,0)</f>
        <v>1</v>
      </c>
      <c r="D98" s="6" t="n">
        <f aca="false">IF(C98=1,A98-Inputs!$D$9+1,"")</f>
        <v>85</v>
      </c>
      <c r="E98" s="51" t="n">
        <f aca="false">IF(C98=1,MIN(1,D98/Inputs!$D$29),0)</f>
        <v>1</v>
      </c>
      <c r="F98" s="6" t="n">
        <f aca="false">Inputs!$D$13+(Inputs!$D$32-Inputs!$D$13)*E98</f>
        <v>300</v>
      </c>
      <c r="G98" s="45"/>
      <c r="H98" s="7" t="str">
        <f aca="false">IF(G98="","",IFERROR(G98/F98-1,""))</f>
        <v/>
      </c>
      <c r="I98" s="6" t="n">
        <f aca="false">Inputs!$D$14+(Inputs!$D$24-Inputs!$D$14)*E98</f>
        <v>250</v>
      </c>
      <c r="J98" s="45"/>
      <c r="K98" s="7" t="str">
        <f aca="false">IF(J98="","",IFERROR(J98/I98-1,""))</f>
        <v/>
      </c>
      <c r="L98" s="52" t="str">
        <f aca="false">IF(OR(G98="",J98=""),"",IFERROR(G98/J98,""))</f>
        <v/>
      </c>
      <c r="M98" s="53" t="str">
        <f aca="false">IF(OR(J98="",'Site Daily'!E98=""),"",IFERROR(J98/'Site Daily'!E98*1000,""))</f>
        <v/>
      </c>
      <c r="N98" s="53" t="n">
        <f aca="false">I98*(Inputs!$D$17+(Inputs!$D$26-Inputs!$D$17)*E98)</f>
        <v>50</v>
      </c>
      <c r="O98" s="45"/>
      <c r="P98" s="7" t="str">
        <f aca="false">IF(OR(O98="",J98=""),"",IFERROR(O98/J98,""))</f>
        <v/>
      </c>
      <c r="Q98" s="46"/>
      <c r="R98" s="8" t="n">
        <f aca="false">N98*(Inputs!$D$16+(Inputs!$D$27-Inputs!$D$16)*E98)</f>
        <v>35000</v>
      </c>
      <c r="S98" s="8" t="str">
        <f aca="false">IF(OR(O98="",Q98="",J98=""),"",IFERROR(O98*Q98/J98,""))</f>
        <v/>
      </c>
      <c r="T98" s="7" t="str">
        <f aca="false">IF(S98="","",IFERROR(S98/R98-1,""))</f>
        <v/>
      </c>
      <c r="U98" s="8" t="n">
        <f aca="false">C98*(R98-Inputs!$D$19)*Inputs!$D$28</f>
        <v>21000</v>
      </c>
      <c r="V98" s="8" t="str">
        <f aca="false">IF(OR(C98=0,S98=""),"",(S98-Inputs!$D$19)*Inputs!$D$28)</f>
        <v/>
      </c>
      <c r="W98" s="45"/>
      <c r="X98" s="7" t="str">
        <f aca="false">IF(OR(W98="",G98=""),"",IFERROR(W98/G98,""))</f>
        <v/>
      </c>
      <c r="Y98" s="47"/>
    </row>
  </sheetData>
  <mergeCells count="6">
    <mergeCell ref="A4:E4"/>
    <mergeCell ref="F4:H4"/>
    <mergeCell ref="I4:M4"/>
    <mergeCell ref="N4:P4"/>
    <mergeCell ref="Q4:V4"/>
    <mergeCell ref="W4:Y4"/>
  </mergeCells>
  <conditionalFormatting sqref="A6:E98">
    <cfRule type="expression" priority="2" aboveAverage="0" equalAverage="0" bottom="0" percent="0" rank="0" text="" dxfId="3">
      <formula>$C6=1</formula>
    </cfRule>
  </conditionalFormatting>
  <conditionalFormatting sqref="H6:H98">
    <cfRule type="expression" priority="3" aboveAverage="0" equalAverage="0" bottom="0" percent="0" rank="0" text="" dxfId="4">
      <formula>AND(ISNUMBER(H6),H6&lt;-0.1)</formula>
    </cfRule>
    <cfRule type="expression" priority="4" aboveAverage="0" equalAverage="0" bottom="0" percent="0" rank="0" text="" dxfId="5">
      <formula>AND(ISNUMBER(H6),H6&gt;=0)</formula>
    </cfRule>
  </conditionalFormatting>
  <conditionalFormatting sqref="K6:K98">
    <cfRule type="expression" priority="5" aboveAverage="0" equalAverage="0" bottom="0" percent="0" rank="0" text="" dxfId="4">
      <formula>AND(ISNUMBER(K6),K6&lt;-0.1)</formula>
    </cfRule>
    <cfRule type="expression" priority="6" aboveAverage="0" equalAverage="0" bottom="0" percent="0" rank="0" text="" dxfId="5">
      <formula>AND(ISNUMBER(K6),K6&gt;=0)</formula>
    </cfRule>
  </conditionalFormatting>
  <conditionalFormatting sqref="T6:T98">
    <cfRule type="expression" priority="7" aboveAverage="0" equalAverage="0" bottom="0" percent="0" rank="0" text="" dxfId="4">
      <formula>AND(ISNUMBER(T6),T6&lt;-0.1)</formula>
    </cfRule>
    <cfRule type="expression" priority="8" aboveAverage="0" equalAverage="0" bottom="0" percent="0" rank="0" text="" dxfId="5">
      <formula>AND(ISNUMBER(T6),T6&gt;=0)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5" min="4" style="0" width="7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6" min="14" style="0" width="10"/>
    <col collapsed="false" customWidth="true" hidden="false" outlineLevel="0" max="17" min="17" style="0" width="13"/>
    <col collapsed="false" customWidth="true" hidden="false" outlineLevel="0" max="19" min="18" style="0" width="14"/>
    <col collapsed="false" customWidth="true" hidden="false" outlineLevel="0" max="20" min="20" style="0" width="9"/>
    <col collapsed="false" customWidth="true" hidden="false" outlineLevel="0" max="22" min="21" style="0" width="1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0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tr">
        <f aca="false">"Identifier: "&amp;Inputs!E8&amp;"   |   Go-live: "&amp;TEXT(Inputs!E9,"dd-mmm-yy")&amp;"   |   Steady-state plan: "&amp;TEXT(Inputs!E32,"#,##0")&amp;" ATC events/day, ₹"&amp;TEXT(Inputs!E36,"#,##0")&amp;" net incremental revenue/day"</f>
        <v>Identifier: dp/cross-sell   |   Go-live: 15-Oct-26   |   Steady-state plan: 1,236 ATC events/day, ₹9,886 net incremental revenue/day</v>
      </c>
    </row>
    <row r="3" customFormat="false" ht="15" hidden="false" customHeight="false" outlineLevel="0" collapsed="false">
      <c r="A3" s="2" t="s">
        <v>160</v>
      </c>
    </row>
    <row r="4" customFormat="false" ht="23.85" hidden="false" customHeight="true" outlineLevel="0" collapsed="false">
      <c r="A4" s="40" t="s">
        <v>161</v>
      </c>
      <c r="B4" s="40"/>
      <c r="C4" s="40"/>
      <c r="D4" s="40"/>
      <c r="E4" s="40"/>
      <c r="F4" s="48" t="s">
        <v>162</v>
      </c>
      <c r="G4" s="48"/>
      <c r="H4" s="48"/>
      <c r="I4" s="49" t="s">
        <v>163</v>
      </c>
      <c r="J4" s="49"/>
      <c r="K4" s="49"/>
      <c r="L4" s="49"/>
      <c r="M4" s="49"/>
      <c r="N4" s="50" t="s">
        <v>164</v>
      </c>
      <c r="O4" s="50"/>
      <c r="P4" s="50"/>
      <c r="Q4" s="42" t="s">
        <v>165</v>
      </c>
      <c r="R4" s="42"/>
      <c r="S4" s="42"/>
      <c r="T4" s="42"/>
      <c r="U4" s="42"/>
      <c r="V4" s="42"/>
      <c r="W4" s="43" t="s">
        <v>144</v>
      </c>
      <c r="X4" s="43"/>
      <c r="Y4" s="43"/>
    </row>
    <row r="5" customFormat="false" ht="48" hidden="false" customHeight="true" outlineLevel="0" collapsed="false">
      <c r="A5" s="3" t="s">
        <v>145</v>
      </c>
      <c r="B5" s="3" t="s">
        <v>146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170</v>
      </c>
      <c r="H5" s="3" t="s">
        <v>25</v>
      </c>
      <c r="I5" s="3" t="s">
        <v>169</v>
      </c>
      <c r="J5" s="3" t="s">
        <v>170</v>
      </c>
      <c r="K5" s="3" t="s">
        <v>25</v>
      </c>
      <c r="L5" s="3" t="s">
        <v>171</v>
      </c>
      <c r="M5" s="3" t="s">
        <v>172</v>
      </c>
      <c r="N5" s="3" t="s">
        <v>169</v>
      </c>
      <c r="O5" s="3" t="s">
        <v>170</v>
      </c>
      <c r="P5" s="3" t="s">
        <v>173</v>
      </c>
      <c r="Q5" s="3" t="s">
        <v>174</v>
      </c>
      <c r="R5" s="3" t="s">
        <v>175</v>
      </c>
      <c r="S5" s="3" t="s">
        <v>176</v>
      </c>
      <c r="T5" s="3" t="s">
        <v>25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158</v>
      </c>
    </row>
    <row r="6" customFormat="false" ht="15" hidden="false" customHeight="false" outlineLevel="0" collapsed="false">
      <c r="A6" s="44" t="n">
        <v>46295</v>
      </c>
      <c r="B6" s="20" t="str">
        <f aca="false">TEXT(A6,"ddd")</f>
        <v>Wed</v>
      </c>
      <c r="C6" s="6" t="n">
        <f aca="false">IF(A6&gt;=Inputs!$E$9,1,0)</f>
        <v>0</v>
      </c>
      <c r="D6" s="6" t="str">
        <f aca="false">IF(C6=1,A6-Inputs!$E$9+1,"")</f>
        <v/>
      </c>
      <c r="E6" s="51" t="n">
        <f aca="false">IF(C6=1,MIN(1,D6/Inputs!$E$29),0)</f>
        <v>0</v>
      </c>
      <c r="F6" s="6" t="n">
        <f aca="false">Inputs!$E$13+(Inputs!$E$32-Inputs!$E$13)*E6</f>
        <v>946.333333333333</v>
      </c>
      <c r="G6" s="45" t="n">
        <v>1289</v>
      </c>
      <c r="H6" s="7" t="n">
        <f aca="false">IF(G6="","",IFERROR(G6/F6-1,""))</f>
        <v>0.362099330750264</v>
      </c>
      <c r="I6" s="6" t="n">
        <f aca="false">Inputs!$E$14+(Inputs!$E$24-Inputs!$E$14)*E6</f>
        <v>706.333333333333</v>
      </c>
      <c r="J6" s="45" t="n">
        <v>970</v>
      </c>
      <c r="K6" s="7" t="n">
        <f aca="false">IF(J6="","",IFERROR(J6/I6-1,""))</f>
        <v>0.373289287399717</v>
      </c>
      <c r="L6" s="52" t="n">
        <f aca="false">IF(OR(G6="",J6=""),"",IFERROR(G6/J6,""))</f>
        <v>1.32886597938144</v>
      </c>
      <c r="M6" s="53" t="n">
        <f aca="false">IF(OR(J6="",'Site Daily'!E6=""),"",IFERROR(J6/'Site Daily'!E6*1000,""))</f>
        <v>28.1118678452398</v>
      </c>
      <c r="N6" s="53" t="n">
        <f aca="false">I6*(Inputs!$E$17+(Inputs!$E$26-Inputs!$E$17)*E6)</f>
        <v>32.1666666666667</v>
      </c>
      <c r="O6" s="45" t="n">
        <v>48</v>
      </c>
      <c r="P6" s="7" t="n">
        <f aca="false">IF(OR(O6="",J6=""),"",IFERROR(O6/J6,""))</f>
        <v>0.0494845360824742</v>
      </c>
      <c r="Q6" s="46" t="n">
        <v>1144216</v>
      </c>
      <c r="R6" s="8" t="n">
        <f aca="false">N6*(Inputs!$E$16+(Inputs!$E$27-Inputs!$E$16)*E6)</f>
        <v>38985.2789444707</v>
      </c>
      <c r="S6" s="8" t="n">
        <f aca="false">IF(OR(O6="",Q6="",J6=""),"",IFERROR(O6*Q6/J6,""))</f>
        <v>56620.9979381443</v>
      </c>
      <c r="T6" s="7" t="n">
        <f aca="false">IF(S6="","",IFERROR(S6/R6-1,""))</f>
        <v>0.452368675334949</v>
      </c>
      <c r="U6" s="8" t="n">
        <f aca="false">C6*(R6-Inputs!$E$19)*Inputs!$E$28</f>
        <v>0</v>
      </c>
      <c r="V6" s="8" t="str">
        <f aca="false">IF(OR(C6=0,S6=""),"",(S6-Inputs!$E$19)*Inputs!$E$28)</f>
        <v/>
      </c>
      <c r="W6" s="45"/>
      <c r="X6" s="7" t="str">
        <f aca="false">IF(OR(W6="",G6=""),"",IFERROR(W6/G6,""))</f>
        <v/>
      </c>
      <c r="Y6" s="47"/>
    </row>
    <row r="7" customFormat="false" ht="15" hidden="false" customHeight="false" outlineLevel="0" collapsed="false">
      <c r="A7" s="44" t="n">
        <v>46296</v>
      </c>
      <c r="B7" s="20" t="str">
        <f aca="false">TEXT(A7,"ddd")</f>
        <v>Thu</v>
      </c>
      <c r="C7" s="6" t="n">
        <f aca="false">IF(A7&gt;=Inputs!$E$9,1,0)</f>
        <v>0</v>
      </c>
      <c r="D7" s="6" t="str">
        <f aca="false">IF(C7=1,A7-Inputs!$E$9+1,"")</f>
        <v/>
      </c>
      <c r="E7" s="51" t="n">
        <f aca="false">IF(C7=1,MIN(1,D7/Inputs!$E$29),0)</f>
        <v>0</v>
      </c>
      <c r="F7" s="6" t="n">
        <f aca="false">Inputs!$E$13+(Inputs!$E$32-Inputs!$E$13)*E7</f>
        <v>946.333333333333</v>
      </c>
      <c r="G7" s="45" t="n">
        <v>820</v>
      </c>
      <c r="H7" s="7" t="n">
        <f aca="false">IF(G7="","",IFERROR(G7/F7-1,""))</f>
        <v>-0.13349771046143</v>
      </c>
      <c r="I7" s="6" t="n">
        <f aca="false">Inputs!$E$14+(Inputs!$E$24-Inputs!$E$14)*E7</f>
        <v>706.333333333333</v>
      </c>
      <c r="J7" s="45" t="n">
        <v>595</v>
      </c>
      <c r="K7" s="7" t="n">
        <f aca="false">IF(J7="","",IFERROR(J7/I7-1,""))</f>
        <v>-0.15762151958471</v>
      </c>
      <c r="L7" s="52" t="n">
        <f aca="false">IF(OR(G7="",J7=""),"",IFERROR(G7/J7,""))</f>
        <v>1.3781512605042</v>
      </c>
      <c r="M7" s="53" t="n">
        <f aca="false">IF(OR(J7="",'Site Daily'!E7=""),"",IFERROR(J7/'Site Daily'!E7*1000,""))</f>
        <v>17.4114066660814</v>
      </c>
      <c r="N7" s="53" t="n">
        <f aca="false">I7*(Inputs!$E$17+(Inputs!$E$26-Inputs!$E$17)*E7)</f>
        <v>32.1666666666667</v>
      </c>
      <c r="O7" s="45" t="n">
        <v>27</v>
      </c>
      <c r="P7" s="7" t="n">
        <f aca="false">IF(OR(O7="",J7=""),"",IFERROR(O7/J7,""))</f>
        <v>0.0453781512605042</v>
      </c>
      <c r="Q7" s="46" t="n">
        <v>764691</v>
      </c>
      <c r="R7" s="8" t="n">
        <f aca="false">N7*(Inputs!$E$16+(Inputs!$E$27-Inputs!$E$16)*E7)</f>
        <v>38985.2789444707</v>
      </c>
      <c r="S7" s="8" t="n">
        <f aca="false">IF(OR(O7="",Q7="",J7=""),"",IFERROR(O7*Q7/J7,""))</f>
        <v>34700.2638655462</v>
      </c>
      <c r="T7" s="7" t="n">
        <f aca="false">IF(S7="","",IFERROR(S7/R7-1,""))</f>
        <v>-0.109913669850301</v>
      </c>
      <c r="U7" s="8" t="n">
        <f aca="false">C7*(R7-Inputs!$E$19)*Inputs!$E$28</f>
        <v>0</v>
      </c>
      <c r="V7" s="8" t="str">
        <f aca="false">IF(OR(C7=0,S7=""),"",(S7-Inputs!$E$19)*Inputs!$E$28)</f>
        <v/>
      </c>
      <c r="W7" s="45"/>
      <c r="X7" s="7" t="str">
        <f aca="false">IF(OR(W7="",G7=""),"",IFERROR(W7/G7,""))</f>
        <v/>
      </c>
      <c r="Y7" s="47"/>
    </row>
    <row r="8" customFormat="false" ht="15" hidden="false" customHeight="false" outlineLevel="0" collapsed="false">
      <c r="A8" s="44" t="n">
        <v>46297</v>
      </c>
      <c r="B8" s="20" t="str">
        <f aca="false">TEXT(A8,"ddd")</f>
        <v>Fri</v>
      </c>
      <c r="C8" s="6" t="n">
        <f aca="false">IF(A8&gt;=Inputs!$E$9,1,0)</f>
        <v>0</v>
      </c>
      <c r="D8" s="6" t="str">
        <f aca="false">IF(C8=1,A8-Inputs!$E$9+1,"")</f>
        <v/>
      </c>
      <c r="E8" s="51" t="n">
        <f aca="false">IF(C8=1,MIN(1,D8/Inputs!$E$29),0)</f>
        <v>0</v>
      </c>
      <c r="F8" s="6" t="n">
        <f aca="false">Inputs!$E$13+(Inputs!$E$32-Inputs!$E$13)*E8</f>
        <v>946.333333333333</v>
      </c>
      <c r="G8" s="45" t="n">
        <v>1121</v>
      </c>
      <c r="H8" s="7" t="n">
        <f aca="false">IF(G8="","",IFERROR(G8/F8-1,""))</f>
        <v>0.184572032405777</v>
      </c>
      <c r="I8" s="6" t="n">
        <f aca="false">Inputs!$E$14+(Inputs!$E$24-Inputs!$E$14)*E8</f>
        <v>706.333333333333</v>
      </c>
      <c r="J8" s="45" t="n">
        <v>819</v>
      </c>
      <c r="K8" s="7" t="n">
        <f aca="false">IF(J8="","",IFERROR(J8/I8-1,""))</f>
        <v>0.159509202453988</v>
      </c>
      <c r="L8" s="52" t="n">
        <f aca="false">IF(OR(G8="",J8=""),"",IFERROR(G8/J8,""))</f>
        <v>1.36874236874237</v>
      </c>
      <c r="M8" s="53" t="n">
        <f aca="false">IF(OR(J8="",'Site Daily'!E8=""),"",IFERROR(J8/'Site Daily'!E8*1000,""))</f>
        <v>21.5288365490773</v>
      </c>
      <c r="N8" s="53" t="n">
        <f aca="false">I8*(Inputs!$E$17+(Inputs!$E$26-Inputs!$E$17)*E8)</f>
        <v>32.1666666666667</v>
      </c>
      <c r="O8" s="45" t="n">
        <v>33</v>
      </c>
      <c r="P8" s="7" t="n">
        <f aca="false">IF(OR(O8="",J8=""),"",IFERROR(O8/J8,""))</f>
        <v>0.0402930402930403</v>
      </c>
      <c r="Q8" s="46" t="n">
        <v>1029688</v>
      </c>
      <c r="R8" s="8" t="n">
        <f aca="false">N8*(Inputs!$E$16+(Inputs!$E$27-Inputs!$E$16)*E8)</f>
        <v>38985.2789444707</v>
      </c>
      <c r="S8" s="8" t="n">
        <f aca="false">IF(OR(O8="",Q8="",J8=""),"",IFERROR(O8*Q8/J8,""))</f>
        <v>41489.2600732601</v>
      </c>
      <c r="T8" s="7" t="n">
        <f aca="false">IF(S8="","",IFERROR(S8/R8-1,""))</f>
        <v>0.0642288883543967</v>
      </c>
      <c r="U8" s="8" t="n">
        <f aca="false">C8*(R8-Inputs!$E$19)*Inputs!$E$28</f>
        <v>0</v>
      </c>
      <c r="V8" s="8" t="str">
        <f aca="false">IF(OR(C8=0,S8=""),"",(S8-Inputs!$E$19)*Inputs!$E$28)</f>
        <v/>
      </c>
      <c r="W8" s="45"/>
      <c r="X8" s="7" t="str">
        <f aca="false">IF(OR(W8="",G8=""),"",IFERROR(W8/G8,""))</f>
        <v/>
      </c>
      <c r="Y8" s="47"/>
    </row>
    <row r="9" customFormat="false" ht="15" hidden="false" customHeight="false" outlineLevel="0" collapsed="false">
      <c r="A9" s="44" t="n">
        <v>46298</v>
      </c>
      <c r="B9" s="20" t="str">
        <f aca="false">TEXT(A9,"ddd")</f>
        <v>Sat</v>
      </c>
      <c r="C9" s="6" t="n">
        <f aca="false">IF(A9&gt;=Inputs!$E$9,1,0)</f>
        <v>0</v>
      </c>
      <c r="D9" s="6" t="str">
        <f aca="false">IF(C9=1,A9-Inputs!$E$9+1,"")</f>
        <v/>
      </c>
      <c r="E9" s="51" t="n">
        <f aca="false">IF(C9=1,MIN(1,D9/Inputs!$E$29),0)</f>
        <v>0</v>
      </c>
      <c r="F9" s="6" t="n">
        <f aca="false">Inputs!$E$13+(Inputs!$E$32-Inputs!$E$13)*E9</f>
        <v>946.333333333333</v>
      </c>
      <c r="G9" s="45" t="n">
        <v>938</v>
      </c>
      <c r="H9" s="7" t="n">
        <f aca="false">IF(G9="","",IFERROR(G9/F9-1,""))</f>
        <v>-0.00880591757661153</v>
      </c>
      <c r="I9" s="6" t="n">
        <f aca="false">Inputs!$E$14+(Inputs!$E$24-Inputs!$E$14)*E9</f>
        <v>706.333333333333</v>
      </c>
      <c r="J9" s="45" t="n">
        <v>700</v>
      </c>
      <c r="K9" s="7" t="n">
        <f aca="false">IF(J9="","",IFERROR(J9/I9-1,""))</f>
        <v>-0.00896649362907032</v>
      </c>
      <c r="L9" s="52" t="n">
        <f aca="false">IF(OR(G9="",J9=""),"",IFERROR(G9/J9,""))</f>
        <v>1.34</v>
      </c>
      <c r="M9" s="53" t="n">
        <f aca="false">IF(OR(J9="",'Site Daily'!E9=""),"",IFERROR(J9/'Site Daily'!E9*1000,""))</f>
        <v>20.2739884727894</v>
      </c>
      <c r="N9" s="53" t="n">
        <f aca="false">I9*(Inputs!$E$17+(Inputs!$E$26-Inputs!$E$17)*E9)</f>
        <v>32.1666666666667</v>
      </c>
      <c r="O9" s="45" t="n">
        <v>28</v>
      </c>
      <c r="P9" s="7" t="n">
        <f aca="false">IF(OR(O9="",J9=""),"",IFERROR(O9/J9,""))</f>
        <v>0.04</v>
      </c>
      <c r="Q9" s="46" t="n">
        <v>843467</v>
      </c>
      <c r="R9" s="8" t="n">
        <f aca="false">N9*(Inputs!$E$16+(Inputs!$E$27-Inputs!$E$16)*E9)</f>
        <v>38985.2789444707</v>
      </c>
      <c r="S9" s="8" t="n">
        <f aca="false">IF(OR(O9="",Q9="",J9=""),"",IFERROR(O9*Q9/J9,""))</f>
        <v>33738.68</v>
      </c>
      <c r="T9" s="7" t="n">
        <f aca="false">IF(S9="","",IFERROR(S9/R9-1,""))</f>
        <v>-0.134578976642536</v>
      </c>
      <c r="U9" s="8" t="n">
        <f aca="false">C9*(R9-Inputs!$E$19)*Inputs!$E$28</f>
        <v>0</v>
      </c>
      <c r="V9" s="8" t="str">
        <f aca="false">IF(OR(C9=0,S9=""),"",(S9-Inputs!$E$19)*Inputs!$E$28)</f>
        <v/>
      </c>
      <c r="W9" s="45"/>
      <c r="X9" s="7" t="str">
        <f aca="false">IF(OR(W9="",G9=""),"",IFERROR(W9/G9,""))</f>
        <v/>
      </c>
      <c r="Y9" s="47"/>
    </row>
    <row r="10" customFormat="false" ht="15" hidden="false" customHeight="false" outlineLevel="0" collapsed="false">
      <c r="A10" s="44" t="n">
        <v>46299</v>
      </c>
      <c r="B10" s="20" t="str">
        <f aca="false">TEXT(A10,"ddd")</f>
        <v>Sun</v>
      </c>
      <c r="C10" s="6" t="n">
        <f aca="false">IF(A10&gt;=Inputs!$E$9,1,0)</f>
        <v>0</v>
      </c>
      <c r="D10" s="6" t="str">
        <f aca="false">IF(C10=1,A10-Inputs!$E$9+1,"")</f>
        <v/>
      </c>
      <c r="E10" s="51" t="n">
        <f aca="false">IF(C10=1,MIN(1,D10/Inputs!$E$29),0)</f>
        <v>0</v>
      </c>
      <c r="F10" s="6" t="n">
        <f aca="false">Inputs!$E$13+(Inputs!$E$32-Inputs!$E$13)*E10</f>
        <v>946.333333333333</v>
      </c>
      <c r="G10" s="45" t="n">
        <v>855</v>
      </c>
      <c r="H10" s="7" t="n">
        <f aca="false">IF(G10="","",IFERROR(G10/F10-1,""))</f>
        <v>-0.0965128566396619</v>
      </c>
      <c r="I10" s="6" t="n">
        <f aca="false">Inputs!$E$14+(Inputs!$E$24-Inputs!$E$14)*E10</f>
        <v>706.333333333333</v>
      </c>
      <c r="J10" s="45" t="n">
        <v>659</v>
      </c>
      <c r="K10" s="7" t="n">
        <f aca="false">IF(J10="","",IFERROR(J10/I10-1,""))</f>
        <v>-0.0670127418593677</v>
      </c>
      <c r="L10" s="52" t="n">
        <f aca="false">IF(OR(G10="",J10=""),"",IFERROR(G10/J10,""))</f>
        <v>1.29742033383915</v>
      </c>
      <c r="M10" s="53" t="n">
        <f aca="false">IF(OR(J10="",'Site Daily'!E10=""),"",IFERROR(J10/'Site Daily'!E10*1000,""))</f>
        <v>17.8847667381334</v>
      </c>
      <c r="N10" s="53" t="n">
        <f aca="false">I10*(Inputs!$E$17+(Inputs!$E$26-Inputs!$E$17)*E10)</f>
        <v>32.1666666666667</v>
      </c>
      <c r="O10" s="45" t="n">
        <v>31</v>
      </c>
      <c r="P10" s="7" t="n">
        <f aca="false">IF(OR(O10="",J10=""),"",IFERROR(O10/J10,""))</f>
        <v>0.047040971168437</v>
      </c>
      <c r="Q10" s="46" t="n">
        <v>767251</v>
      </c>
      <c r="R10" s="8" t="n">
        <f aca="false">N10*(Inputs!$E$16+(Inputs!$E$27-Inputs!$E$16)*E10)</f>
        <v>38985.2789444707</v>
      </c>
      <c r="S10" s="8" t="n">
        <f aca="false">IF(OR(O10="",Q10="",J10=""),"",IFERROR(O10*Q10/J10,""))</f>
        <v>36092.2321699545</v>
      </c>
      <c r="T10" s="7" t="n">
        <f aca="false">IF(S10="","",IFERROR(S10/R10-1,""))</f>
        <v>-0.074208697560865</v>
      </c>
      <c r="U10" s="8" t="n">
        <f aca="false">C10*(R10-Inputs!$E$19)*Inputs!$E$28</f>
        <v>0</v>
      </c>
      <c r="V10" s="8" t="str">
        <f aca="false">IF(OR(C10=0,S10=""),"",(S10-Inputs!$E$19)*Inputs!$E$28)</f>
        <v/>
      </c>
      <c r="W10" s="45"/>
      <c r="X10" s="7" t="str">
        <f aca="false">IF(OR(W10="",G10=""),"",IFERROR(W10/G10,""))</f>
        <v/>
      </c>
      <c r="Y10" s="47"/>
    </row>
    <row r="11" customFormat="false" ht="15" hidden="false" customHeight="false" outlineLevel="0" collapsed="false">
      <c r="A11" s="44" t="n">
        <v>46300</v>
      </c>
      <c r="B11" s="20" t="str">
        <f aca="false">TEXT(A11,"ddd")</f>
        <v>Mon</v>
      </c>
      <c r="C11" s="6" t="n">
        <f aca="false">IF(A11&gt;=Inputs!$E$9,1,0)</f>
        <v>0</v>
      </c>
      <c r="D11" s="6" t="str">
        <f aca="false">IF(C11=1,A11-Inputs!$E$9+1,"")</f>
        <v/>
      </c>
      <c r="E11" s="51" t="n">
        <f aca="false">IF(C11=1,MIN(1,D11/Inputs!$E$29),0)</f>
        <v>0</v>
      </c>
      <c r="F11" s="6" t="n">
        <f aca="false">Inputs!$E$13+(Inputs!$E$32-Inputs!$E$13)*E11</f>
        <v>946.333333333333</v>
      </c>
      <c r="G11" s="45" t="n">
        <v>655</v>
      </c>
      <c r="H11" s="7" t="n">
        <f aca="false">IF(G11="","",IFERROR(G11/F11-1,""))</f>
        <v>-0.307854878478338</v>
      </c>
      <c r="I11" s="6" t="n">
        <f aca="false">Inputs!$E$14+(Inputs!$E$24-Inputs!$E$14)*E11</f>
        <v>706.333333333333</v>
      </c>
      <c r="J11" s="45" t="n">
        <v>495</v>
      </c>
      <c r="K11" s="7" t="n">
        <f aca="false">IF(J11="","",IFERROR(J11/I11-1,""))</f>
        <v>-0.299197734780557</v>
      </c>
      <c r="L11" s="52" t="n">
        <f aca="false">IF(OR(G11="",J11=""),"",IFERROR(G11/J11,""))</f>
        <v>1.32323232323232</v>
      </c>
      <c r="M11" s="53" t="n">
        <f aca="false">IF(OR(J11="",'Site Daily'!E11=""),"",IFERROR(J11/'Site Daily'!E11*1000,""))</f>
        <v>14.4496015412908</v>
      </c>
      <c r="N11" s="53" t="n">
        <f aca="false">I11*(Inputs!$E$17+(Inputs!$E$26-Inputs!$E$17)*E11)</f>
        <v>32.1666666666667</v>
      </c>
      <c r="O11" s="45" t="n">
        <v>26</v>
      </c>
      <c r="P11" s="7" t="n">
        <f aca="false">IF(OR(O11="",J11=""),"",IFERROR(O11/J11,""))</f>
        <v>0.0525252525252525</v>
      </c>
      <c r="Q11" s="46" t="n">
        <v>587048</v>
      </c>
      <c r="R11" s="8" t="n">
        <f aca="false">N11*(Inputs!$E$16+(Inputs!$E$27-Inputs!$E$16)*E11)</f>
        <v>38985.2789444707</v>
      </c>
      <c r="S11" s="8" t="n">
        <f aca="false">IF(OR(O11="",Q11="",J11=""),"",IFERROR(O11*Q11/J11,""))</f>
        <v>30834.8444444444</v>
      </c>
      <c r="T11" s="7" t="n">
        <f aca="false">IF(S11="","",IFERROR(S11/R11-1,""))</f>
        <v>-0.209064414073718</v>
      </c>
      <c r="U11" s="8" t="n">
        <f aca="false">C11*(R11-Inputs!$E$19)*Inputs!$E$28</f>
        <v>0</v>
      </c>
      <c r="V11" s="8" t="str">
        <f aca="false">IF(OR(C11=0,S11=""),"",(S11-Inputs!$E$19)*Inputs!$E$28)</f>
        <v/>
      </c>
      <c r="W11" s="45"/>
      <c r="X11" s="7" t="str">
        <f aca="false">IF(OR(W11="",G11=""),"",IFERROR(W11/G11,""))</f>
        <v/>
      </c>
      <c r="Y11" s="47"/>
    </row>
    <row r="12" customFormat="false" ht="15" hidden="false" customHeight="false" outlineLevel="0" collapsed="false">
      <c r="A12" s="44" t="n">
        <v>46301</v>
      </c>
      <c r="B12" s="20" t="str">
        <f aca="false">TEXT(A12,"ddd")</f>
        <v>Tue</v>
      </c>
      <c r="C12" s="6" t="n">
        <f aca="false">IF(A12&gt;=Inputs!$E$9,1,0)</f>
        <v>0</v>
      </c>
      <c r="D12" s="6" t="str">
        <f aca="false">IF(C12=1,A12-Inputs!$E$9+1,"")</f>
        <v/>
      </c>
      <c r="E12" s="51" t="n">
        <f aca="false">IF(C12=1,MIN(1,D12/Inputs!$E$29),0)</f>
        <v>0</v>
      </c>
      <c r="F12" s="6" t="n">
        <f aca="false">Inputs!$E$13+(Inputs!$E$32-Inputs!$E$13)*E12</f>
        <v>946.333333333333</v>
      </c>
      <c r="G12" s="45"/>
      <c r="H12" s="7" t="str">
        <f aca="false">IF(G12="","",IFERROR(G12/F12-1,""))</f>
        <v/>
      </c>
      <c r="I12" s="6" t="n">
        <f aca="false">Inputs!$E$14+(Inputs!$E$24-Inputs!$E$14)*E12</f>
        <v>706.333333333333</v>
      </c>
      <c r="J12" s="45"/>
      <c r="K12" s="7" t="str">
        <f aca="false">IF(J12="","",IFERROR(J12/I12-1,""))</f>
        <v/>
      </c>
      <c r="L12" s="52" t="str">
        <f aca="false">IF(OR(G12="",J12=""),"",IFERROR(G12/J12,""))</f>
        <v/>
      </c>
      <c r="M12" s="53" t="str">
        <f aca="false">IF(OR(J12="",'Site Daily'!E12=""),"",IFERROR(J12/'Site Daily'!E12*1000,""))</f>
        <v/>
      </c>
      <c r="N12" s="53" t="n">
        <f aca="false">I12*(Inputs!$E$17+(Inputs!$E$26-Inputs!$E$17)*E12)</f>
        <v>32.1666666666667</v>
      </c>
      <c r="O12" s="45"/>
      <c r="P12" s="7" t="str">
        <f aca="false">IF(OR(O12="",J12=""),"",IFERROR(O12/J12,""))</f>
        <v/>
      </c>
      <c r="Q12" s="46"/>
      <c r="R12" s="8" t="n">
        <f aca="false">N12*(Inputs!$E$16+(Inputs!$E$27-Inputs!$E$16)*E12)</f>
        <v>38985.2789444707</v>
      </c>
      <c r="S12" s="8" t="str">
        <f aca="false">IF(OR(O12="",Q12="",J12=""),"",IFERROR(O12*Q12/J12,""))</f>
        <v/>
      </c>
      <c r="T12" s="7" t="str">
        <f aca="false">IF(S12="","",IFERROR(S12/R12-1,""))</f>
        <v/>
      </c>
      <c r="U12" s="8" t="n">
        <f aca="false">C12*(R12-Inputs!$E$19)*Inputs!$E$28</f>
        <v>0</v>
      </c>
      <c r="V12" s="8" t="str">
        <f aca="false">IF(OR(C12=0,S12=""),"",(S12-Inputs!$E$19)*Inputs!$E$28)</f>
        <v/>
      </c>
      <c r="W12" s="45"/>
      <c r="X12" s="7" t="str">
        <f aca="false">IF(OR(W12="",G12=""),"",IFERROR(W12/G12,""))</f>
        <v/>
      </c>
      <c r="Y12" s="47"/>
    </row>
    <row r="13" customFormat="false" ht="15" hidden="false" customHeight="false" outlineLevel="0" collapsed="false">
      <c r="A13" s="44" t="n">
        <v>46302</v>
      </c>
      <c r="B13" s="20" t="str">
        <f aca="false">TEXT(A13,"ddd")</f>
        <v>Wed</v>
      </c>
      <c r="C13" s="6" t="n">
        <f aca="false">IF(A13&gt;=Inputs!$E$9,1,0)</f>
        <v>0</v>
      </c>
      <c r="D13" s="6" t="str">
        <f aca="false">IF(C13=1,A13-Inputs!$E$9+1,"")</f>
        <v/>
      </c>
      <c r="E13" s="51" t="n">
        <f aca="false">IF(C13=1,MIN(1,D13/Inputs!$E$29),0)</f>
        <v>0</v>
      </c>
      <c r="F13" s="6" t="n">
        <f aca="false">Inputs!$E$13+(Inputs!$E$32-Inputs!$E$13)*E13</f>
        <v>946.333333333333</v>
      </c>
      <c r="G13" s="45"/>
      <c r="H13" s="7" t="str">
        <f aca="false">IF(G13="","",IFERROR(G13/F13-1,""))</f>
        <v/>
      </c>
      <c r="I13" s="6" t="n">
        <f aca="false">Inputs!$E$14+(Inputs!$E$24-Inputs!$E$14)*E13</f>
        <v>706.333333333333</v>
      </c>
      <c r="J13" s="45"/>
      <c r="K13" s="7" t="str">
        <f aca="false">IF(J13="","",IFERROR(J13/I13-1,""))</f>
        <v/>
      </c>
      <c r="L13" s="52" t="str">
        <f aca="false">IF(OR(G13="",J13=""),"",IFERROR(G13/J13,""))</f>
        <v/>
      </c>
      <c r="M13" s="53" t="str">
        <f aca="false">IF(OR(J13="",'Site Daily'!E13=""),"",IFERROR(J13/'Site Daily'!E13*1000,""))</f>
        <v/>
      </c>
      <c r="N13" s="53" t="n">
        <f aca="false">I13*(Inputs!$E$17+(Inputs!$E$26-Inputs!$E$17)*E13)</f>
        <v>32.1666666666667</v>
      </c>
      <c r="O13" s="45"/>
      <c r="P13" s="7" t="str">
        <f aca="false">IF(OR(O13="",J13=""),"",IFERROR(O13/J13,""))</f>
        <v/>
      </c>
      <c r="Q13" s="46"/>
      <c r="R13" s="8" t="n">
        <f aca="false">N13*(Inputs!$E$16+(Inputs!$E$27-Inputs!$E$16)*E13)</f>
        <v>38985.2789444707</v>
      </c>
      <c r="S13" s="8" t="str">
        <f aca="false">IF(OR(O13="",Q13="",J13=""),"",IFERROR(O13*Q13/J13,""))</f>
        <v/>
      </c>
      <c r="T13" s="7" t="str">
        <f aca="false">IF(S13="","",IFERROR(S13/R13-1,""))</f>
        <v/>
      </c>
      <c r="U13" s="8" t="n">
        <f aca="false">C13*(R13-Inputs!$E$19)*Inputs!$E$28</f>
        <v>0</v>
      </c>
      <c r="V13" s="8" t="str">
        <f aca="false">IF(OR(C13=0,S13=""),"",(S13-Inputs!$E$19)*Inputs!$E$28)</f>
        <v/>
      </c>
      <c r="W13" s="45"/>
      <c r="X13" s="7" t="str">
        <f aca="false">IF(OR(W13="",G13=""),"",IFERROR(W13/G13,""))</f>
        <v/>
      </c>
      <c r="Y13" s="47"/>
    </row>
    <row r="14" customFormat="false" ht="15" hidden="false" customHeight="false" outlineLevel="0" collapsed="false">
      <c r="A14" s="44" t="n">
        <v>46303</v>
      </c>
      <c r="B14" s="20" t="str">
        <f aca="false">TEXT(A14,"ddd")</f>
        <v>Thu</v>
      </c>
      <c r="C14" s="6" t="n">
        <f aca="false">IF(A14&gt;=Inputs!$E$9,1,0)</f>
        <v>0</v>
      </c>
      <c r="D14" s="6" t="str">
        <f aca="false">IF(C14=1,A14-Inputs!$E$9+1,"")</f>
        <v/>
      </c>
      <c r="E14" s="51" t="n">
        <f aca="false">IF(C14=1,MIN(1,D14/Inputs!$E$29),0)</f>
        <v>0</v>
      </c>
      <c r="F14" s="6" t="n">
        <f aca="false">Inputs!$E$13+(Inputs!$E$32-Inputs!$E$13)*E14</f>
        <v>946.333333333333</v>
      </c>
      <c r="G14" s="45"/>
      <c r="H14" s="7" t="str">
        <f aca="false">IF(G14="","",IFERROR(G14/F14-1,""))</f>
        <v/>
      </c>
      <c r="I14" s="6" t="n">
        <f aca="false">Inputs!$E$14+(Inputs!$E$24-Inputs!$E$14)*E14</f>
        <v>706.333333333333</v>
      </c>
      <c r="J14" s="45"/>
      <c r="K14" s="7" t="str">
        <f aca="false">IF(J14="","",IFERROR(J14/I14-1,""))</f>
        <v/>
      </c>
      <c r="L14" s="52" t="str">
        <f aca="false">IF(OR(G14="",J14=""),"",IFERROR(G14/J14,""))</f>
        <v/>
      </c>
      <c r="M14" s="53" t="str">
        <f aca="false">IF(OR(J14="",'Site Daily'!E14=""),"",IFERROR(J14/'Site Daily'!E14*1000,""))</f>
        <v/>
      </c>
      <c r="N14" s="53" t="n">
        <f aca="false">I14*(Inputs!$E$17+(Inputs!$E$26-Inputs!$E$17)*E14)</f>
        <v>32.1666666666667</v>
      </c>
      <c r="O14" s="45"/>
      <c r="P14" s="7" t="str">
        <f aca="false">IF(OR(O14="",J14=""),"",IFERROR(O14/J14,""))</f>
        <v/>
      </c>
      <c r="Q14" s="46"/>
      <c r="R14" s="8" t="n">
        <f aca="false">N14*(Inputs!$E$16+(Inputs!$E$27-Inputs!$E$16)*E14)</f>
        <v>38985.2789444707</v>
      </c>
      <c r="S14" s="8" t="str">
        <f aca="false">IF(OR(O14="",Q14="",J14=""),"",IFERROR(O14*Q14/J14,""))</f>
        <v/>
      </c>
      <c r="T14" s="7" t="str">
        <f aca="false">IF(S14="","",IFERROR(S14/R14-1,""))</f>
        <v/>
      </c>
      <c r="U14" s="8" t="n">
        <f aca="false">C14*(R14-Inputs!$E$19)*Inputs!$E$28</f>
        <v>0</v>
      </c>
      <c r="V14" s="8" t="str">
        <f aca="false">IF(OR(C14=0,S14=""),"",(S14-Inputs!$E$19)*Inputs!$E$28)</f>
        <v/>
      </c>
      <c r="W14" s="45"/>
      <c r="X14" s="7" t="str">
        <f aca="false">IF(OR(W14="",G14=""),"",IFERROR(W14/G14,""))</f>
        <v/>
      </c>
      <c r="Y14" s="47"/>
    </row>
    <row r="15" customFormat="false" ht="15" hidden="false" customHeight="false" outlineLevel="0" collapsed="false">
      <c r="A15" s="44" t="n">
        <v>46304</v>
      </c>
      <c r="B15" s="20" t="str">
        <f aca="false">TEXT(A15,"ddd")</f>
        <v>Fri</v>
      </c>
      <c r="C15" s="6" t="n">
        <f aca="false">IF(A15&gt;=Inputs!$E$9,1,0)</f>
        <v>0</v>
      </c>
      <c r="D15" s="6" t="str">
        <f aca="false">IF(C15=1,A15-Inputs!$E$9+1,"")</f>
        <v/>
      </c>
      <c r="E15" s="51" t="n">
        <f aca="false">IF(C15=1,MIN(1,D15/Inputs!$E$29),0)</f>
        <v>0</v>
      </c>
      <c r="F15" s="6" t="n">
        <f aca="false">Inputs!$E$13+(Inputs!$E$32-Inputs!$E$13)*E15</f>
        <v>946.333333333333</v>
      </c>
      <c r="G15" s="45"/>
      <c r="H15" s="7" t="str">
        <f aca="false">IF(G15="","",IFERROR(G15/F15-1,""))</f>
        <v/>
      </c>
      <c r="I15" s="6" t="n">
        <f aca="false">Inputs!$E$14+(Inputs!$E$24-Inputs!$E$14)*E15</f>
        <v>706.333333333333</v>
      </c>
      <c r="J15" s="45"/>
      <c r="K15" s="7" t="str">
        <f aca="false">IF(J15="","",IFERROR(J15/I15-1,""))</f>
        <v/>
      </c>
      <c r="L15" s="52" t="str">
        <f aca="false">IF(OR(G15="",J15=""),"",IFERROR(G15/J15,""))</f>
        <v/>
      </c>
      <c r="M15" s="53" t="str">
        <f aca="false">IF(OR(J15="",'Site Daily'!E15=""),"",IFERROR(J15/'Site Daily'!E15*1000,""))</f>
        <v/>
      </c>
      <c r="N15" s="53" t="n">
        <f aca="false">I15*(Inputs!$E$17+(Inputs!$E$26-Inputs!$E$17)*E15)</f>
        <v>32.1666666666667</v>
      </c>
      <c r="O15" s="45"/>
      <c r="P15" s="7" t="str">
        <f aca="false">IF(OR(O15="",J15=""),"",IFERROR(O15/J15,""))</f>
        <v/>
      </c>
      <c r="Q15" s="46"/>
      <c r="R15" s="8" t="n">
        <f aca="false">N15*(Inputs!$E$16+(Inputs!$E$27-Inputs!$E$16)*E15)</f>
        <v>38985.2789444707</v>
      </c>
      <c r="S15" s="8" t="str">
        <f aca="false">IF(OR(O15="",Q15="",J15=""),"",IFERROR(O15*Q15/J15,""))</f>
        <v/>
      </c>
      <c r="T15" s="7" t="str">
        <f aca="false">IF(S15="","",IFERROR(S15/R15-1,""))</f>
        <v/>
      </c>
      <c r="U15" s="8" t="n">
        <f aca="false">C15*(R15-Inputs!$E$19)*Inputs!$E$28</f>
        <v>0</v>
      </c>
      <c r="V15" s="8" t="str">
        <f aca="false">IF(OR(C15=0,S15=""),"",(S15-Inputs!$E$19)*Inputs!$E$28)</f>
        <v/>
      </c>
      <c r="W15" s="45"/>
      <c r="X15" s="7" t="str">
        <f aca="false">IF(OR(W15="",G15=""),"",IFERROR(W15/G15,""))</f>
        <v/>
      </c>
      <c r="Y15" s="47"/>
    </row>
    <row r="16" customFormat="false" ht="15" hidden="false" customHeight="false" outlineLevel="0" collapsed="false">
      <c r="A16" s="44" t="n">
        <v>46305</v>
      </c>
      <c r="B16" s="20" t="str">
        <f aca="false">TEXT(A16,"ddd")</f>
        <v>Sat</v>
      </c>
      <c r="C16" s="6" t="n">
        <f aca="false">IF(A16&gt;=Inputs!$E$9,1,0)</f>
        <v>0</v>
      </c>
      <c r="D16" s="6" t="str">
        <f aca="false">IF(C16=1,A16-Inputs!$E$9+1,"")</f>
        <v/>
      </c>
      <c r="E16" s="51" t="n">
        <f aca="false">IF(C16=1,MIN(1,D16/Inputs!$E$29),0)</f>
        <v>0</v>
      </c>
      <c r="F16" s="6" t="n">
        <f aca="false">Inputs!$E$13+(Inputs!$E$32-Inputs!$E$13)*E16</f>
        <v>946.333333333333</v>
      </c>
      <c r="G16" s="45"/>
      <c r="H16" s="7" t="str">
        <f aca="false">IF(G16="","",IFERROR(G16/F16-1,""))</f>
        <v/>
      </c>
      <c r="I16" s="6" t="n">
        <f aca="false">Inputs!$E$14+(Inputs!$E$24-Inputs!$E$14)*E16</f>
        <v>706.333333333333</v>
      </c>
      <c r="J16" s="45"/>
      <c r="K16" s="7" t="str">
        <f aca="false">IF(J16="","",IFERROR(J16/I16-1,""))</f>
        <v/>
      </c>
      <c r="L16" s="52" t="str">
        <f aca="false">IF(OR(G16="",J16=""),"",IFERROR(G16/J16,""))</f>
        <v/>
      </c>
      <c r="M16" s="53" t="str">
        <f aca="false">IF(OR(J16="",'Site Daily'!E16=""),"",IFERROR(J16/'Site Daily'!E16*1000,""))</f>
        <v/>
      </c>
      <c r="N16" s="53" t="n">
        <f aca="false">I16*(Inputs!$E$17+(Inputs!$E$26-Inputs!$E$17)*E16)</f>
        <v>32.1666666666667</v>
      </c>
      <c r="O16" s="45"/>
      <c r="P16" s="7" t="str">
        <f aca="false">IF(OR(O16="",J16=""),"",IFERROR(O16/J16,""))</f>
        <v/>
      </c>
      <c r="Q16" s="46"/>
      <c r="R16" s="8" t="n">
        <f aca="false">N16*(Inputs!$E$16+(Inputs!$E$27-Inputs!$E$16)*E16)</f>
        <v>38985.2789444707</v>
      </c>
      <c r="S16" s="8" t="str">
        <f aca="false">IF(OR(O16="",Q16="",J16=""),"",IFERROR(O16*Q16/J16,""))</f>
        <v/>
      </c>
      <c r="T16" s="7" t="str">
        <f aca="false">IF(S16="","",IFERROR(S16/R16-1,""))</f>
        <v/>
      </c>
      <c r="U16" s="8" t="n">
        <f aca="false">C16*(R16-Inputs!$E$19)*Inputs!$E$28</f>
        <v>0</v>
      </c>
      <c r="V16" s="8" t="str">
        <f aca="false">IF(OR(C16=0,S16=""),"",(S16-Inputs!$E$19)*Inputs!$E$28)</f>
        <v/>
      </c>
      <c r="W16" s="45"/>
      <c r="X16" s="7" t="str">
        <f aca="false">IF(OR(W16="",G16=""),"",IFERROR(W16/G16,""))</f>
        <v/>
      </c>
      <c r="Y16" s="47"/>
    </row>
    <row r="17" customFormat="false" ht="15" hidden="false" customHeight="false" outlineLevel="0" collapsed="false">
      <c r="A17" s="44" t="n">
        <v>46306</v>
      </c>
      <c r="B17" s="20" t="str">
        <f aca="false">TEXT(A17,"ddd")</f>
        <v>Sun</v>
      </c>
      <c r="C17" s="6" t="n">
        <f aca="false">IF(A17&gt;=Inputs!$E$9,1,0)</f>
        <v>0</v>
      </c>
      <c r="D17" s="6" t="str">
        <f aca="false">IF(C17=1,A17-Inputs!$E$9+1,"")</f>
        <v/>
      </c>
      <c r="E17" s="51" t="n">
        <f aca="false">IF(C17=1,MIN(1,D17/Inputs!$E$29),0)</f>
        <v>0</v>
      </c>
      <c r="F17" s="6" t="n">
        <f aca="false">Inputs!$E$13+(Inputs!$E$32-Inputs!$E$13)*E17</f>
        <v>946.333333333333</v>
      </c>
      <c r="G17" s="45"/>
      <c r="H17" s="7" t="str">
        <f aca="false">IF(G17="","",IFERROR(G17/F17-1,""))</f>
        <v/>
      </c>
      <c r="I17" s="6" t="n">
        <f aca="false">Inputs!$E$14+(Inputs!$E$24-Inputs!$E$14)*E17</f>
        <v>706.333333333333</v>
      </c>
      <c r="J17" s="45"/>
      <c r="K17" s="7" t="str">
        <f aca="false">IF(J17="","",IFERROR(J17/I17-1,""))</f>
        <v/>
      </c>
      <c r="L17" s="52" t="str">
        <f aca="false">IF(OR(G17="",J17=""),"",IFERROR(G17/J17,""))</f>
        <v/>
      </c>
      <c r="M17" s="53" t="str">
        <f aca="false">IF(OR(J17="",'Site Daily'!E17=""),"",IFERROR(J17/'Site Daily'!E17*1000,""))</f>
        <v/>
      </c>
      <c r="N17" s="53" t="n">
        <f aca="false">I17*(Inputs!$E$17+(Inputs!$E$26-Inputs!$E$17)*E17)</f>
        <v>32.1666666666667</v>
      </c>
      <c r="O17" s="45"/>
      <c r="P17" s="7" t="str">
        <f aca="false">IF(OR(O17="",J17=""),"",IFERROR(O17/J17,""))</f>
        <v/>
      </c>
      <c r="Q17" s="46"/>
      <c r="R17" s="8" t="n">
        <f aca="false">N17*(Inputs!$E$16+(Inputs!$E$27-Inputs!$E$16)*E17)</f>
        <v>38985.2789444707</v>
      </c>
      <c r="S17" s="8" t="str">
        <f aca="false">IF(OR(O17="",Q17="",J17=""),"",IFERROR(O17*Q17/J17,""))</f>
        <v/>
      </c>
      <c r="T17" s="7" t="str">
        <f aca="false">IF(S17="","",IFERROR(S17/R17-1,""))</f>
        <v/>
      </c>
      <c r="U17" s="8" t="n">
        <f aca="false">C17*(R17-Inputs!$E$19)*Inputs!$E$28</f>
        <v>0</v>
      </c>
      <c r="V17" s="8" t="str">
        <f aca="false">IF(OR(C17=0,S17=""),"",(S17-Inputs!$E$19)*Inputs!$E$28)</f>
        <v/>
      </c>
      <c r="W17" s="45"/>
      <c r="X17" s="7" t="str">
        <f aca="false">IF(OR(W17="",G17=""),"",IFERROR(W17/G17,""))</f>
        <v/>
      </c>
      <c r="Y17" s="47"/>
    </row>
    <row r="18" customFormat="false" ht="15" hidden="false" customHeight="false" outlineLevel="0" collapsed="false">
      <c r="A18" s="44" t="n">
        <v>46307</v>
      </c>
      <c r="B18" s="20" t="str">
        <f aca="false">TEXT(A18,"ddd")</f>
        <v>Mon</v>
      </c>
      <c r="C18" s="6" t="n">
        <f aca="false">IF(A18&gt;=Inputs!$E$9,1,0)</f>
        <v>0</v>
      </c>
      <c r="D18" s="6" t="str">
        <f aca="false">IF(C18=1,A18-Inputs!$E$9+1,"")</f>
        <v/>
      </c>
      <c r="E18" s="51" t="n">
        <f aca="false">IF(C18=1,MIN(1,D18/Inputs!$E$29),0)</f>
        <v>0</v>
      </c>
      <c r="F18" s="6" t="n">
        <f aca="false">Inputs!$E$13+(Inputs!$E$32-Inputs!$E$13)*E18</f>
        <v>946.333333333333</v>
      </c>
      <c r="G18" s="45"/>
      <c r="H18" s="7" t="str">
        <f aca="false">IF(G18="","",IFERROR(G18/F18-1,""))</f>
        <v/>
      </c>
      <c r="I18" s="6" t="n">
        <f aca="false">Inputs!$E$14+(Inputs!$E$24-Inputs!$E$14)*E18</f>
        <v>706.333333333333</v>
      </c>
      <c r="J18" s="45"/>
      <c r="K18" s="7" t="str">
        <f aca="false">IF(J18="","",IFERROR(J18/I18-1,""))</f>
        <v/>
      </c>
      <c r="L18" s="52" t="str">
        <f aca="false">IF(OR(G18="",J18=""),"",IFERROR(G18/J18,""))</f>
        <v/>
      </c>
      <c r="M18" s="53" t="str">
        <f aca="false">IF(OR(J18="",'Site Daily'!E18=""),"",IFERROR(J18/'Site Daily'!E18*1000,""))</f>
        <v/>
      </c>
      <c r="N18" s="53" t="n">
        <f aca="false">I18*(Inputs!$E$17+(Inputs!$E$26-Inputs!$E$17)*E18)</f>
        <v>32.1666666666667</v>
      </c>
      <c r="O18" s="45"/>
      <c r="P18" s="7" t="str">
        <f aca="false">IF(OR(O18="",J18=""),"",IFERROR(O18/J18,""))</f>
        <v/>
      </c>
      <c r="Q18" s="46"/>
      <c r="R18" s="8" t="n">
        <f aca="false">N18*(Inputs!$E$16+(Inputs!$E$27-Inputs!$E$16)*E18)</f>
        <v>38985.2789444707</v>
      </c>
      <c r="S18" s="8" t="str">
        <f aca="false">IF(OR(O18="",Q18="",J18=""),"",IFERROR(O18*Q18/J18,""))</f>
        <v/>
      </c>
      <c r="T18" s="7" t="str">
        <f aca="false">IF(S18="","",IFERROR(S18/R18-1,""))</f>
        <v/>
      </c>
      <c r="U18" s="8" t="n">
        <f aca="false">C18*(R18-Inputs!$E$19)*Inputs!$E$28</f>
        <v>0</v>
      </c>
      <c r="V18" s="8" t="str">
        <f aca="false">IF(OR(C18=0,S18=""),"",(S18-Inputs!$E$19)*Inputs!$E$28)</f>
        <v/>
      </c>
      <c r="W18" s="45"/>
      <c r="X18" s="7" t="str">
        <f aca="false">IF(OR(W18="",G18=""),"",IFERROR(W18/G18,""))</f>
        <v/>
      </c>
      <c r="Y18" s="47"/>
    </row>
    <row r="19" customFormat="false" ht="15" hidden="false" customHeight="false" outlineLevel="0" collapsed="false">
      <c r="A19" s="44" t="n">
        <v>46308</v>
      </c>
      <c r="B19" s="20" t="str">
        <f aca="false">TEXT(A19,"ddd")</f>
        <v>Tue</v>
      </c>
      <c r="C19" s="6" t="n">
        <f aca="false">IF(A19&gt;=Inputs!$E$9,1,0)</f>
        <v>0</v>
      </c>
      <c r="D19" s="6" t="str">
        <f aca="false">IF(C19=1,A19-Inputs!$E$9+1,"")</f>
        <v/>
      </c>
      <c r="E19" s="51" t="n">
        <f aca="false">IF(C19=1,MIN(1,D19/Inputs!$E$29),0)</f>
        <v>0</v>
      </c>
      <c r="F19" s="6" t="n">
        <f aca="false">Inputs!$E$13+(Inputs!$E$32-Inputs!$E$13)*E19</f>
        <v>946.333333333333</v>
      </c>
      <c r="G19" s="45"/>
      <c r="H19" s="7" t="str">
        <f aca="false">IF(G19="","",IFERROR(G19/F19-1,""))</f>
        <v/>
      </c>
      <c r="I19" s="6" t="n">
        <f aca="false">Inputs!$E$14+(Inputs!$E$24-Inputs!$E$14)*E19</f>
        <v>706.333333333333</v>
      </c>
      <c r="J19" s="45"/>
      <c r="K19" s="7" t="str">
        <f aca="false">IF(J19="","",IFERROR(J19/I19-1,""))</f>
        <v/>
      </c>
      <c r="L19" s="52" t="str">
        <f aca="false">IF(OR(G19="",J19=""),"",IFERROR(G19/J19,""))</f>
        <v/>
      </c>
      <c r="M19" s="53" t="str">
        <f aca="false">IF(OR(J19="",'Site Daily'!E19=""),"",IFERROR(J19/'Site Daily'!E19*1000,""))</f>
        <v/>
      </c>
      <c r="N19" s="53" t="n">
        <f aca="false">I19*(Inputs!$E$17+(Inputs!$E$26-Inputs!$E$17)*E19)</f>
        <v>32.1666666666667</v>
      </c>
      <c r="O19" s="45"/>
      <c r="P19" s="7" t="str">
        <f aca="false">IF(OR(O19="",J19=""),"",IFERROR(O19/J19,""))</f>
        <v/>
      </c>
      <c r="Q19" s="46"/>
      <c r="R19" s="8" t="n">
        <f aca="false">N19*(Inputs!$E$16+(Inputs!$E$27-Inputs!$E$16)*E19)</f>
        <v>38985.2789444707</v>
      </c>
      <c r="S19" s="8" t="str">
        <f aca="false">IF(OR(O19="",Q19="",J19=""),"",IFERROR(O19*Q19/J19,""))</f>
        <v/>
      </c>
      <c r="T19" s="7" t="str">
        <f aca="false">IF(S19="","",IFERROR(S19/R19-1,""))</f>
        <v/>
      </c>
      <c r="U19" s="8" t="n">
        <f aca="false">C19*(R19-Inputs!$E$19)*Inputs!$E$28</f>
        <v>0</v>
      </c>
      <c r="V19" s="8" t="str">
        <f aca="false">IF(OR(C19=0,S19=""),"",(S19-Inputs!$E$19)*Inputs!$E$28)</f>
        <v/>
      </c>
      <c r="W19" s="45"/>
      <c r="X19" s="7" t="str">
        <f aca="false">IF(OR(W19="",G19=""),"",IFERROR(W19/G19,""))</f>
        <v/>
      </c>
      <c r="Y19" s="47"/>
    </row>
    <row r="20" customFormat="false" ht="15" hidden="false" customHeight="false" outlineLevel="0" collapsed="false">
      <c r="A20" s="44" t="n">
        <v>46309</v>
      </c>
      <c r="B20" s="20" t="str">
        <f aca="false">TEXT(A20,"ddd")</f>
        <v>Wed</v>
      </c>
      <c r="C20" s="6" t="n">
        <f aca="false">IF(A20&gt;=Inputs!$E$9,1,0)</f>
        <v>0</v>
      </c>
      <c r="D20" s="6" t="str">
        <f aca="false">IF(C20=1,A20-Inputs!$E$9+1,"")</f>
        <v/>
      </c>
      <c r="E20" s="51" t="n">
        <f aca="false">IF(C20=1,MIN(1,D20/Inputs!$E$29),0)</f>
        <v>0</v>
      </c>
      <c r="F20" s="6" t="n">
        <f aca="false">Inputs!$E$13+(Inputs!$E$32-Inputs!$E$13)*E20</f>
        <v>946.333333333333</v>
      </c>
      <c r="G20" s="45"/>
      <c r="H20" s="7" t="str">
        <f aca="false">IF(G20="","",IFERROR(G20/F20-1,""))</f>
        <v/>
      </c>
      <c r="I20" s="6" t="n">
        <f aca="false">Inputs!$E$14+(Inputs!$E$24-Inputs!$E$14)*E20</f>
        <v>706.333333333333</v>
      </c>
      <c r="J20" s="45"/>
      <c r="K20" s="7" t="str">
        <f aca="false">IF(J20="","",IFERROR(J20/I20-1,""))</f>
        <v/>
      </c>
      <c r="L20" s="52" t="str">
        <f aca="false">IF(OR(G20="",J20=""),"",IFERROR(G20/J20,""))</f>
        <v/>
      </c>
      <c r="M20" s="53" t="str">
        <f aca="false">IF(OR(J20="",'Site Daily'!E20=""),"",IFERROR(J20/'Site Daily'!E20*1000,""))</f>
        <v/>
      </c>
      <c r="N20" s="53" t="n">
        <f aca="false">I20*(Inputs!$E$17+(Inputs!$E$26-Inputs!$E$17)*E20)</f>
        <v>32.1666666666667</v>
      </c>
      <c r="O20" s="45"/>
      <c r="P20" s="7" t="str">
        <f aca="false">IF(OR(O20="",J20=""),"",IFERROR(O20/J20,""))</f>
        <v/>
      </c>
      <c r="Q20" s="46"/>
      <c r="R20" s="8" t="n">
        <f aca="false">N20*(Inputs!$E$16+(Inputs!$E$27-Inputs!$E$16)*E20)</f>
        <v>38985.2789444707</v>
      </c>
      <c r="S20" s="8" t="str">
        <f aca="false">IF(OR(O20="",Q20="",J20=""),"",IFERROR(O20*Q20/J20,""))</f>
        <v/>
      </c>
      <c r="T20" s="7" t="str">
        <f aca="false">IF(S20="","",IFERROR(S20/R20-1,""))</f>
        <v/>
      </c>
      <c r="U20" s="8" t="n">
        <f aca="false">C20*(R20-Inputs!$E$19)*Inputs!$E$28</f>
        <v>0</v>
      </c>
      <c r="V20" s="8" t="str">
        <f aca="false">IF(OR(C20=0,S20=""),"",(S20-Inputs!$E$19)*Inputs!$E$28)</f>
        <v/>
      </c>
      <c r="W20" s="45"/>
      <c r="X20" s="7" t="str">
        <f aca="false">IF(OR(W20="",G20=""),"",IFERROR(W20/G20,""))</f>
        <v/>
      </c>
      <c r="Y20" s="47"/>
    </row>
    <row r="21" customFormat="false" ht="15" hidden="false" customHeight="false" outlineLevel="0" collapsed="false">
      <c r="A21" s="44" t="n">
        <v>46310</v>
      </c>
      <c r="B21" s="20" t="str">
        <f aca="false">TEXT(A21,"ddd")</f>
        <v>Thu</v>
      </c>
      <c r="C21" s="6" t="n">
        <f aca="false">IF(A21&gt;=Inputs!$E$9,1,0)</f>
        <v>1</v>
      </c>
      <c r="D21" s="6" t="n">
        <f aca="false">IF(C21=1,A21-Inputs!$E$9+1,"")</f>
        <v>1</v>
      </c>
      <c r="E21" s="51" t="n">
        <f aca="false">IF(C21=1,MIN(1,D21/Inputs!$E$29),0)</f>
        <v>0.142857142857143</v>
      </c>
      <c r="F21" s="6" t="n">
        <f aca="false">Inputs!$E$13+(Inputs!$E$32-Inputs!$E$13)*E21</f>
        <v>987.726190476191</v>
      </c>
      <c r="G21" s="45"/>
      <c r="H21" s="7" t="str">
        <f aca="false">IF(G21="","",IFERROR(G21/F21-1,""))</f>
        <v/>
      </c>
      <c r="I21" s="6" t="n">
        <f aca="false">Inputs!$E$14+(Inputs!$E$24-Inputs!$E$14)*E21</f>
        <v>731.559523809524</v>
      </c>
      <c r="J21" s="45"/>
      <c r="K21" s="7" t="str">
        <f aca="false">IF(J21="","",IFERROR(J21/I21-1,""))</f>
        <v/>
      </c>
      <c r="L21" s="52" t="str">
        <f aca="false">IF(OR(G21="",J21=""),"",IFERROR(G21/J21,""))</f>
        <v/>
      </c>
      <c r="M21" s="53" t="str">
        <f aca="false">IF(OR(J21="",'Site Daily'!E21=""),"",IFERROR(J21/'Site Daily'!E21*1000,""))</f>
        <v/>
      </c>
      <c r="N21" s="53" t="n">
        <f aca="false">I21*(Inputs!$E$17+(Inputs!$E$26-Inputs!$E$17)*E21)</f>
        <v>34.3040901360544</v>
      </c>
      <c r="O21" s="45"/>
      <c r="P21" s="7" t="str">
        <f aca="false">IF(OR(O21="",J21=""),"",IFERROR(O21/J21,""))</f>
        <v/>
      </c>
      <c r="Q21" s="46"/>
      <c r="R21" s="8" t="n">
        <f aca="false">N21*(Inputs!$E$16+(Inputs!$E$27-Inputs!$E$16)*E21)</f>
        <v>41566.0969604184</v>
      </c>
      <c r="S21" s="8" t="str">
        <f aca="false">IF(OR(O21="",Q21="",J21=""),"",IFERROR(O21*Q21/J21,""))</f>
        <v/>
      </c>
      <c r="T21" s="7" t="str">
        <f aca="false">IF(S21="","",IFERROR(S21/R21-1,""))</f>
        <v/>
      </c>
      <c r="U21" s="8" t="n">
        <f aca="false">C21*(R21-Inputs!$E$19)*Inputs!$E$28</f>
        <v>1290.40900797387</v>
      </c>
      <c r="V21" s="8" t="str">
        <f aca="false">IF(OR(C21=0,S21=""),"",(S21-Inputs!$E$19)*Inputs!$E$28)</f>
        <v/>
      </c>
      <c r="W21" s="45"/>
      <c r="X21" s="7" t="str">
        <f aca="false">IF(OR(W21="",G21=""),"",IFERROR(W21/G21,""))</f>
        <v/>
      </c>
      <c r="Y21" s="47"/>
    </row>
    <row r="22" customFormat="false" ht="15" hidden="false" customHeight="false" outlineLevel="0" collapsed="false">
      <c r="A22" s="44" t="n">
        <v>46311</v>
      </c>
      <c r="B22" s="20" t="str">
        <f aca="false">TEXT(A22,"ddd")</f>
        <v>Fri</v>
      </c>
      <c r="C22" s="6" t="n">
        <f aca="false">IF(A22&gt;=Inputs!$E$9,1,0)</f>
        <v>1</v>
      </c>
      <c r="D22" s="6" t="n">
        <f aca="false">IF(C22=1,A22-Inputs!$E$9+1,"")</f>
        <v>2</v>
      </c>
      <c r="E22" s="51" t="n">
        <f aca="false">IF(C22=1,MIN(1,D22/Inputs!$E$29),0)</f>
        <v>0.285714285714286</v>
      </c>
      <c r="F22" s="6" t="n">
        <f aca="false">Inputs!$E$13+(Inputs!$E$32-Inputs!$E$13)*E22</f>
        <v>1029.11904761905</v>
      </c>
      <c r="G22" s="45"/>
      <c r="H22" s="7" t="str">
        <f aca="false">IF(G22="","",IFERROR(G22/F22-1,""))</f>
        <v/>
      </c>
      <c r="I22" s="6" t="n">
        <f aca="false">Inputs!$E$14+(Inputs!$E$24-Inputs!$E$14)*E22</f>
        <v>756.785714285714</v>
      </c>
      <c r="J22" s="45"/>
      <c r="K22" s="7" t="str">
        <f aca="false">IF(J22="","",IFERROR(J22/I22-1,""))</f>
        <v/>
      </c>
      <c r="L22" s="52" t="str">
        <f aca="false">IF(OR(G22="",J22=""),"",IFERROR(G22/J22,""))</f>
        <v/>
      </c>
      <c r="M22" s="53" t="str">
        <f aca="false">IF(OR(J22="",'Site Daily'!E22=""),"",IFERROR(J22/'Site Daily'!E22*1000,""))</f>
        <v/>
      </c>
      <c r="N22" s="53" t="n">
        <f aca="false">I22*(Inputs!$E$17+(Inputs!$E$26-Inputs!$E$17)*E22)</f>
        <v>36.509693877551</v>
      </c>
      <c r="O22" s="45"/>
      <c r="P22" s="7" t="str">
        <f aca="false">IF(OR(O22="",J22=""),"",IFERROR(O22/J22,""))</f>
        <v/>
      </c>
      <c r="Q22" s="46"/>
      <c r="R22" s="8" t="n">
        <f aca="false">N22*(Inputs!$E$16+(Inputs!$E$27-Inputs!$E$16)*E22)</f>
        <v>44228.3017189162</v>
      </c>
      <c r="S22" s="8" t="str">
        <f aca="false">IF(OR(O22="",Q22="",J22=""),"",IFERROR(O22*Q22/J22,""))</f>
        <v/>
      </c>
      <c r="T22" s="7" t="str">
        <f aca="false">IF(S22="","",IFERROR(S22/R22-1,""))</f>
        <v/>
      </c>
      <c r="U22" s="8" t="n">
        <f aca="false">C22*(R22-Inputs!$E$19)*Inputs!$E$28</f>
        <v>2621.51138722276</v>
      </c>
      <c r="V22" s="8" t="str">
        <f aca="false">IF(OR(C22=0,S22=""),"",(S22-Inputs!$E$19)*Inputs!$E$28)</f>
        <v/>
      </c>
      <c r="W22" s="45"/>
      <c r="X22" s="7" t="str">
        <f aca="false">IF(OR(W22="",G22=""),"",IFERROR(W22/G22,""))</f>
        <v/>
      </c>
      <c r="Y22" s="47"/>
    </row>
    <row r="23" customFormat="false" ht="15" hidden="false" customHeight="false" outlineLevel="0" collapsed="false">
      <c r="A23" s="44" t="n">
        <v>46312</v>
      </c>
      <c r="B23" s="20" t="str">
        <f aca="false">TEXT(A23,"ddd")</f>
        <v>Sat</v>
      </c>
      <c r="C23" s="6" t="n">
        <f aca="false">IF(A23&gt;=Inputs!$E$9,1,0)</f>
        <v>1</v>
      </c>
      <c r="D23" s="6" t="n">
        <f aca="false">IF(C23=1,A23-Inputs!$E$9+1,"")</f>
        <v>3</v>
      </c>
      <c r="E23" s="51" t="n">
        <f aca="false">IF(C23=1,MIN(1,D23/Inputs!$E$29),0)</f>
        <v>0.428571428571429</v>
      </c>
      <c r="F23" s="6" t="n">
        <f aca="false">Inputs!$E$13+(Inputs!$E$32-Inputs!$E$13)*E23</f>
        <v>1070.5119047619</v>
      </c>
      <c r="G23" s="45"/>
      <c r="H23" s="7" t="str">
        <f aca="false">IF(G23="","",IFERROR(G23/F23-1,""))</f>
        <v/>
      </c>
      <c r="I23" s="6" t="n">
        <f aca="false">Inputs!$E$14+(Inputs!$E$24-Inputs!$E$14)*E23</f>
        <v>782.011904761905</v>
      </c>
      <c r="J23" s="45"/>
      <c r="K23" s="7" t="str">
        <f aca="false">IF(J23="","",IFERROR(J23/I23-1,""))</f>
        <v/>
      </c>
      <c r="L23" s="52" t="str">
        <f aca="false">IF(OR(G23="",J23=""),"",IFERROR(G23/J23,""))</f>
        <v/>
      </c>
      <c r="M23" s="53" t="str">
        <f aca="false">IF(OR(J23="",'Site Daily'!E23=""),"",IFERROR(J23/'Site Daily'!E23*1000,""))</f>
        <v/>
      </c>
      <c r="N23" s="53" t="n">
        <f aca="false">I23*(Inputs!$E$17+(Inputs!$E$26-Inputs!$E$17)*E23)</f>
        <v>38.7834778911565</v>
      </c>
      <c r="O23" s="45"/>
      <c r="P23" s="7" t="str">
        <f aca="false">IF(OR(O23="",J23=""),"",IFERROR(O23/J23,""))</f>
        <v/>
      </c>
      <c r="Q23" s="46"/>
      <c r="R23" s="8" t="n">
        <f aca="false">N23*(Inputs!$E$16+(Inputs!$E$27-Inputs!$E$16)*E23)</f>
        <v>46971.8354347357</v>
      </c>
      <c r="S23" s="8" t="str">
        <f aca="false">IF(OR(O23="",Q23="",J23=""),"",IFERROR(O23*Q23/J23,""))</f>
        <v/>
      </c>
      <c r="T23" s="7" t="str">
        <f aca="false">IF(S23="","",IFERROR(S23/R23-1,""))</f>
        <v/>
      </c>
      <c r="U23" s="8" t="n">
        <f aca="false">C23*(R23-Inputs!$E$19)*Inputs!$E$28</f>
        <v>3993.27824513254</v>
      </c>
      <c r="V23" s="8" t="str">
        <f aca="false">IF(OR(C23=0,S23=""),"",(S23-Inputs!$E$19)*Inputs!$E$28)</f>
        <v/>
      </c>
      <c r="W23" s="45"/>
      <c r="X23" s="7" t="str">
        <f aca="false">IF(OR(W23="",G23=""),"",IFERROR(W23/G23,""))</f>
        <v/>
      </c>
      <c r="Y23" s="47"/>
    </row>
    <row r="24" customFormat="false" ht="15" hidden="false" customHeight="false" outlineLevel="0" collapsed="false">
      <c r="A24" s="44" t="n">
        <v>46313</v>
      </c>
      <c r="B24" s="20" t="str">
        <f aca="false">TEXT(A24,"ddd")</f>
        <v>Sun</v>
      </c>
      <c r="C24" s="6" t="n">
        <f aca="false">IF(A24&gt;=Inputs!$E$9,1,0)</f>
        <v>1</v>
      </c>
      <c r="D24" s="6" t="n">
        <f aca="false">IF(C24=1,A24-Inputs!$E$9+1,"")</f>
        <v>4</v>
      </c>
      <c r="E24" s="51" t="n">
        <f aca="false">IF(C24=1,MIN(1,D24/Inputs!$E$29),0)</f>
        <v>0.571428571428571</v>
      </c>
      <c r="F24" s="6" t="n">
        <f aca="false">Inputs!$E$13+(Inputs!$E$32-Inputs!$E$13)*E24</f>
        <v>1111.90476190476</v>
      </c>
      <c r="G24" s="45"/>
      <c r="H24" s="7" t="str">
        <f aca="false">IF(G24="","",IFERROR(G24/F24-1,""))</f>
        <v/>
      </c>
      <c r="I24" s="6" t="n">
        <f aca="false">Inputs!$E$14+(Inputs!$E$24-Inputs!$E$14)*E24</f>
        <v>807.238095238095</v>
      </c>
      <c r="J24" s="45"/>
      <c r="K24" s="7" t="str">
        <f aca="false">IF(J24="","",IFERROR(J24/I24-1,""))</f>
        <v/>
      </c>
      <c r="L24" s="52" t="str">
        <f aca="false">IF(OR(G24="",J24=""),"",IFERROR(G24/J24,""))</f>
        <v/>
      </c>
      <c r="M24" s="53" t="str">
        <f aca="false">IF(OR(J24="",'Site Daily'!E24=""),"",IFERROR(J24/'Site Daily'!E24*1000,""))</f>
        <v/>
      </c>
      <c r="N24" s="53" t="n">
        <f aca="false">I24*(Inputs!$E$17+(Inputs!$E$26-Inputs!$E$17)*E24)</f>
        <v>41.1254421768708</v>
      </c>
      <c r="O24" s="45"/>
      <c r="P24" s="7" t="str">
        <f aca="false">IF(OR(O24="",J24=""),"",IFERROR(O24/J24,""))</f>
        <v/>
      </c>
      <c r="Q24" s="46"/>
      <c r="R24" s="8" t="n">
        <f aca="false">N24*(Inputs!$E$16+(Inputs!$E$27-Inputs!$E$16)*E24)</f>
        <v>49796.6403226489</v>
      </c>
      <c r="S24" s="8" t="str">
        <f aca="false">IF(OR(O24="",Q24="",J24=""),"",IFERROR(O24*Q24/J24,""))</f>
        <v/>
      </c>
      <c r="T24" s="7" t="str">
        <f aca="false">IF(S24="","",IFERROR(S24/R24-1,""))</f>
        <v/>
      </c>
      <c r="U24" s="8" t="n">
        <f aca="false">C24*(R24-Inputs!$E$19)*Inputs!$E$28</f>
        <v>5405.6806890891</v>
      </c>
      <c r="V24" s="8" t="str">
        <f aca="false">IF(OR(C24=0,S24=""),"",(S24-Inputs!$E$19)*Inputs!$E$28)</f>
        <v/>
      </c>
      <c r="W24" s="45"/>
      <c r="X24" s="7" t="str">
        <f aca="false">IF(OR(W24="",G24=""),"",IFERROR(W24/G24,""))</f>
        <v/>
      </c>
      <c r="Y24" s="47"/>
    </row>
    <row r="25" customFormat="false" ht="15" hidden="false" customHeight="false" outlineLevel="0" collapsed="false">
      <c r="A25" s="44" t="n">
        <v>46314</v>
      </c>
      <c r="B25" s="20" t="str">
        <f aca="false">TEXT(A25,"ddd")</f>
        <v>Mon</v>
      </c>
      <c r="C25" s="6" t="n">
        <f aca="false">IF(A25&gt;=Inputs!$E$9,1,0)</f>
        <v>1</v>
      </c>
      <c r="D25" s="6" t="n">
        <f aca="false">IF(C25=1,A25-Inputs!$E$9+1,"")</f>
        <v>5</v>
      </c>
      <c r="E25" s="51" t="n">
        <f aca="false">IF(C25=1,MIN(1,D25/Inputs!$E$29),0)</f>
        <v>0.714285714285714</v>
      </c>
      <c r="F25" s="6" t="n">
        <f aca="false">Inputs!$E$13+(Inputs!$E$32-Inputs!$E$13)*E25</f>
        <v>1153.29761904762</v>
      </c>
      <c r="G25" s="45"/>
      <c r="H25" s="7" t="str">
        <f aca="false">IF(G25="","",IFERROR(G25/F25-1,""))</f>
        <v/>
      </c>
      <c r="I25" s="6" t="n">
        <f aca="false">Inputs!$E$14+(Inputs!$E$24-Inputs!$E$14)*E25</f>
        <v>832.464285714286</v>
      </c>
      <c r="J25" s="45"/>
      <c r="K25" s="7" t="str">
        <f aca="false">IF(J25="","",IFERROR(J25/I25-1,""))</f>
        <v/>
      </c>
      <c r="L25" s="52" t="str">
        <f aca="false">IF(OR(G25="",J25=""),"",IFERROR(G25/J25,""))</f>
        <v/>
      </c>
      <c r="M25" s="53" t="str">
        <f aca="false">IF(OR(J25="",'Site Daily'!E25=""),"",IFERROR(J25/'Site Daily'!E25*1000,""))</f>
        <v/>
      </c>
      <c r="N25" s="53" t="n">
        <f aca="false">I25*(Inputs!$E$17+(Inputs!$E$26-Inputs!$E$17)*E25)</f>
        <v>43.5355867346939</v>
      </c>
      <c r="O25" s="45"/>
      <c r="P25" s="7" t="str">
        <f aca="false">IF(OR(O25="",J25=""),"",IFERROR(O25/J25,""))</f>
        <v/>
      </c>
      <c r="Q25" s="46"/>
      <c r="R25" s="8" t="n">
        <f aca="false">N25*(Inputs!$E$16+(Inputs!$E$27-Inputs!$E$16)*E25)</f>
        <v>52702.6585974272</v>
      </c>
      <c r="S25" s="8" t="str">
        <f aca="false">IF(OR(O25="",Q25="",J25=""),"",IFERROR(O25*Q25/J25,""))</f>
        <v/>
      </c>
      <c r="T25" s="7" t="str">
        <f aca="false">IF(S25="","",IFERROR(S25/R25-1,""))</f>
        <v/>
      </c>
      <c r="U25" s="8" t="n">
        <f aca="false">C25*(R25-Inputs!$E$19)*Inputs!$E$28</f>
        <v>6858.68982647828</v>
      </c>
      <c r="V25" s="8" t="str">
        <f aca="false">IF(OR(C25=0,S25=""),"",(S25-Inputs!$E$19)*Inputs!$E$28)</f>
        <v/>
      </c>
      <c r="W25" s="45"/>
      <c r="X25" s="7" t="str">
        <f aca="false">IF(OR(W25="",G25=""),"",IFERROR(W25/G25,""))</f>
        <v/>
      </c>
      <c r="Y25" s="47"/>
    </row>
    <row r="26" customFormat="false" ht="15" hidden="false" customHeight="false" outlineLevel="0" collapsed="false">
      <c r="A26" s="44" t="n">
        <v>46315</v>
      </c>
      <c r="B26" s="20" t="str">
        <f aca="false">TEXT(A26,"ddd")</f>
        <v>Tue</v>
      </c>
      <c r="C26" s="6" t="n">
        <f aca="false">IF(A26&gt;=Inputs!$E$9,1,0)</f>
        <v>1</v>
      </c>
      <c r="D26" s="6" t="n">
        <f aca="false">IF(C26=1,A26-Inputs!$E$9+1,"")</f>
        <v>6</v>
      </c>
      <c r="E26" s="51" t="n">
        <f aca="false">IF(C26=1,MIN(1,D26/Inputs!$E$29),0)</f>
        <v>0.857142857142857</v>
      </c>
      <c r="F26" s="6" t="n">
        <f aca="false">Inputs!$E$13+(Inputs!$E$32-Inputs!$E$13)*E26</f>
        <v>1194.69047619048</v>
      </c>
      <c r="G26" s="45"/>
      <c r="H26" s="7" t="str">
        <f aca="false">IF(G26="","",IFERROR(G26/F26-1,""))</f>
        <v/>
      </c>
      <c r="I26" s="6" t="n">
        <f aca="false">Inputs!$E$14+(Inputs!$E$24-Inputs!$E$14)*E26</f>
        <v>857.690476190476</v>
      </c>
      <c r="J26" s="45"/>
      <c r="K26" s="7" t="str">
        <f aca="false">IF(J26="","",IFERROR(J26/I26-1,""))</f>
        <v/>
      </c>
      <c r="L26" s="52" t="str">
        <f aca="false">IF(OR(G26="",J26=""),"",IFERROR(G26/J26,""))</f>
        <v/>
      </c>
      <c r="M26" s="53" t="str">
        <f aca="false">IF(OR(J26="",'Site Daily'!E26=""),"",IFERROR(J26/'Site Daily'!E26*1000,""))</f>
        <v/>
      </c>
      <c r="N26" s="53" t="n">
        <f aca="false">I26*(Inputs!$E$17+(Inputs!$E$26-Inputs!$E$17)*E26)</f>
        <v>46.0139115646259</v>
      </c>
      <c r="O26" s="45"/>
      <c r="P26" s="7" t="str">
        <f aca="false">IF(OR(O26="",J26=""),"",IFERROR(O26/J26,""))</f>
        <v/>
      </c>
      <c r="Q26" s="46"/>
      <c r="R26" s="8" t="n">
        <f aca="false">N26*(Inputs!$E$16+(Inputs!$E$27-Inputs!$E$16)*E26)</f>
        <v>55689.8324738426</v>
      </c>
      <c r="S26" s="8" t="str">
        <f aca="false">IF(OR(O26="",Q26="",J26=""),"",IFERROR(O26*Q26/J26,""))</f>
        <v/>
      </c>
      <c r="T26" s="7" t="str">
        <f aca="false">IF(S26="","",IFERROR(S26/R26-1,""))</f>
        <v/>
      </c>
      <c r="U26" s="8" t="n">
        <f aca="false">C26*(R26-Inputs!$E$19)*Inputs!$E$28</f>
        <v>8352.27676468595</v>
      </c>
      <c r="V26" s="8" t="str">
        <f aca="false">IF(OR(C26=0,S26=""),"",(S26-Inputs!$E$19)*Inputs!$E$28)</f>
        <v/>
      </c>
      <c r="W26" s="45"/>
      <c r="X26" s="7" t="str">
        <f aca="false">IF(OR(W26="",G26=""),"",IFERROR(W26/G26,""))</f>
        <v/>
      </c>
      <c r="Y26" s="47"/>
    </row>
    <row r="27" customFormat="false" ht="15" hidden="false" customHeight="false" outlineLevel="0" collapsed="false">
      <c r="A27" s="44" t="n">
        <v>46316</v>
      </c>
      <c r="B27" s="20" t="str">
        <f aca="false">TEXT(A27,"ddd")</f>
        <v>Wed</v>
      </c>
      <c r="C27" s="6" t="n">
        <f aca="false">IF(A27&gt;=Inputs!$E$9,1,0)</f>
        <v>1</v>
      </c>
      <c r="D27" s="6" t="n">
        <f aca="false">IF(C27=1,A27-Inputs!$E$9+1,"")</f>
        <v>7</v>
      </c>
      <c r="E27" s="51" t="n">
        <f aca="false">IF(C27=1,MIN(1,D27/Inputs!$E$29),0)</f>
        <v>1</v>
      </c>
      <c r="F27" s="6" t="n">
        <f aca="false">Inputs!$E$13+(Inputs!$E$32-Inputs!$E$13)*E27</f>
        <v>1236.08333333333</v>
      </c>
      <c r="G27" s="45"/>
      <c r="H27" s="7" t="str">
        <f aca="false">IF(G27="","",IFERROR(G27/F27-1,""))</f>
        <v/>
      </c>
      <c r="I27" s="6" t="n">
        <f aca="false">Inputs!$E$14+(Inputs!$E$24-Inputs!$E$14)*E27</f>
        <v>882.916666666667</v>
      </c>
      <c r="J27" s="45"/>
      <c r="K27" s="7" t="str">
        <f aca="false">IF(J27="","",IFERROR(J27/I27-1,""))</f>
        <v/>
      </c>
      <c r="L27" s="52" t="str">
        <f aca="false">IF(OR(G27="",J27=""),"",IFERROR(G27/J27,""))</f>
        <v/>
      </c>
      <c r="M27" s="53" t="str">
        <f aca="false">IF(OR(J27="",'Site Daily'!E27=""),"",IFERROR(J27/'Site Daily'!E27*1000,""))</f>
        <v/>
      </c>
      <c r="N27" s="53" t="n">
        <f aca="false">I27*(Inputs!$E$17+(Inputs!$E$26-Inputs!$E$17)*E27)</f>
        <v>48.5604166666667</v>
      </c>
      <c r="O27" s="45"/>
      <c r="P27" s="7" t="str">
        <f aca="false">IF(OR(O27="",J27=""),"",IFERROR(O27/J27,""))</f>
        <v/>
      </c>
      <c r="Q27" s="46"/>
      <c r="R27" s="8" t="n">
        <f aca="false">N27*(Inputs!$E$16+(Inputs!$E$27-Inputs!$E$16)*E27)</f>
        <v>58758.1041666667</v>
      </c>
      <c r="S27" s="8" t="str">
        <f aca="false">IF(OR(O27="",Q27="",J27=""),"",IFERROR(O27*Q27/J27,""))</f>
        <v/>
      </c>
      <c r="T27" s="7" t="str">
        <f aca="false">IF(S27="","",IFERROR(S27/R27-1,""))</f>
        <v/>
      </c>
      <c r="U27" s="8" t="n">
        <f aca="false">C27*(R27-Inputs!$E$19)*Inputs!$E$28</f>
        <v>9886.41261109801</v>
      </c>
      <c r="V27" s="8" t="str">
        <f aca="false">IF(OR(C27=0,S27=""),"",(S27-Inputs!$E$19)*Inputs!$E$28)</f>
        <v/>
      </c>
      <c r="W27" s="45"/>
      <c r="X27" s="7" t="str">
        <f aca="false">IF(OR(W27="",G27=""),"",IFERROR(W27/G27,""))</f>
        <v/>
      </c>
      <c r="Y27" s="47"/>
    </row>
    <row r="28" customFormat="false" ht="15" hidden="false" customHeight="false" outlineLevel="0" collapsed="false">
      <c r="A28" s="44" t="n">
        <v>46317</v>
      </c>
      <c r="B28" s="20" t="str">
        <f aca="false">TEXT(A28,"ddd")</f>
        <v>Thu</v>
      </c>
      <c r="C28" s="6" t="n">
        <f aca="false">IF(A28&gt;=Inputs!$E$9,1,0)</f>
        <v>1</v>
      </c>
      <c r="D28" s="6" t="n">
        <f aca="false">IF(C28=1,A28-Inputs!$E$9+1,"")</f>
        <v>8</v>
      </c>
      <c r="E28" s="51" t="n">
        <f aca="false">IF(C28=1,MIN(1,D28/Inputs!$E$29),0)</f>
        <v>1</v>
      </c>
      <c r="F28" s="6" t="n">
        <f aca="false">Inputs!$E$13+(Inputs!$E$32-Inputs!$E$13)*E28</f>
        <v>1236.08333333333</v>
      </c>
      <c r="G28" s="45"/>
      <c r="H28" s="7" t="str">
        <f aca="false">IF(G28="","",IFERROR(G28/F28-1,""))</f>
        <v/>
      </c>
      <c r="I28" s="6" t="n">
        <f aca="false">Inputs!$E$14+(Inputs!$E$24-Inputs!$E$14)*E28</f>
        <v>882.916666666667</v>
      </c>
      <c r="J28" s="45"/>
      <c r="K28" s="7" t="str">
        <f aca="false">IF(J28="","",IFERROR(J28/I28-1,""))</f>
        <v/>
      </c>
      <c r="L28" s="52" t="str">
        <f aca="false">IF(OR(G28="",J28=""),"",IFERROR(G28/J28,""))</f>
        <v/>
      </c>
      <c r="M28" s="53" t="str">
        <f aca="false">IF(OR(J28="",'Site Daily'!E28=""),"",IFERROR(J28/'Site Daily'!E28*1000,""))</f>
        <v/>
      </c>
      <c r="N28" s="53" t="n">
        <f aca="false">I28*(Inputs!$E$17+(Inputs!$E$26-Inputs!$E$17)*E28)</f>
        <v>48.5604166666667</v>
      </c>
      <c r="O28" s="45"/>
      <c r="P28" s="7" t="str">
        <f aca="false">IF(OR(O28="",J28=""),"",IFERROR(O28/J28,""))</f>
        <v/>
      </c>
      <c r="Q28" s="46"/>
      <c r="R28" s="8" t="n">
        <f aca="false">N28*(Inputs!$E$16+(Inputs!$E$27-Inputs!$E$16)*E28)</f>
        <v>58758.1041666667</v>
      </c>
      <c r="S28" s="8" t="str">
        <f aca="false">IF(OR(O28="",Q28="",J28=""),"",IFERROR(O28*Q28/J28,""))</f>
        <v/>
      </c>
      <c r="T28" s="7" t="str">
        <f aca="false">IF(S28="","",IFERROR(S28/R28-1,""))</f>
        <v/>
      </c>
      <c r="U28" s="8" t="n">
        <f aca="false">C28*(R28-Inputs!$E$19)*Inputs!$E$28</f>
        <v>9886.41261109801</v>
      </c>
      <c r="V28" s="8" t="str">
        <f aca="false">IF(OR(C28=0,S28=""),"",(S28-Inputs!$E$19)*Inputs!$E$28)</f>
        <v/>
      </c>
      <c r="W28" s="45"/>
      <c r="X28" s="7" t="str">
        <f aca="false">IF(OR(W28="",G28=""),"",IFERROR(W28/G28,""))</f>
        <v/>
      </c>
      <c r="Y28" s="47"/>
    </row>
    <row r="29" customFormat="false" ht="15" hidden="false" customHeight="false" outlineLevel="0" collapsed="false">
      <c r="A29" s="44" t="n">
        <v>46318</v>
      </c>
      <c r="B29" s="20" t="str">
        <f aca="false">TEXT(A29,"ddd")</f>
        <v>Fri</v>
      </c>
      <c r="C29" s="6" t="n">
        <f aca="false">IF(A29&gt;=Inputs!$E$9,1,0)</f>
        <v>1</v>
      </c>
      <c r="D29" s="6" t="n">
        <f aca="false">IF(C29=1,A29-Inputs!$E$9+1,"")</f>
        <v>9</v>
      </c>
      <c r="E29" s="51" t="n">
        <f aca="false">IF(C29=1,MIN(1,D29/Inputs!$E$29),0)</f>
        <v>1</v>
      </c>
      <c r="F29" s="6" t="n">
        <f aca="false">Inputs!$E$13+(Inputs!$E$32-Inputs!$E$13)*E29</f>
        <v>1236.08333333333</v>
      </c>
      <c r="G29" s="45"/>
      <c r="H29" s="7" t="str">
        <f aca="false">IF(G29="","",IFERROR(G29/F29-1,""))</f>
        <v/>
      </c>
      <c r="I29" s="6" t="n">
        <f aca="false">Inputs!$E$14+(Inputs!$E$24-Inputs!$E$14)*E29</f>
        <v>882.916666666667</v>
      </c>
      <c r="J29" s="45"/>
      <c r="K29" s="7" t="str">
        <f aca="false">IF(J29="","",IFERROR(J29/I29-1,""))</f>
        <v/>
      </c>
      <c r="L29" s="52" t="str">
        <f aca="false">IF(OR(G29="",J29=""),"",IFERROR(G29/J29,""))</f>
        <v/>
      </c>
      <c r="M29" s="53" t="str">
        <f aca="false">IF(OR(J29="",'Site Daily'!E29=""),"",IFERROR(J29/'Site Daily'!E29*1000,""))</f>
        <v/>
      </c>
      <c r="N29" s="53" t="n">
        <f aca="false">I29*(Inputs!$E$17+(Inputs!$E$26-Inputs!$E$17)*E29)</f>
        <v>48.5604166666667</v>
      </c>
      <c r="O29" s="45"/>
      <c r="P29" s="7" t="str">
        <f aca="false">IF(OR(O29="",J29=""),"",IFERROR(O29/J29,""))</f>
        <v/>
      </c>
      <c r="Q29" s="46"/>
      <c r="R29" s="8" t="n">
        <f aca="false">N29*(Inputs!$E$16+(Inputs!$E$27-Inputs!$E$16)*E29)</f>
        <v>58758.1041666667</v>
      </c>
      <c r="S29" s="8" t="str">
        <f aca="false">IF(OR(O29="",Q29="",J29=""),"",IFERROR(O29*Q29/J29,""))</f>
        <v/>
      </c>
      <c r="T29" s="7" t="str">
        <f aca="false">IF(S29="","",IFERROR(S29/R29-1,""))</f>
        <v/>
      </c>
      <c r="U29" s="8" t="n">
        <f aca="false">C29*(R29-Inputs!$E$19)*Inputs!$E$28</f>
        <v>9886.41261109801</v>
      </c>
      <c r="V29" s="8" t="str">
        <f aca="false">IF(OR(C29=0,S29=""),"",(S29-Inputs!$E$19)*Inputs!$E$28)</f>
        <v/>
      </c>
      <c r="W29" s="45"/>
      <c r="X29" s="7" t="str">
        <f aca="false">IF(OR(W29="",G29=""),"",IFERROR(W29/G29,""))</f>
        <v/>
      </c>
      <c r="Y29" s="47"/>
    </row>
    <row r="30" customFormat="false" ht="15" hidden="false" customHeight="false" outlineLevel="0" collapsed="false">
      <c r="A30" s="44" t="n">
        <v>46319</v>
      </c>
      <c r="B30" s="20" t="str">
        <f aca="false">TEXT(A30,"ddd")</f>
        <v>Sat</v>
      </c>
      <c r="C30" s="6" t="n">
        <f aca="false">IF(A30&gt;=Inputs!$E$9,1,0)</f>
        <v>1</v>
      </c>
      <c r="D30" s="6" t="n">
        <f aca="false">IF(C30=1,A30-Inputs!$E$9+1,"")</f>
        <v>10</v>
      </c>
      <c r="E30" s="51" t="n">
        <f aca="false">IF(C30=1,MIN(1,D30/Inputs!$E$29),0)</f>
        <v>1</v>
      </c>
      <c r="F30" s="6" t="n">
        <f aca="false">Inputs!$E$13+(Inputs!$E$32-Inputs!$E$13)*E30</f>
        <v>1236.08333333333</v>
      </c>
      <c r="G30" s="45"/>
      <c r="H30" s="7" t="str">
        <f aca="false">IF(G30="","",IFERROR(G30/F30-1,""))</f>
        <v/>
      </c>
      <c r="I30" s="6" t="n">
        <f aca="false">Inputs!$E$14+(Inputs!$E$24-Inputs!$E$14)*E30</f>
        <v>882.916666666667</v>
      </c>
      <c r="J30" s="45"/>
      <c r="K30" s="7" t="str">
        <f aca="false">IF(J30="","",IFERROR(J30/I30-1,""))</f>
        <v/>
      </c>
      <c r="L30" s="52" t="str">
        <f aca="false">IF(OR(G30="",J30=""),"",IFERROR(G30/J30,""))</f>
        <v/>
      </c>
      <c r="M30" s="53" t="str">
        <f aca="false">IF(OR(J30="",'Site Daily'!E30=""),"",IFERROR(J30/'Site Daily'!E30*1000,""))</f>
        <v/>
      </c>
      <c r="N30" s="53" t="n">
        <f aca="false">I30*(Inputs!$E$17+(Inputs!$E$26-Inputs!$E$17)*E30)</f>
        <v>48.5604166666667</v>
      </c>
      <c r="O30" s="45"/>
      <c r="P30" s="7" t="str">
        <f aca="false">IF(OR(O30="",J30=""),"",IFERROR(O30/J30,""))</f>
        <v/>
      </c>
      <c r="Q30" s="46"/>
      <c r="R30" s="8" t="n">
        <f aca="false">N30*(Inputs!$E$16+(Inputs!$E$27-Inputs!$E$16)*E30)</f>
        <v>58758.1041666667</v>
      </c>
      <c r="S30" s="8" t="str">
        <f aca="false">IF(OR(O30="",Q30="",J30=""),"",IFERROR(O30*Q30/J30,""))</f>
        <v/>
      </c>
      <c r="T30" s="7" t="str">
        <f aca="false">IF(S30="","",IFERROR(S30/R30-1,""))</f>
        <v/>
      </c>
      <c r="U30" s="8" t="n">
        <f aca="false">C30*(R30-Inputs!$E$19)*Inputs!$E$28</f>
        <v>9886.41261109801</v>
      </c>
      <c r="V30" s="8" t="str">
        <f aca="false">IF(OR(C30=0,S30=""),"",(S30-Inputs!$E$19)*Inputs!$E$28)</f>
        <v/>
      </c>
      <c r="W30" s="45"/>
      <c r="X30" s="7" t="str">
        <f aca="false">IF(OR(W30="",G30=""),"",IFERROR(W30/G30,""))</f>
        <v/>
      </c>
      <c r="Y30" s="47"/>
    </row>
    <row r="31" customFormat="false" ht="15" hidden="false" customHeight="false" outlineLevel="0" collapsed="false">
      <c r="A31" s="44" t="n">
        <v>46320</v>
      </c>
      <c r="B31" s="20" t="str">
        <f aca="false">TEXT(A31,"ddd")</f>
        <v>Sun</v>
      </c>
      <c r="C31" s="6" t="n">
        <f aca="false">IF(A31&gt;=Inputs!$E$9,1,0)</f>
        <v>1</v>
      </c>
      <c r="D31" s="6" t="n">
        <f aca="false">IF(C31=1,A31-Inputs!$E$9+1,"")</f>
        <v>11</v>
      </c>
      <c r="E31" s="51" t="n">
        <f aca="false">IF(C31=1,MIN(1,D31/Inputs!$E$29),0)</f>
        <v>1</v>
      </c>
      <c r="F31" s="6" t="n">
        <f aca="false">Inputs!$E$13+(Inputs!$E$32-Inputs!$E$13)*E31</f>
        <v>1236.08333333333</v>
      </c>
      <c r="G31" s="45"/>
      <c r="H31" s="7" t="str">
        <f aca="false">IF(G31="","",IFERROR(G31/F31-1,""))</f>
        <v/>
      </c>
      <c r="I31" s="6" t="n">
        <f aca="false">Inputs!$E$14+(Inputs!$E$24-Inputs!$E$14)*E31</f>
        <v>882.916666666667</v>
      </c>
      <c r="J31" s="45"/>
      <c r="K31" s="7" t="str">
        <f aca="false">IF(J31="","",IFERROR(J31/I31-1,""))</f>
        <v/>
      </c>
      <c r="L31" s="52" t="str">
        <f aca="false">IF(OR(G31="",J31=""),"",IFERROR(G31/J31,""))</f>
        <v/>
      </c>
      <c r="M31" s="53" t="str">
        <f aca="false">IF(OR(J31="",'Site Daily'!E31=""),"",IFERROR(J31/'Site Daily'!E31*1000,""))</f>
        <v/>
      </c>
      <c r="N31" s="53" t="n">
        <f aca="false">I31*(Inputs!$E$17+(Inputs!$E$26-Inputs!$E$17)*E31)</f>
        <v>48.5604166666667</v>
      </c>
      <c r="O31" s="45"/>
      <c r="P31" s="7" t="str">
        <f aca="false">IF(OR(O31="",J31=""),"",IFERROR(O31/J31,""))</f>
        <v/>
      </c>
      <c r="Q31" s="46"/>
      <c r="R31" s="8" t="n">
        <f aca="false">N31*(Inputs!$E$16+(Inputs!$E$27-Inputs!$E$16)*E31)</f>
        <v>58758.1041666667</v>
      </c>
      <c r="S31" s="8" t="str">
        <f aca="false">IF(OR(O31="",Q31="",J31=""),"",IFERROR(O31*Q31/J31,""))</f>
        <v/>
      </c>
      <c r="T31" s="7" t="str">
        <f aca="false">IF(S31="","",IFERROR(S31/R31-1,""))</f>
        <v/>
      </c>
      <c r="U31" s="8" t="n">
        <f aca="false">C31*(R31-Inputs!$E$19)*Inputs!$E$28</f>
        <v>9886.41261109801</v>
      </c>
      <c r="V31" s="8" t="str">
        <f aca="false">IF(OR(C31=0,S31=""),"",(S31-Inputs!$E$19)*Inputs!$E$28)</f>
        <v/>
      </c>
      <c r="W31" s="45"/>
      <c r="X31" s="7" t="str">
        <f aca="false">IF(OR(W31="",G31=""),"",IFERROR(W31/G31,""))</f>
        <v/>
      </c>
      <c r="Y31" s="47"/>
    </row>
    <row r="32" customFormat="false" ht="15" hidden="false" customHeight="false" outlineLevel="0" collapsed="false">
      <c r="A32" s="44" t="n">
        <v>46321</v>
      </c>
      <c r="B32" s="20" t="str">
        <f aca="false">TEXT(A32,"ddd")</f>
        <v>Mon</v>
      </c>
      <c r="C32" s="6" t="n">
        <f aca="false">IF(A32&gt;=Inputs!$E$9,1,0)</f>
        <v>1</v>
      </c>
      <c r="D32" s="6" t="n">
        <f aca="false">IF(C32=1,A32-Inputs!$E$9+1,"")</f>
        <v>12</v>
      </c>
      <c r="E32" s="51" t="n">
        <f aca="false">IF(C32=1,MIN(1,D32/Inputs!$E$29),0)</f>
        <v>1</v>
      </c>
      <c r="F32" s="6" t="n">
        <f aca="false">Inputs!$E$13+(Inputs!$E$32-Inputs!$E$13)*E32</f>
        <v>1236.08333333333</v>
      </c>
      <c r="G32" s="45"/>
      <c r="H32" s="7" t="str">
        <f aca="false">IF(G32="","",IFERROR(G32/F32-1,""))</f>
        <v/>
      </c>
      <c r="I32" s="6" t="n">
        <f aca="false">Inputs!$E$14+(Inputs!$E$24-Inputs!$E$14)*E32</f>
        <v>882.916666666667</v>
      </c>
      <c r="J32" s="45"/>
      <c r="K32" s="7" t="str">
        <f aca="false">IF(J32="","",IFERROR(J32/I32-1,""))</f>
        <v/>
      </c>
      <c r="L32" s="52" t="str">
        <f aca="false">IF(OR(G32="",J32=""),"",IFERROR(G32/J32,""))</f>
        <v/>
      </c>
      <c r="M32" s="53" t="str">
        <f aca="false">IF(OR(J32="",'Site Daily'!E32=""),"",IFERROR(J32/'Site Daily'!E32*1000,""))</f>
        <v/>
      </c>
      <c r="N32" s="53" t="n">
        <f aca="false">I32*(Inputs!$E$17+(Inputs!$E$26-Inputs!$E$17)*E32)</f>
        <v>48.5604166666667</v>
      </c>
      <c r="O32" s="45"/>
      <c r="P32" s="7" t="str">
        <f aca="false">IF(OR(O32="",J32=""),"",IFERROR(O32/J32,""))</f>
        <v/>
      </c>
      <c r="Q32" s="46"/>
      <c r="R32" s="8" t="n">
        <f aca="false">N32*(Inputs!$E$16+(Inputs!$E$27-Inputs!$E$16)*E32)</f>
        <v>58758.1041666667</v>
      </c>
      <c r="S32" s="8" t="str">
        <f aca="false">IF(OR(O32="",Q32="",J32=""),"",IFERROR(O32*Q32/J32,""))</f>
        <v/>
      </c>
      <c r="T32" s="7" t="str">
        <f aca="false">IF(S32="","",IFERROR(S32/R32-1,""))</f>
        <v/>
      </c>
      <c r="U32" s="8" t="n">
        <f aca="false">C32*(R32-Inputs!$E$19)*Inputs!$E$28</f>
        <v>9886.41261109801</v>
      </c>
      <c r="V32" s="8" t="str">
        <f aca="false">IF(OR(C32=0,S32=""),"",(S32-Inputs!$E$19)*Inputs!$E$28)</f>
        <v/>
      </c>
      <c r="W32" s="45"/>
      <c r="X32" s="7" t="str">
        <f aca="false">IF(OR(W32="",G32=""),"",IFERROR(W32/G32,""))</f>
        <v/>
      </c>
      <c r="Y32" s="47"/>
    </row>
    <row r="33" customFormat="false" ht="15" hidden="false" customHeight="false" outlineLevel="0" collapsed="false">
      <c r="A33" s="44" t="n">
        <v>46322</v>
      </c>
      <c r="B33" s="20" t="str">
        <f aca="false">TEXT(A33,"ddd")</f>
        <v>Tue</v>
      </c>
      <c r="C33" s="6" t="n">
        <f aca="false">IF(A33&gt;=Inputs!$E$9,1,0)</f>
        <v>1</v>
      </c>
      <c r="D33" s="6" t="n">
        <f aca="false">IF(C33=1,A33-Inputs!$E$9+1,"")</f>
        <v>13</v>
      </c>
      <c r="E33" s="51" t="n">
        <f aca="false">IF(C33=1,MIN(1,D33/Inputs!$E$29),0)</f>
        <v>1</v>
      </c>
      <c r="F33" s="6" t="n">
        <f aca="false">Inputs!$E$13+(Inputs!$E$32-Inputs!$E$13)*E33</f>
        <v>1236.08333333333</v>
      </c>
      <c r="G33" s="45"/>
      <c r="H33" s="7" t="str">
        <f aca="false">IF(G33="","",IFERROR(G33/F33-1,""))</f>
        <v/>
      </c>
      <c r="I33" s="6" t="n">
        <f aca="false">Inputs!$E$14+(Inputs!$E$24-Inputs!$E$14)*E33</f>
        <v>882.916666666667</v>
      </c>
      <c r="J33" s="45"/>
      <c r="K33" s="7" t="str">
        <f aca="false">IF(J33="","",IFERROR(J33/I33-1,""))</f>
        <v/>
      </c>
      <c r="L33" s="52" t="str">
        <f aca="false">IF(OR(G33="",J33=""),"",IFERROR(G33/J33,""))</f>
        <v/>
      </c>
      <c r="M33" s="53" t="str">
        <f aca="false">IF(OR(J33="",'Site Daily'!E33=""),"",IFERROR(J33/'Site Daily'!E33*1000,""))</f>
        <v/>
      </c>
      <c r="N33" s="53" t="n">
        <f aca="false">I33*(Inputs!$E$17+(Inputs!$E$26-Inputs!$E$17)*E33)</f>
        <v>48.5604166666667</v>
      </c>
      <c r="O33" s="45"/>
      <c r="P33" s="7" t="str">
        <f aca="false">IF(OR(O33="",J33=""),"",IFERROR(O33/J33,""))</f>
        <v/>
      </c>
      <c r="Q33" s="46"/>
      <c r="R33" s="8" t="n">
        <f aca="false">N33*(Inputs!$E$16+(Inputs!$E$27-Inputs!$E$16)*E33)</f>
        <v>58758.1041666667</v>
      </c>
      <c r="S33" s="8" t="str">
        <f aca="false">IF(OR(O33="",Q33="",J33=""),"",IFERROR(O33*Q33/J33,""))</f>
        <v/>
      </c>
      <c r="T33" s="7" t="str">
        <f aca="false">IF(S33="","",IFERROR(S33/R33-1,""))</f>
        <v/>
      </c>
      <c r="U33" s="8" t="n">
        <f aca="false">C33*(R33-Inputs!$E$19)*Inputs!$E$28</f>
        <v>9886.41261109801</v>
      </c>
      <c r="V33" s="8" t="str">
        <f aca="false">IF(OR(C33=0,S33=""),"",(S33-Inputs!$E$19)*Inputs!$E$28)</f>
        <v/>
      </c>
      <c r="W33" s="45"/>
      <c r="X33" s="7" t="str">
        <f aca="false">IF(OR(W33="",G33=""),"",IFERROR(W33/G33,""))</f>
        <v/>
      </c>
      <c r="Y33" s="47"/>
    </row>
    <row r="34" customFormat="false" ht="15" hidden="false" customHeight="false" outlineLevel="0" collapsed="false">
      <c r="A34" s="44" t="n">
        <v>46323</v>
      </c>
      <c r="B34" s="20" t="str">
        <f aca="false">TEXT(A34,"ddd")</f>
        <v>Wed</v>
      </c>
      <c r="C34" s="6" t="n">
        <f aca="false">IF(A34&gt;=Inputs!$E$9,1,0)</f>
        <v>1</v>
      </c>
      <c r="D34" s="6" t="n">
        <f aca="false">IF(C34=1,A34-Inputs!$E$9+1,"")</f>
        <v>14</v>
      </c>
      <c r="E34" s="51" t="n">
        <f aca="false">IF(C34=1,MIN(1,D34/Inputs!$E$29),0)</f>
        <v>1</v>
      </c>
      <c r="F34" s="6" t="n">
        <f aca="false">Inputs!$E$13+(Inputs!$E$32-Inputs!$E$13)*E34</f>
        <v>1236.08333333333</v>
      </c>
      <c r="G34" s="45"/>
      <c r="H34" s="7" t="str">
        <f aca="false">IF(G34="","",IFERROR(G34/F34-1,""))</f>
        <v/>
      </c>
      <c r="I34" s="6" t="n">
        <f aca="false">Inputs!$E$14+(Inputs!$E$24-Inputs!$E$14)*E34</f>
        <v>882.916666666667</v>
      </c>
      <c r="J34" s="45"/>
      <c r="K34" s="7" t="str">
        <f aca="false">IF(J34="","",IFERROR(J34/I34-1,""))</f>
        <v/>
      </c>
      <c r="L34" s="52" t="str">
        <f aca="false">IF(OR(G34="",J34=""),"",IFERROR(G34/J34,""))</f>
        <v/>
      </c>
      <c r="M34" s="53" t="str">
        <f aca="false">IF(OR(J34="",'Site Daily'!E34=""),"",IFERROR(J34/'Site Daily'!E34*1000,""))</f>
        <v/>
      </c>
      <c r="N34" s="53" t="n">
        <f aca="false">I34*(Inputs!$E$17+(Inputs!$E$26-Inputs!$E$17)*E34)</f>
        <v>48.5604166666667</v>
      </c>
      <c r="O34" s="45"/>
      <c r="P34" s="7" t="str">
        <f aca="false">IF(OR(O34="",J34=""),"",IFERROR(O34/J34,""))</f>
        <v/>
      </c>
      <c r="Q34" s="46"/>
      <c r="R34" s="8" t="n">
        <f aca="false">N34*(Inputs!$E$16+(Inputs!$E$27-Inputs!$E$16)*E34)</f>
        <v>58758.1041666667</v>
      </c>
      <c r="S34" s="8" t="str">
        <f aca="false">IF(OR(O34="",Q34="",J34=""),"",IFERROR(O34*Q34/J34,""))</f>
        <v/>
      </c>
      <c r="T34" s="7" t="str">
        <f aca="false">IF(S34="","",IFERROR(S34/R34-1,""))</f>
        <v/>
      </c>
      <c r="U34" s="8" t="n">
        <f aca="false">C34*(R34-Inputs!$E$19)*Inputs!$E$28</f>
        <v>9886.41261109801</v>
      </c>
      <c r="V34" s="8" t="str">
        <f aca="false">IF(OR(C34=0,S34=""),"",(S34-Inputs!$E$19)*Inputs!$E$28)</f>
        <v/>
      </c>
      <c r="W34" s="45"/>
      <c r="X34" s="7" t="str">
        <f aca="false">IF(OR(W34="",G34=""),"",IFERROR(W34/G34,""))</f>
        <v/>
      </c>
      <c r="Y34" s="47"/>
    </row>
    <row r="35" customFormat="false" ht="15" hidden="false" customHeight="false" outlineLevel="0" collapsed="false">
      <c r="A35" s="44" t="n">
        <v>46324</v>
      </c>
      <c r="B35" s="20" t="str">
        <f aca="false">TEXT(A35,"ddd")</f>
        <v>Thu</v>
      </c>
      <c r="C35" s="6" t="n">
        <f aca="false">IF(A35&gt;=Inputs!$E$9,1,0)</f>
        <v>1</v>
      </c>
      <c r="D35" s="6" t="n">
        <f aca="false">IF(C35=1,A35-Inputs!$E$9+1,"")</f>
        <v>15</v>
      </c>
      <c r="E35" s="51" t="n">
        <f aca="false">IF(C35=1,MIN(1,D35/Inputs!$E$29),0)</f>
        <v>1</v>
      </c>
      <c r="F35" s="6" t="n">
        <f aca="false">Inputs!$E$13+(Inputs!$E$32-Inputs!$E$13)*E35</f>
        <v>1236.08333333333</v>
      </c>
      <c r="G35" s="45"/>
      <c r="H35" s="7" t="str">
        <f aca="false">IF(G35="","",IFERROR(G35/F35-1,""))</f>
        <v/>
      </c>
      <c r="I35" s="6" t="n">
        <f aca="false">Inputs!$E$14+(Inputs!$E$24-Inputs!$E$14)*E35</f>
        <v>882.916666666667</v>
      </c>
      <c r="J35" s="45"/>
      <c r="K35" s="7" t="str">
        <f aca="false">IF(J35="","",IFERROR(J35/I35-1,""))</f>
        <v/>
      </c>
      <c r="L35" s="52" t="str">
        <f aca="false">IF(OR(G35="",J35=""),"",IFERROR(G35/J35,""))</f>
        <v/>
      </c>
      <c r="M35" s="53" t="str">
        <f aca="false">IF(OR(J35="",'Site Daily'!E35=""),"",IFERROR(J35/'Site Daily'!E35*1000,""))</f>
        <v/>
      </c>
      <c r="N35" s="53" t="n">
        <f aca="false">I35*(Inputs!$E$17+(Inputs!$E$26-Inputs!$E$17)*E35)</f>
        <v>48.5604166666667</v>
      </c>
      <c r="O35" s="45"/>
      <c r="P35" s="7" t="str">
        <f aca="false">IF(OR(O35="",J35=""),"",IFERROR(O35/J35,""))</f>
        <v/>
      </c>
      <c r="Q35" s="46"/>
      <c r="R35" s="8" t="n">
        <f aca="false">N35*(Inputs!$E$16+(Inputs!$E$27-Inputs!$E$16)*E35)</f>
        <v>58758.1041666667</v>
      </c>
      <c r="S35" s="8" t="str">
        <f aca="false">IF(OR(O35="",Q35="",J35=""),"",IFERROR(O35*Q35/J35,""))</f>
        <v/>
      </c>
      <c r="T35" s="7" t="str">
        <f aca="false">IF(S35="","",IFERROR(S35/R35-1,""))</f>
        <v/>
      </c>
      <c r="U35" s="8" t="n">
        <f aca="false">C35*(R35-Inputs!$E$19)*Inputs!$E$28</f>
        <v>9886.41261109801</v>
      </c>
      <c r="V35" s="8" t="str">
        <f aca="false">IF(OR(C35=0,S35=""),"",(S35-Inputs!$E$19)*Inputs!$E$28)</f>
        <v/>
      </c>
      <c r="W35" s="45"/>
      <c r="X35" s="7" t="str">
        <f aca="false">IF(OR(W35="",G35=""),"",IFERROR(W35/G35,""))</f>
        <v/>
      </c>
      <c r="Y35" s="47"/>
    </row>
    <row r="36" customFormat="false" ht="15" hidden="false" customHeight="false" outlineLevel="0" collapsed="false">
      <c r="A36" s="44" t="n">
        <v>46325</v>
      </c>
      <c r="B36" s="20" t="str">
        <f aca="false">TEXT(A36,"ddd")</f>
        <v>Fri</v>
      </c>
      <c r="C36" s="6" t="n">
        <f aca="false">IF(A36&gt;=Inputs!$E$9,1,0)</f>
        <v>1</v>
      </c>
      <c r="D36" s="6" t="n">
        <f aca="false">IF(C36=1,A36-Inputs!$E$9+1,"")</f>
        <v>16</v>
      </c>
      <c r="E36" s="51" t="n">
        <f aca="false">IF(C36=1,MIN(1,D36/Inputs!$E$29),0)</f>
        <v>1</v>
      </c>
      <c r="F36" s="6" t="n">
        <f aca="false">Inputs!$E$13+(Inputs!$E$32-Inputs!$E$13)*E36</f>
        <v>1236.08333333333</v>
      </c>
      <c r="G36" s="45"/>
      <c r="H36" s="7" t="str">
        <f aca="false">IF(G36="","",IFERROR(G36/F36-1,""))</f>
        <v/>
      </c>
      <c r="I36" s="6" t="n">
        <f aca="false">Inputs!$E$14+(Inputs!$E$24-Inputs!$E$14)*E36</f>
        <v>882.916666666667</v>
      </c>
      <c r="J36" s="45"/>
      <c r="K36" s="7" t="str">
        <f aca="false">IF(J36="","",IFERROR(J36/I36-1,""))</f>
        <v/>
      </c>
      <c r="L36" s="52" t="str">
        <f aca="false">IF(OR(G36="",J36=""),"",IFERROR(G36/J36,""))</f>
        <v/>
      </c>
      <c r="M36" s="53" t="str">
        <f aca="false">IF(OR(J36="",'Site Daily'!E36=""),"",IFERROR(J36/'Site Daily'!E36*1000,""))</f>
        <v/>
      </c>
      <c r="N36" s="53" t="n">
        <f aca="false">I36*(Inputs!$E$17+(Inputs!$E$26-Inputs!$E$17)*E36)</f>
        <v>48.5604166666667</v>
      </c>
      <c r="O36" s="45"/>
      <c r="P36" s="7" t="str">
        <f aca="false">IF(OR(O36="",J36=""),"",IFERROR(O36/J36,""))</f>
        <v/>
      </c>
      <c r="Q36" s="46"/>
      <c r="R36" s="8" t="n">
        <f aca="false">N36*(Inputs!$E$16+(Inputs!$E$27-Inputs!$E$16)*E36)</f>
        <v>58758.1041666667</v>
      </c>
      <c r="S36" s="8" t="str">
        <f aca="false">IF(OR(O36="",Q36="",J36=""),"",IFERROR(O36*Q36/J36,""))</f>
        <v/>
      </c>
      <c r="T36" s="7" t="str">
        <f aca="false">IF(S36="","",IFERROR(S36/R36-1,""))</f>
        <v/>
      </c>
      <c r="U36" s="8" t="n">
        <f aca="false">C36*(R36-Inputs!$E$19)*Inputs!$E$28</f>
        <v>9886.41261109801</v>
      </c>
      <c r="V36" s="8" t="str">
        <f aca="false">IF(OR(C36=0,S36=""),"",(S36-Inputs!$E$19)*Inputs!$E$28)</f>
        <v/>
      </c>
      <c r="W36" s="45"/>
      <c r="X36" s="7" t="str">
        <f aca="false">IF(OR(W36="",G36=""),"",IFERROR(W36/G36,""))</f>
        <v/>
      </c>
      <c r="Y36" s="47"/>
    </row>
    <row r="37" customFormat="false" ht="15" hidden="false" customHeight="false" outlineLevel="0" collapsed="false">
      <c r="A37" s="44" t="n">
        <v>46326</v>
      </c>
      <c r="B37" s="20" t="str">
        <f aca="false">TEXT(A37,"ddd")</f>
        <v>Sat</v>
      </c>
      <c r="C37" s="6" t="n">
        <f aca="false">IF(A37&gt;=Inputs!$E$9,1,0)</f>
        <v>1</v>
      </c>
      <c r="D37" s="6" t="n">
        <f aca="false">IF(C37=1,A37-Inputs!$E$9+1,"")</f>
        <v>17</v>
      </c>
      <c r="E37" s="51" t="n">
        <f aca="false">IF(C37=1,MIN(1,D37/Inputs!$E$29),0)</f>
        <v>1</v>
      </c>
      <c r="F37" s="6" t="n">
        <f aca="false">Inputs!$E$13+(Inputs!$E$32-Inputs!$E$13)*E37</f>
        <v>1236.08333333333</v>
      </c>
      <c r="G37" s="45"/>
      <c r="H37" s="7" t="str">
        <f aca="false">IF(G37="","",IFERROR(G37/F37-1,""))</f>
        <v/>
      </c>
      <c r="I37" s="6" t="n">
        <f aca="false">Inputs!$E$14+(Inputs!$E$24-Inputs!$E$14)*E37</f>
        <v>882.916666666667</v>
      </c>
      <c r="J37" s="45"/>
      <c r="K37" s="7" t="str">
        <f aca="false">IF(J37="","",IFERROR(J37/I37-1,""))</f>
        <v/>
      </c>
      <c r="L37" s="52" t="str">
        <f aca="false">IF(OR(G37="",J37=""),"",IFERROR(G37/J37,""))</f>
        <v/>
      </c>
      <c r="M37" s="53" t="str">
        <f aca="false">IF(OR(J37="",'Site Daily'!E37=""),"",IFERROR(J37/'Site Daily'!E37*1000,""))</f>
        <v/>
      </c>
      <c r="N37" s="53" t="n">
        <f aca="false">I37*(Inputs!$E$17+(Inputs!$E$26-Inputs!$E$17)*E37)</f>
        <v>48.5604166666667</v>
      </c>
      <c r="O37" s="45"/>
      <c r="P37" s="7" t="str">
        <f aca="false">IF(OR(O37="",J37=""),"",IFERROR(O37/J37,""))</f>
        <v/>
      </c>
      <c r="Q37" s="46"/>
      <c r="R37" s="8" t="n">
        <f aca="false">N37*(Inputs!$E$16+(Inputs!$E$27-Inputs!$E$16)*E37)</f>
        <v>58758.1041666667</v>
      </c>
      <c r="S37" s="8" t="str">
        <f aca="false">IF(OR(O37="",Q37="",J37=""),"",IFERROR(O37*Q37/J37,""))</f>
        <v/>
      </c>
      <c r="T37" s="7" t="str">
        <f aca="false">IF(S37="","",IFERROR(S37/R37-1,""))</f>
        <v/>
      </c>
      <c r="U37" s="8" t="n">
        <f aca="false">C37*(R37-Inputs!$E$19)*Inputs!$E$28</f>
        <v>9886.41261109801</v>
      </c>
      <c r="V37" s="8" t="str">
        <f aca="false">IF(OR(C37=0,S37=""),"",(S37-Inputs!$E$19)*Inputs!$E$28)</f>
        <v/>
      </c>
      <c r="W37" s="45"/>
      <c r="X37" s="7" t="str">
        <f aca="false">IF(OR(W37="",G37=""),"",IFERROR(W37/G37,""))</f>
        <v/>
      </c>
      <c r="Y37" s="47"/>
    </row>
    <row r="38" customFormat="false" ht="15" hidden="false" customHeight="false" outlineLevel="0" collapsed="false">
      <c r="A38" s="44" t="n">
        <v>46327</v>
      </c>
      <c r="B38" s="20" t="str">
        <f aca="false">TEXT(A38,"ddd")</f>
        <v>Sun</v>
      </c>
      <c r="C38" s="6" t="n">
        <f aca="false">IF(A38&gt;=Inputs!$E$9,1,0)</f>
        <v>1</v>
      </c>
      <c r="D38" s="6" t="n">
        <f aca="false">IF(C38=1,A38-Inputs!$E$9+1,"")</f>
        <v>18</v>
      </c>
      <c r="E38" s="51" t="n">
        <f aca="false">IF(C38=1,MIN(1,D38/Inputs!$E$29),0)</f>
        <v>1</v>
      </c>
      <c r="F38" s="6" t="n">
        <f aca="false">Inputs!$E$13+(Inputs!$E$32-Inputs!$E$13)*E38</f>
        <v>1236.08333333333</v>
      </c>
      <c r="G38" s="45"/>
      <c r="H38" s="7" t="str">
        <f aca="false">IF(G38="","",IFERROR(G38/F38-1,""))</f>
        <v/>
      </c>
      <c r="I38" s="6" t="n">
        <f aca="false">Inputs!$E$14+(Inputs!$E$24-Inputs!$E$14)*E38</f>
        <v>882.916666666667</v>
      </c>
      <c r="J38" s="45"/>
      <c r="K38" s="7" t="str">
        <f aca="false">IF(J38="","",IFERROR(J38/I38-1,""))</f>
        <v/>
      </c>
      <c r="L38" s="52" t="str">
        <f aca="false">IF(OR(G38="",J38=""),"",IFERROR(G38/J38,""))</f>
        <v/>
      </c>
      <c r="M38" s="53" t="str">
        <f aca="false">IF(OR(J38="",'Site Daily'!E38=""),"",IFERROR(J38/'Site Daily'!E38*1000,""))</f>
        <v/>
      </c>
      <c r="N38" s="53" t="n">
        <f aca="false">I38*(Inputs!$E$17+(Inputs!$E$26-Inputs!$E$17)*E38)</f>
        <v>48.5604166666667</v>
      </c>
      <c r="O38" s="45"/>
      <c r="P38" s="7" t="str">
        <f aca="false">IF(OR(O38="",J38=""),"",IFERROR(O38/J38,""))</f>
        <v/>
      </c>
      <c r="Q38" s="46"/>
      <c r="R38" s="8" t="n">
        <f aca="false">N38*(Inputs!$E$16+(Inputs!$E$27-Inputs!$E$16)*E38)</f>
        <v>58758.1041666667</v>
      </c>
      <c r="S38" s="8" t="str">
        <f aca="false">IF(OR(O38="",Q38="",J38=""),"",IFERROR(O38*Q38/J38,""))</f>
        <v/>
      </c>
      <c r="T38" s="7" t="str">
        <f aca="false">IF(S38="","",IFERROR(S38/R38-1,""))</f>
        <v/>
      </c>
      <c r="U38" s="8" t="n">
        <f aca="false">C38*(R38-Inputs!$E$19)*Inputs!$E$28</f>
        <v>9886.41261109801</v>
      </c>
      <c r="V38" s="8" t="str">
        <f aca="false">IF(OR(C38=0,S38=""),"",(S38-Inputs!$E$19)*Inputs!$E$28)</f>
        <v/>
      </c>
      <c r="W38" s="45"/>
      <c r="X38" s="7" t="str">
        <f aca="false">IF(OR(W38="",G38=""),"",IFERROR(W38/G38,""))</f>
        <v/>
      </c>
      <c r="Y38" s="47"/>
    </row>
    <row r="39" customFormat="false" ht="15" hidden="false" customHeight="false" outlineLevel="0" collapsed="false">
      <c r="A39" s="44" t="n">
        <v>46328</v>
      </c>
      <c r="B39" s="20" t="str">
        <f aca="false">TEXT(A39,"ddd")</f>
        <v>Mon</v>
      </c>
      <c r="C39" s="6" t="n">
        <f aca="false">IF(A39&gt;=Inputs!$E$9,1,0)</f>
        <v>1</v>
      </c>
      <c r="D39" s="6" t="n">
        <f aca="false">IF(C39=1,A39-Inputs!$E$9+1,"")</f>
        <v>19</v>
      </c>
      <c r="E39" s="51" t="n">
        <f aca="false">IF(C39=1,MIN(1,D39/Inputs!$E$29),0)</f>
        <v>1</v>
      </c>
      <c r="F39" s="6" t="n">
        <f aca="false">Inputs!$E$13+(Inputs!$E$32-Inputs!$E$13)*E39</f>
        <v>1236.08333333333</v>
      </c>
      <c r="G39" s="45"/>
      <c r="H39" s="7" t="str">
        <f aca="false">IF(G39="","",IFERROR(G39/F39-1,""))</f>
        <v/>
      </c>
      <c r="I39" s="6" t="n">
        <f aca="false">Inputs!$E$14+(Inputs!$E$24-Inputs!$E$14)*E39</f>
        <v>882.916666666667</v>
      </c>
      <c r="J39" s="45"/>
      <c r="K39" s="7" t="str">
        <f aca="false">IF(J39="","",IFERROR(J39/I39-1,""))</f>
        <v/>
      </c>
      <c r="L39" s="52" t="str">
        <f aca="false">IF(OR(G39="",J39=""),"",IFERROR(G39/J39,""))</f>
        <v/>
      </c>
      <c r="M39" s="53" t="str">
        <f aca="false">IF(OR(J39="",'Site Daily'!E39=""),"",IFERROR(J39/'Site Daily'!E39*1000,""))</f>
        <v/>
      </c>
      <c r="N39" s="53" t="n">
        <f aca="false">I39*(Inputs!$E$17+(Inputs!$E$26-Inputs!$E$17)*E39)</f>
        <v>48.5604166666667</v>
      </c>
      <c r="O39" s="45"/>
      <c r="P39" s="7" t="str">
        <f aca="false">IF(OR(O39="",J39=""),"",IFERROR(O39/J39,""))</f>
        <v/>
      </c>
      <c r="Q39" s="46"/>
      <c r="R39" s="8" t="n">
        <f aca="false">N39*(Inputs!$E$16+(Inputs!$E$27-Inputs!$E$16)*E39)</f>
        <v>58758.1041666667</v>
      </c>
      <c r="S39" s="8" t="str">
        <f aca="false">IF(OR(O39="",Q39="",J39=""),"",IFERROR(O39*Q39/J39,""))</f>
        <v/>
      </c>
      <c r="T39" s="7" t="str">
        <f aca="false">IF(S39="","",IFERROR(S39/R39-1,""))</f>
        <v/>
      </c>
      <c r="U39" s="8" t="n">
        <f aca="false">C39*(R39-Inputs!$E$19)*Inputs!$E$28</f>
        <v>9886.41261109801</v>
      </c>
      <c r="V39" s="8" t="str">
        <f aca="false">IF(OR(C39=0,S39=""),"",(S39-Inputs!$E$19)*Inputs!$E$28)</f>
        <v/>
      </c>
      <c r="W39" s="45"/>
      <c r="X39" s="7" t="str">
        <f aca="false">IF(OR(W39="",G39=""),"",IFERROR(W39/G39,""))</f>
        <v/>
      </c>
      <c r="Y39" s="47"/>
    </row>
    <row r="40" customFormat="false" ht="15" hidden="false" customHeight="false" outlineLevel="0" collapsed="false">
      <c r="A40" s="44" t="n">
        <v>46329</v>
      </c>
      <c r="B40" s="20" t="str">
        <f aca="false">TEXT(A40,"ddd")</f>
        <v>Tue</v>
      </c>
      <c r="C40" s="6" t="n">
        <f aca="false">IF(A40&gt;=Inputs!$E$9,1,0)</f>
        <v>1</v>
      </c>
      <c r="D40" s="6" t="n">
        <f aca="false">IF(C40=1,A40-Inputs!$E$9+1,"")</f>
        <v>20</v>
      </c>
      <c r="E40" s="51" t="n">
        <f aca="false">IF(C40=1,MIN(1,D40/Inputs!$E$29),0)</f>
        <v>1</v>
      </c>
      <c r="F40" s="6" t="n">
        <f aca="false">Inputs!$E$13+(Inputs!$E$32-Inputs!$E$13)*E40</f>
        <v>1236.08333333333</v>
      </c>
      <c r="G40" s="45"/>
      <c r="H40" s="7" t="str">
        <f aca="false">IF(G40="","",IFERROR(G40/F40-1,""))</f>
        <v/>
      </c>
      <c r="I40" s="6" t="n">
        <f aca="false">Inputs!$E$14+(Inputs!$E$24-Inputs!$E$14)*E40</f>
        <v>882.916666666667</v>
      </c>
      <c r="J40" s="45"/>
      <c r="K40" s="7" t="str">
        <f aca="false">IF(J40="","",IFERROR(J40/I40-1,""))</f>
        <v/>
      </c>
      <c r="L40" s="52" t="str">
        <f aca="false">IF(OR(G40="",J40=""),"",IFERROR(G40/J40,""))</f>
        <v/>
      </c>
      <c r="M40" s="53" t="str">
        <f aca="false">IF(OR(J40="",'Site Daily'!E40=""),"",IFERROR(J40/'Site Daily'!E40*1000,""))</f>
        <v/>
      </c>
      <c r="N40" s="53" t="n">
        <f aca="false">I40*(Inputs!$E$17+(Inputs!$E$26-Inputs!$E$17)*E40)</f>
        <v>48.5604166666667</v>
      </c>
      <c r="O40" s="45"/>
      <c r="P40" s="7" t="str">
        <f aca="false">IF(OR(O40="",J40=""),"",IFERROR(O40/J40,""))</f>
        <v/>
      </c>
      <c r="Q40" s="46"/>
      <c r="R40" s="8" t="n">
        <f aca="false">N40*(Inputs!$E$16+(Inputs!$E$27-Inputs!$E$16)*E40)</f>
        <v>58758.1041666667</v>
      </c>
      <c r="S40" s="8" t="str">
        <f aca="false">IF(OR(O40="",Q40="",J40=""),"",IFERROR(O40*Q40/J40,""))</f>
        <v/>
      </c>
      <c r="T40" s="7" t="str">
        <f aca="false">IF(S40="","",IFERROR(S40/R40-1,""))</f>
        <v/>
      </c>
      <c r="U40" s="8" t="n">
        <f aca="false">C40*(R40-Inputs!$E$19)*Inputs!$E$28</f>
        <v>9886.41261109801</v>
      </c>
      <c r="V40" s="8" t="str">
        <f aca="false">IF(OR(C40=0,S40=""),"",(S40-Inputs!$E$19)*Inputs!$E$28)</f>
        <v/>
      </c>
      <c r="W40" s="45"/>
      <c r="X40" s="7" t="str">
        <f aca="false">IF(OR(W40="",G40=""),"",IFERROR(W40/G40,""))</f>
        <v/>
      </c>
      <c r="Y40" s="47"/>
    </row>
    <row r="41" customFormat="false" ht="15" hidden="false" customHeight="false" outlineLevel="0" collapsed="false">
      <c r="A41" s="44" t="n">
        <v>46330</v>
      </c>
      <c r="B41" s="20" t="str">
        <f aca="false">TEXT(A41,"ddd")</f>
        <v>Wed</v>
      </c>
      <c r="C41" s="6" t="n">
        <f aca="false">IF(A41&gt;=Inputs!$E$9,1,0)</f>
        <v>1</v>
      </c>
      <c r="D41" s="6" t="n">
        <f aca="false">IF(C41=1,A41-Inputs!$E$9+1,"")</f>
        <v>21</v>
      </c>
      <c r="E41" s="51" t="n">
        <f aca="false">IF(C41=1,MIN(1,D41/Inputs!$E$29),0)</f>
        <v>1</v>
      </c>
      <c r="F41" s="6" t="n">
        <f aca="false">Inputs!$E$13+(Inputs!$E$32-Inputs!$E$13)*E41</f>
        <v>1236.08333333333</v>
      </c>
      <c r="G41" s="45"/>
      <c r="H41" s="7" t="str">
        <f aca="false">IF(G41="","",IFERROR(G41/F41-1,""))</f>
        <v/>
      </c>
      <c r="I41" s="6" t="n">
        <f aca="false">Inputs!$E$14+(Inputs!$E$24-Inputs!$E$14)*E41</f>
        <v>882.916666666667</v>
      </c>
      <c r="J41" s="45"/>
      <c r="K41" s="7" t="str">
        <f aca="false">IF(J41="","",IFERROR(J41/I41-1,""))</f>
        <v/>
      </c>
      <c r="L41" s="52" t="str">
        <f aca="false">IF(OR(G41="",J41=""),"",IFERROR(G41/J41,""))</f>
        <v/>
      </c>
      <c r="M41" s="53" t="str">
        <f aca="false">IF(OR(J41="",'Site Daily'!E41=""),"",IFERROR(J41/'Site Daily'!E41*1000,""))</f>
        <v/>
      </c>
      <c r="N41" s="53" t="n">
        <f aca="false">I41*(Inputs!$E$17+(Inputs!$E$26-Inputs!$E$17)*E41)</f>
        <v>48.5604166666667</v>
      </c>
      <c r="O41" s="45"/>
      <c r="P41" s="7" t="str">
        <f aca="false">IF(OR(O41="",J41=""),"",IFERROR(O41/J41,""))</f>
        <v/>
      </c>
      <c r="Q41" s="46"/>
      <c r="R41" s="8" t="n">
        <f aca="false">N41*(Inputs!$E$16+(Inputs!$E$27-Inputs!$E$16)*E41)</f>
        <v>58758.1041666667</v>
      </c>
      <c r="S41" s="8" t="str">
        <f aca="false">IF(OR(O41="",Q41="",J41=""),"",IFERROR(O41*Q41/J41,""))</f>
        <v/>
      </c>
      <c r="T41" s="7" t="str">
        <f aca="false">IF(S41="","",IFERROR(S41/R41-1,""))</f>
        <v/>
      </c>
      <c r="U41" s="8" t="n">
        <f aca="false">C41*(R41-Inputs!$E$19)*Inputs!$E$28</f>
        <v>9886.41261109801</v>
      </c>
      <c r="V41" s="8" t="str">
        <f aca="false">IF(OR(C41=0,S41=""),"",(S41-Inputs!$E$19)*Inputs!$E$28)</f>
        <v/>
      </c>
      <c r="W41" s="45"/>
      <c r="X41" s="7" t="str">
        <f aca="false">IF(OR(W41="",G41=""),"",IFERROR(W41/G41,""))</f>
        <v/>
      </c>
      <c r="Y41" s="47"/>
    </row>
    <row r="42" customFormat="false" ht="15" hidden="false" customHeight="false" outlineLevel="0" collapsed="false">
      <c r="A42" s="44" t="n">
        <v>46331</v>
      </c>
      <c r="B42" s="20" t="str">
        <f aca="false">TEXT(A42,"ddd")</f>
        <v>Thu</v>
      </c>
      <c r="C42" s="6" t="n">
        <f aca="false">IF(A42&gt;=Inputs!$E$9,1,0)</f>
        <v>1</v>
      </c>
      <c r="D42" s="6" t="n">
        <f aca="false">IF(C42=1,A42-Inputs!$E$9+1,"")</f>
        <v>22</v>
      </c>
      <c r="E42" s="51" t="n">
        <f aca="false">IF(C42=1,MIN(1,D42/Inputs!$E$29),0)</f>
        <v>1</v>
      </c>
      <c r="F42" s="6" t="n">
        <f aca="false">Inputs!$E$13+(Inputs!$E$32-Inputs!$E$13)*E42</f>
        <v>1236.08333333333</v>
      </c>
      <c r="G42" s="45"/>
      <c r="H42" s="7" t="str">
        <f aca="false">IF(G42="","",IFERROR(G42/F42-1,""))</f>
        <v/>
      </c>
      <c r="I42" s="6" t="n">
        <f aca="false">Inputs!$E$14+(Inputs!$E$24-Inputs!$E$14)*E42</f>
        <v>882.916666666667</v>
      </c>
      <c r="J42" s="45"/>
      <c r="K42" s="7" t="str">
        <f aca="false">IF(J42="","",IFERROR(J42/I42-1,""))</f>
        <v/>
      </c>
      <c r="L42" s="52" t="str">
        <f aca="false">IF(OR(G42="",J42=""),"",IFERROR(G42/J42,""))</f>
        <v/>
      </c>
      <c r="M42" s="53" t="str">
        <f aca="false">IF(OR(J42="",'Site Daily'!E42=""),"",IFERROR(J42/'Site Daily'!E42*1000,""))</f>
        <v/>
      </c>
      <c r="N42" s="53" t="n">
        <f aca="false">I42*(Inputs!$E$17+(Inputs!$E$26-Inputs!$E$17)*E42)</f>
        <v>48.5604166666667</v>
      </c>
      <c r="O42" s="45"/>
      <c r="P42" s="7" t="str">
        <f aca="false">IF(OR(O42="",J42=""),"",IFERROR(O42/J42,""))</f>
        <v/>
      </c>
      <c r="Q42" s="46"/>
      <c r="R42" s="8" t="n">
        <f aca="false">N42*(Inputs!$E$16+(Inputs!$E$27-Inputs!$E$16)*E42)</f>
        <v>58758.1041666667</v>
      </c>
      <c r="S42" s="8" t="str">
        <f aca="false">IF(OR(O42="",Q42="",J42=""),"",IFERROR(O42*Q42/J42,""))</f>
        <v/>
      </c>
      <c r="T42" s="7" t="str">
        <f aca="false">IF(S42="","",IFERROR(S42/R42-1,""))</f>
        <v/>
      </c>
      <c r="U42" s="8" t="n">
        <f aca="false">C42*(R42-Inputs!$E$19)*Inputs!$E$28</f>
        <v>9886.41261109801</v>
      </c>
      <c r="V42" s="8" t="str">
        <f aca="false">IF(OR(C42=0,S42=""),"",(S42-Inputs!$E$19)*Inputs!$E$28)</f>
        <v/>
      </c>
      <c r="W42" s="45"/>
      <c r="X42" s="7" t="str">
        <f aca="false">IF(OR(W42="",G42=""),"",IFERROR(W42/G42,""))</f>
        <v/>
      </c>
      <c r="Y42" s="47"/>
    </row>
    <row r="43" customFormat="false" ht="15" hidden="false" customHeight="false" outlineLevel="0" collapsed="false">
      <c r="A43" s="44" t="n">
        <v>46332</v>
      </c>
      <c r="B43" s="20" t="str">
        <f aca="false">TEXT(A43,"ddd")</f>
        <v>Fri</v>
      </c>
      <c r="C43" s="6" t="n">
        <f aca="false">IF(A43&gt;=Inputs!$E$9,1,0)</f>
        <v>1</v>
      </c>
      <c r="D43" s="6" t="n">
        <f aca="false">IF(C43=1,A43-Inputs!$E$9+1,"")</f>
        <v>23</v>
      </c>
      <c r="E43" s="51" t="n">
        <f aca="false">IF(C43=1,MIN(1,D43/Inputs!$E$29),0)</f>
        <v>1</v>
      </c>
      <c r="F43" s="6" t="n">
        <f aca="false">Inputs!$E$13+(Inputs!$E$32-Inputs!$E$13)*E43</f>
        <v>1236.08333333333</v>
      </c>
      <c r="G43" s="45"/>
      <c r="H43" s="7" t="str">
        <f aca="false">IF(G43="","",IFERROR(G43/F43-1,""))</f>
        <v/>
      </c>
      <c r="I43" s="6" t="n">
        <f aca="false">Inputs!$E$14+(Inputs!$E$24-Inputs!$E$14)*E43</f>
        <v>882.916666666667</v>
      </c>
      <c r="J43" s="45"/>
      <c r="K43" s="7" t="str">
        <f aca="false">IF(J43="","",IFERROR(J43/I43-1,""))</f>
        <v/>
      </c>
      <c r="L43" s="52" t="str">
        <f aca="false">IF(OR(G43="",J43=""),"",IFERROR(G43/J43,""))</f>
        <v/>
      </c>
      <c r="M43" s="53" t="str">
        <f aca="false">IF(OR(J43="",'Site Daily'!E43=""),"",IFERROR(J43/'Site Daily'!E43*1000,""))</f>
        <v/>
      </c>
      <c r="N43" s="53" t="n">
        <f aca="false">I43*(Inputs!$E$17+(Inputs!$E$26-Inputs!$E$17)*E43)</f>
        <v>48.5604166666667</v>
      </c>
      <c r="O43" s="45"/>
      <c r="P43" s="7" t="str">
        <f aca="false">IF(OR(O43="",J43=""),"",IFERROR(O43/J43,""))</f>
        <v/>
      </c>
      <c r="Q43" s="46"/>
      <c r="R43" s="8" t="n">
        <f aca="false">N43*(Inputs!$E$16+(Inputs!$E$27-Inputs!$E$16)*E43)</f>
        <v>58758.1041666667</v>
      </c>
      <c r="S43" s="8" t="str">
        <f aca="false">IF(OR(O43="",Q43="",J43=""),"",IFERROR(O43*Q43/J43,""))</f>
        <v/>
      </c>
      <c r="T43" s="7" t="str">
        <f aca="false">IF(S43="","",IFERROR(S43/R43-1,""))</f>
        <v/>
      </c>
      <c r="U43" s="8" t="n">
        <f aca="false">C43*(R43-Inputs!$E$19)*Inputs!$E$28</f>
        <v>9886.41261109801</v>
      </c>
      <c r="V43" s="8" t="str">
        <f aca="false">IF(OR(C43=0,S43=""),"",(S43-Inputs!$E$19)*Inputs!$E$28)</f>
        <v/>
      </c>
      <c r="W43" s="45"/>
      <c r="X43" s="7" t="str">
        <f aca="false">IF(OR(W43="",G43=""),"",IFERROR(W43/G43,""))</f>
        <v/>
      </c>
      <c r="Y43" s="47"/>
    </row>
    <row r="44" customFormat="false" ht="15" hidden="false" customHeight="false" outlineLevel="0" collapsed="false">
      <c r="A44" s="44" t="n">
        <v>46333</v>
      </c>
      <c r="B44" s="20" t="str">
        <f aca="false">TEXT(A44,"ddd")</f>
        <v>Sat</v>
      </c>
      <c r="C44" s="6" t="n">
        <f aca="false">IF(A44&gt;=Inputs!$E$9,1,0)</f>
        <v>1</v>
      </c>
      <c r="D44" s="6" t="n">
        <f aca="false">IF(C44=1,A44-Inputs!$E$9+1,"")</f>
        <v>24</v>
      </c>
      <c r="E44" s="51" t="n">
        <f aca="false">IF(C44=1,MIN(1,D44/Inputs!$E$29),0)</f>
        <v>1</v>
      </c>
      <c r="F44" s="6" t="n">
        <f aca="false">Inputs!$E$13+(Inputs!$E$32-Inputs!$E$13)*E44</f>
        <v>1236.08333333333</v>
      </c>
      <c r="G44" s="45"/>
      <c r="H44" s="7" t="str">
        <f aca="false">IF(G44="","",IFERROR(G44/F44-1,""))</f>
        <v/>
      </c>
      <c r="I44" s="6" t="n">
        <f aca="false">Inputs!$E$14+(Inputs!$E$24-Inputs!$E$14)*E44</f>
        <v>882.916666666667</v>
      </c>
      <c r="J44" s="45"/>
      <c r="K44" s="7" t="str">
        <f aca="false">IF(J44="","",IFERROR(J44/I44-1,""))</f>
        <v/>
      </c>
      <c r="L44" s="52" t="str">
        <f aca="false">IF(OR(G44="",J44=""),"",IFERROR(G44/J44,""))</f>
        <v/>
      </c>
      <c r="M44" s="53" t="str">
        <f aca="false">IF(OR(J44="",'Site Daily'!E44=""),"",IFERROR(J44/'Site Daily'!E44*1000,""))</f>
        <v/>
      </c>
      <c r="N44" s="53" t="n">
        <f aca="false">I44*(Inputs!$E$17+(Inputs!$E$26-Inputs!$E$17)*E44)</f>
        <v>48.5604166666667</v>
      </c>
      <c r="O44" s="45"/>
      <c r="P44" s="7" t="str">
        <f aca="false">IF(OR(O44="",J44=""),"",IFERROR(O44/J44,""))</f>
        <v/>
      </c>
      <c r="Q44" s="46"/>
      <c r="R44" s="8" t="n">
        <f aca="false">N44*(Inputs!$E$16+(Inputs!$E$27-Inputs!$E$16)*E44)</f>
        <v>58758.1041666667</v>
      </c>
      <c r="S44" s="8" t="str">
        <f aca="false">IF(OR(O44="",Q44="",J44=""),"",IFERROR(O44*Q44/J44,""))</f>
        <v/>
      </c>
      <c r="T44" s="7" t="str">
        <f aca="false">IF(S44="","",IFERROR(S44/R44-1,""))</f>
        <v/>
      </c>
      <c r="U44" s="8" t="n">
        <f aca="false">C44*(R44-Inputs!$E$19)*Inputs!$E$28</f>
        <v>9886.41261109801</v>
      </c>
      <c r="V44" s="8" t="str">
        <f aca="false">IF(OR(C44=0,S44=""),"",(S44-Inputs!$E$19)*Inputs!$E$28)</f>
        <v/>
      </c>
      <c r="W44" s="45"/>
      <c r="X44" s="7" t="str">
        <f aca="false">IF(OR(W44="",G44=""),"",IFERROR(W44/G44,""))</f>
        <v/>
      </c>
      <c r="Y44" s="47"/>
    </row>
    <row r="45" customFormat="false" ht="15" hidden="false" customHeight="false" outlineLevel="0" collapsed="false">
      <c r="A45" s="44" t="n">
        <v>46334</v>
      </c>
      <c r="B45" s="20" t="str">
        <f aca="false">TEXT(A45,"ddd")</f>
        <v>Sun</v>
      </c>
      <c r="C45" s="6" t="n">
        <f aca="false">IF(A45&gt;=Inputs!$E$9,1,0)</f>
        <v>1</v>
      </c>
      <c r="D45" s="6" t="n">
        <f aca="false">IF(C45=1,A45-Inputs!$E$9+1,"")</f>
        <v>25</v>
      </c>
      <c r="E45" s="51" t="n">
        <f aca="false">IF(C45=1,MIN(1,D45/Inputs!$E$29),0)</f>
        <v>1</v>
      </c>
      <c r="F45" s="6" t="n">
        <f aca="false">Inputs!$E$13+(Inputs!$E$32-Inputs!$E$13)*E45</f>
        <v>1236.08333333333</v>
      </c>
      <c r="G45" s="45"/>
      <c r="H45" s="7" t="str">
        <f aca="false">IF(G45="","",IFERROR(G45/F45-1,""))</f>
        <v/>
      </c>
      <c r="I45" s="6" t="n">
        <f aca="false">Inputs!$E$14+(Inputs!$E$24-Inputs!$E$14)*E45</f>
        <v>882.916666666667</v>
      </c>
      <c r="J45" s="45"/>
      <c r="K45" s="7" t="str">
        <f aca="false">IF(J45="","",IFERROR(J45/I45-1,""))</f>
        <v/>
      </c>
      <c r="L45" s="52" t="str">
        <f aca="false">IF(OR(G45="",J45=""),"",IFERROR(G45/J45,""))</f>
        <v/>
      </c>
      <c r="M45" s="53" t="str">
        <f aca="false">IF(OR(J45="",'Site Daily'!E45=""),"",IFERROR(J45/'Site Daily'!E45*1000,""))</f>
        <v/>
      </c>
      <c r="N45" s="53" t="n">
        <f aca="false">I45*(Inputs!$E$17+(Inputs!$E$26-Inputs!$E$17)*E45)</f>
        <v>48.5604166666667</v>
      </c>
      <c r="O45" s="45"/>
      <c r="P45" s="7" t="str">
        <f aca="false">IF(OR(O45="",J45=""),"",IFERROR(O45/J45,""))</f>
        <v/>
      </c>
      <c r="Q45" s="46"/>
      <c r="R45" s="8" t="n">
        <f aca="false">N45*(Inputs!$E$16+(Inputs!$E$27-Inputs!$E$16)*E45)</f>
        <v>58758.1041666667</v>
      </c>
      <c r="S45" s="8" t="str">
        <f aca="false">IF(OR(O45="",Q45="",J45=""),"",IFERROR(O45*Q45/J45,""))</f>
        <v/>
      </c>
      <c r="T45" s="7" t="str">
        <f aca="false">IF(S45="","",IFERROR(S45/R45-1,""))</f>
        <v/>
      </c>
      <c r="U45" s="8" t="n">
        <f aca="false">C45*(R45-Inputs!$E$19)*Inputs!$E$28</f>
        <v>9886.41261109801</v>
      </c>
      <c r="V45" s="8" t="str">
        <f aca="false">IF(OR(C45=0,S45=""),"",(S45-Inputs!$E$19)*Inputs!$E$28)</f>
        <v/>
      </c>
      <c r="W45" s="45"/>
      <c r="X45" s="7" t="str">
        <f aca="false">IF(OR(W45="",G45=""),"",IFERROR(W45/G45,""))</f>
        <v/>
      </c>
      <c r="Y45" s="47"/>
    </row>
    <row r="46" customFormat="false" ht="15" hidden="false" customHeight="false" outlineLevel="0" collapsed="false">
      <c r="A46" s="44" t="n">
        <v>46335</v>
      </c>
      <c r="B46" s="20" t="str">
        <f aca="false">TEXT(A46,"ddd")</f>
        <v>Mon</v>
      </c>
      <c r="C46" s="6" t="n">
        <f aca="false">IF(A46&gt;=Inputs!$E$9,1,0)</f>
        <v>1</v>
      </c>
      <c r="D46" s="6" t="n">
        <f aca="false">IF(C46=1,A46-Inputs!$E$9+1,"")</f>
        <v>26</v>
      </c>
      <c r="E46" s="51" t="n">
        <f aca="false">IF(C46=1,MIN(1,D46/Inputs!$E$29),0)</f>
        <v>1</v>
      </c>
      <c r="F46" s="6" t="n">
        <f aca="false">Inputs!$E$13+(Inputs!$E$32-Inputs!$E$13)*E46</f>
        <v>1236.08333333333</v>
      </c>
      <c r="G46" s="45"/>
      <c r="H46" s="7" t="str">
        <f aca="false">IF(G46="","",IFERROR(G46/F46-1,""))</f>
        <v/>
      </c>
      <c r="I46" s="6" t="n">
        <f aca="false">Inputs!$E$14+(Inputs!$E$24-Inputs!$E$14)*E46</f>
        <v>882.916666666667</v>
      </c>
      <c r="J46" s="45"/>
      <c r="K46" s="7" t="str">
        <f aca="false">IF(J46="","",IFERROR(J46/I46-1,""))</f>
        <v/>
      </c>
      <c r="L46" s="52" t="str">
        <f aca="false">IF(OR(G46="",J46=""),"",IFERROR(G46/J46,""))</f>
        <v/>
      </c>
      <c r="M46" s="53" t="str">
        <f aca="false">IF(OR(J46="",'Site Daily'!E46=""),"",IFERROR(J46/'Site Daily'!E46*1000,""))</f>
        <v/>
      </c>
      <c r="N46" s="53" t="n">
        <f aca="false">I46*(Inputs!$E$17+(Inputs!$E$26-Inputs!$E$17)*E46)</f>
        <v>48.5604166666667</v>
      </c>
      <c r="O46" s="45"/>
      <c r="P46" s="7" t="str">
        <f aca="false">IF(OR(O46="",J46=""),"",IFERROR(O46/J46,""))</f>
        <v/>
      </c>
      <c r="Q46" s="46"/>
      <c r="R46" s="8" t="n">
        <f aca="false">N46*(Inputs!$E$16+(Inputs!$E$27-Inputs!$E$16)*E46)</f>
        <v>58758.1041666667</v>
      </c>
      <c r="S46" s="8" t="str">
        <f aca="false">IF(OR(O46="",Q46="",J46=""),"",IFERROR(O46*Q46/J46,""))</f>
        <v/>
      </c>
      <c r="T46" s="7" t="str">
        <f aca="false">IF(S46="","",IFERROR(S46/R46-1,""))</f>
        <v/>
      </c>
      <c r="U46" s="8" t="n">
        <f aca="false">C46*(R46-Inputs!$E$19)*Inputs!$E$28</f>
        <v>9886.41261109801</v>
      </c>
      <c r="V46" s="8" t="str">
        <f aca="false">IF(OR(C46=0,S46=""),"",(S46-Inputs!$E$19)*Inputs!$E$28)</f>
        <v/>
      </c>
      <c r="W46" s="45"/>
      <c r="X46" s="7" t="str">
        <f aca="false">IF(OR(W46="",G46=""),"",IFERROR(W46/G46,""))</f>
        <v/>
      </c>
      <c r="Y46" s="47"/>
    </row>
    <row r="47" customFormat="false" ht="15" hidden="false" customHeight="false" outlineLevel="0" collapsed="false">
      <c r="A47" s="44" t="n">
        <v>46336</v>
      </c>
      <c r="B47" s="20" t="str">
        <f aca="false">TEXT(A47,"ddd")</f>
        <v>Tue</v>
      </c>
      <c r="C47" s="6" t="n">
        <f aca="false">IF(A47&gt;=Inputs!$E$9,1,0)</f>
        <v>1</v>
      </c>
      <c r="D47" s="6" t="n">
        <f aca="false">IF(C47=1,A47-Inputs!$E$9+1,"")</f>
        <v>27</v>
      </c>
      <c r="E47" s="51" t="n">
        <f aca="false">IF(C47=1,MIN(1,D47/Inputs!$E$29),0)</f>
        <v>1</v>
      </c>
      <c r="F47" s="6" t="n">
        <f aca="false">Inputs!$E$13+(Inputs!$E$32-Inputs!$E$13)*E47</f>
        <v>1236.08333333333</v>
      </c>
      <c r="G47" s="45"/>
      <c r="H47" s="7" t="str">
        <f aca="false">IF(G47="","",IFERROR(G47/F47-1,""))</f>
        <v/>
      </c>
      <c r="I47" s="6" t="n">
        <f aca="false">Inputs!$E$14+(Inputs!$E$24-Inputs!$E$14)*E47</f>
        <v>882.916666666667</v>
      </c>
      <c r="J47" s="45"/>
      <c r="K47" s="7" t="str">
        <f aca="false">IF(J47="","",IFERROR(J47/I47-1,""))</f>
        <v/>
      </c>
      <c r="L47" s="52" t="str">
        <f aca="false">IF(OR(G47="",J47=""),"",IFERROR(G47/J47,""))</f>
        <v/>
      </c>
      <c r="M47" s="53" t="str">
        <f aca="false">IF(OR(J47="",'Site Daily'!E47=""),"",IFERROR(J47/'Site Daily'!E47*1000,""))</f>
        <v/>
      </c>
      <c r="N47" s="53" t="n">
        <f aca="false">I47*(Inputs!$E$17+(Inputs!$E$26-Inputs!$E$17)*E47)</f>
        <v>48.5604166666667</v>
      </c>
      <c r="O47" s="45"/>
      <c r="P47" s="7" t="str">
        <f aca="false">IF(OR(O47="",J47=""),"",IFERROR(O47/J47,""))</f>
        <v/>
      </c>
      <c r="Q47" s="46"/>
      <c r="R47" s="8" t="n">
        <f aca="false">N47*(Inputs!$E$16+(Inputs!$E$27-Inputs!$E$16)*E47)</f>
        <v>58758.1041666667</v>
      </c>
      <c r="S47" s="8" t="str">
        <f aca="false">IF(OR(O47="",Q47="",J47=""),"",IFERROR(O47*Q47/J47,""))</f>
        <v/>
      </c>
      <c r="T47" s="7" t="str">
        <f aca="false">IF(S47="","",IFERROR(S47/R47-1,""))</f>
        <v/>
      </c>
      <c r="U47" s="8" t="n">
        <f aca="false">C47*(R47-Inputs!$E$19)*Inputs!$E$28</f>
        <v>9886.41261109801</v>
      </c>
      <c r="V47" s="8" t="str">
        <f aca="false">IF(OR(C47=0,S47=""),"",(S47-Inputs!$E$19)*Inputs!$E$28)</f>
        <v/>
      </c>
      <c r="W47" s="45"/>
      <c r="X47" s="7" t="str">
        <f aca="false">IF(OR(W47="",G47=""),"",IFERROR(W47/G47,""))</f>
        <v/>
      </c>
      <c r="Y47" s="47"/>
    </row>
    <row r="48" customFormat="false" ht="15" hidden="false" customHeight="false" outlineLevel="0" collapsed="false">
      <c r="A48" s="44" t="n">
        <v>46337</v>
      </c>
      <c r="B48" s="20" t="str">
        <f aca="false">TEXT(A48,"ddd")</f>
        <v>Wed</v>
      </c>
      <c r="C48" s="6" t="n">
        <f aca="false">IF(A48&gt;=Inputs!$E$9,1,0)</f>
        <v>1</v>
      </c>
      <c r="D48" s="6" t="n">
        <f aca="false">IF(C48=1,A48-Inputs!$E$9+1,"")</f>
        <v>28</v>
      </c>
      <c r="E48" s="51" t="n">
        <f aca="false">IF(C48=1,MIN(1,D48/Inputs!$E$29),0)</f>
        <v>1</v>
      </c>
      <c r="F48" s="6" t="n">
        <f aca="false">Inputs!$E$13+(Inputs!$E$32-Inputs!$E$13)*E48</f>
        <v>1236.08333333333</v>
      </c>
      <c r="G48" s="45"/>
      <c r="H48" s="7" t="str">
        <f aca="false">IF(G48="","",IFERROR(G48/F48-1,""))</f>
        <v/>
      </c>
      <c r="I48" s="6" t="n">
        <f aca="false">Inputs!$E$14+(Inputs!$E$24-Inputs!$E$14)*E48</f>
        <v>882.916666666667</v>
      </c>
      <c r="J48" s="45"/>
      <c r="K48" s="7" t="str">
        <f aca="false">IF(J48="","",IFERROR(J48/I48-1,""))</f>
        <v/>
      </c>
      <c r="L48" s="52" t="str">
        <f aca="false">IF(OR(G48="",J48=""),"",IFERROR(G48/J48,""))</f>
        <v/>
      </c>
      <c r="M48" s="53" t="str">
        <f aca="false">IF(OR(J48="",'Site Daily'!E48=""),"",IFERROR(J48/'Site Daily'!E48*1000,""))</f>
        <v/>
      </c>
      <c r="N48" s="53" t="n">
        <f aca="false">I48*(Inputs!$E$17+(Inputs!$E$26-Inputs!$E$17)*E48)</f>
        <v>48.5604166666667</v>
      </c>
      <c r="O48" s="45"/>
      <c r="P48" s="7" t="str">
        <f aca="false">IF(OR(O48="",J48=""),"",IFERROR(O48/J48,""))</f>
        <v/>
      </c>
      <c r="Q48" s="46"/>
      <c r="R48" s="8" t="n">
        <f aca="false">N48*(Inputs!$E$16+(Inputs!$E$27-Inputs!$E$16)*E48)</f>
        <v>58758.1041666667</v>
      </c>
      <c r="S48" s="8" t="str">
        <f aca="false">IF(OR(O48="",Q48="",J48=""),"",IFERROR(O48*Q48/J48,""))</f>
        <v/>
      </c>
      <c r="T48" s="7" t="str">
        <f aca="false">IF(S48="","",IFERROR(S48/R48-1,""))</f>
        <v/>
      </c>
      <c r="U48" s="8" t="n">
        <f aca="false">C48*(R48-Inputs!$E$19)*Inputs!$E$28</f>
        <v>9886.41261109801</v>
      </c>
      <c r="V48" s="8" t="str">
        <f aca="false">IF(OR(C48=0,S48=""),"",(S48-Inputs!$E$19)*Inputs!$E$28)</f>
        <v/>
      </c>
      <c r="W48" s="45"/>
      <c r="X48" s="7" t="str">
        <f aca="false">IF(OR(W48="",G48=""),"",IFERROR(W48/G48,""))</f>
        <v/>
      </c>
      <c r="Y48" s="47"/>
    </row>
    <row r="49" customFormat="false" ht="15" hidden="false" customHeight="false" outlineLevel="0" collapsed="false">
      <c r="A49" s="44" t="n">
        <v>46338</v>
      </c>
      <c r="B49" s="20" t="str">
        <f aca="false">TEXT(A49,"ddd")</f>
        <v>Thu</v>
      </c>
      <c r="C49" s="6" t="n">
        <f aca="false">IF(A49&gt;=Inputs!$E$9,1,0)</f>
        <v>1</v>
      </c>
      <c r="D49" s="6" t="n">
        <f aca="false">IF(C49=1,A49-Inputs!$E$9+1,"")</f>
        <v>29</v>
      </c>
      <c r="E49" s="51" t="n">
        <f aca="false">IF(C49=1,MIN(1,D49/Inputs!$E$29),0)</f>
        <v>1</v>
      </c>
      <c r="F49" s="6" t="n">
        <f aca="false">Inputs!$E$13+(Inputs!$E$32-Inputs!$E$13)*E49</f>
        <v>1236.08333333333</v>
      </c>
      <c r="G49" s="45"/>
      <c r="H49" s="7" t="str">
        <f aca="false">IF(G49="","",IFERROR(G49/F49-1,""))</f>
        <v/>
      </c>
      <c r="I49" s="6" t="n">
        <f aca="false">Inputs!$E$14+(Inputs!$E$24-Inputs!$E$14)*E49</f>
        <v>882.916666666667</v>
      </c>
      <c r="J49" s="45"/>
      <c r="K49" s="7" t="str">
        <f aca="false">IF(J49="","",IFERROR(J49/I49-1,""))</f>
        <v/>
      </c>
      <c r="L49" s="52" t="str">
        <f aca="false">IF(OR(G49="",J49=""),"",IFERROR(G49/J49,""))</f>
        <v/>
      </c>
      <c r="M49" s="53" t="str">
        <f aca="false">IF(OR(J49="",'Site Daily'!E49=""),"",IFERROR(J49/'Site Daily'!E49*1000,""))</f>
        <v/>
      </c>
      <c r="N49" s="53" t="n">
        <f aca="false">I49*(Inputs!$E$17+(Inputs!$E$26-Inputs!$E$17)*E49)</f>
        <v>48.5604166666667</v>
      </c>
      <c r="O49" s="45"/>
      <c r="P49" s="7" t="str">
        <f aca="false">IF(OR(O49="",J49=""),"",IFERROR(O49/J49,""))</f>
        <v/>
      </c>
      <c r="Q49" s="46"/>
      <c r="R49" s="8" t="n">
        <f aca="false">N49*(Inputs!$E$16+(Inputs!$E$27-Inputs!$E$16)*E49)</f>
        <v>58758.1041666667</v>
      </c>
      <c r="S49" s="8" t="str">
        <f aca="false">IF(OR(O49="",Q49="",J49=""),"",IFERROR(O49*Q49/J49,""))</f>
        <v/>
      </c>
      <c r="T49" s="7" t="str">
        <f aca="false">IF(S49="","",IFERROR(S49/R49-1,""))</f>
        <v/>
      </c>
      <c r="U49" s="8" t="n">
        <f aca="false">C49*(R49-Inputs!$E$19)*Inputs!$E$28</f>
        <v>9886.41261109801</v>
      </c>
      <c r="V49" s="8" t="str">
        <f aca="false">IF(OR(C49=0,S49=""),"",(S49-Inputs!$E$19)*Inputs!$E$28)</f>
        <v/>
      </c>
      <c r="W49" s="45"/>
      <c r="X49" s="7" t="str">
        <f aca="false">IF(OR(W49="",G49=""),"",IFERROR(W49/G49,""))</f>
        <v/>
      </c>
      <c r="Y49" s="47"/>
    </row>
    <row r="50" customFormat="false" ht="15" hidden="false" customHeight="false" outlineLevel="0" collapsed="false">
      <c r="A50" s="44" t="n">
        <v>46339</v>
      </c>
      <c r="B50" s="20" t="str">
        <f aca="false">TEXT(A50,"ddd")</f>
        <v>Fri</v>
      </c>
      <c r="C50" s="6" t="n">
        <f aca="false">IF(A50&gt;=Inputs!$E$9,1,0)</f>
        <v>1</v>
      </c>
      <c r="D50" s="6" t="n">
        <f aca="false">IF(C50=1,A50-Inputs!$E$9+1,"")</f>
        <v>30</v>
      </c>
      <c r="E50" s="51" t="n">
        <f aca="false">IF(C50=1,MIN(1,D50/Inputs!$E$29),0)</f>
        <v>1</v>
      </c>
      <c r="F50" s="6" t="n">
        <f aca="false">Inputs!$E$13+(Inputs!$E$32-Inputs!$E$13)*E50</f>
        <v>1236.08333333333</v>
      </c>
      <c r="G50" s="45"/>
      <c r="H50" s="7" t="str">
        <f aca="false">IF(G50="","",IFERROR(G50/F50-1,""))</f>
        <v/>
      </c>
      <c r="I50" s="6" t="n">
        <f aca="false">Inputs!$E$14+(Inputs!$E$24-Inputs!$E$14)*E50</f>
        <v>882.916666666667</v>
      </c>
      <c r="J50" s="45"/>
      <c r="K50" s="7" t="str">
        <f aca="false">IF(J50="","",IFERROR(J50/I50-1,""))</f>
        <v/>
      </c>
      <c r="L50" s="52" t="str">
        <f aca="false">IF(OR(G50="",J50=""),"",IFERROR(G50/J50,""))</f>
        <v/>
      </c>
      <c r="M50" s="53" t="str">
        <f aca="false">IF(OR(J50="",'Site Daily'!E50=""),"",IFERROR(J50/'Site Daily'!E50*1000,""))</f>
        <v/>
      </c>
      <c r="N50" s="53" t="n">
        <f aca="false">I50*(Inputs!$E$17+(Inputs!$E$26-Inputs!$E$17)*E50)</f>
        <v>48.5604166666667</v>
      </c>
      <c r="O50" s="45"/>
      <c r="P50" s="7" t="str">
        <f aca="false">IF(OR(O50="",J50=""),"",IFERROR(O50/J50,""))</f>
        <v/>
      </c>
      <c r="Q50" s="46"/>
      <c r="R50" s="8" t="n">
        <f aca="false">N50*(Inputs!$E$16+(Inputs!$E$27-Inputs!$E$16)*E50)</f>
        <v>58758.1041666667</v>
      </c>
      <c r="S50" s="8" t="str">
        <f aca="false">IF(OR(O50="",Q50="",J50=""),"",IFERROR(O50*Q50/J50,""))</f>
        <v/>
      </c>
      <c r="T50" s="7" t="str">
        <f aca="false">IF(S50="","",IFERROR(S50/R50-1,""))</f>
        <v/>
      </c>
      <c r="U50" s="8" t="n">
        <f aca="false">C50*(R50-Inputs!$E$19)*Inputs!$E$28</f>
        <v>9886.41261109801</v>
      </c>
      <c r="V50" s="8" t="str">
        <f aca="false">IF(OR(C50=0,S50=""),"",(S50-Inputs!$E$19)*Inputs!$E$28)</f>
        <v/>
      </c>
      <c r="W50" s="45"/>
      <c r="X50" s="7" t="str">
        <f aca="false">IF(OR(W50="",G50=""),"",IFERROR(W50/G50,""))</f>
        <v/>
      </c>
      <c r="Y50" s="47"/>
    </row>
    <row r="51" customFormat="false" ht="15" hidden="false" customHeight="false" outlineLevel="0" collapsed="false">
      <c r="A51" s="44" t="n">
        <v>46340</v>
      </c>
      <c r="B51" s="20" t="str">
        <f aca="false">TEXT(A51,"ddd")</f>
        <v>Sat</v>
      </c>
      <c r="C51" s="6" t="n">
        <f aca="false">IF(A51&gt;=Inputs!$E$9,1,0)</f>
        <v>1</v>
      </c>
      <c r="D51" s="6" t="n">
        <f aca="false">IF(C51=1,A51-Inputs!$E$9+1,"")</f>
        <v>31</v>
      </c>
      <c r="E51" s="51" t="n">
        <f aca="false">IF(C51=1,MIN(1,D51/Inputs!$E$29),0)</f>
        <v>1</v>
      </c>
      <c r="F51" s="6" t="n">
        <f aca="false">Inputs!$E$13+(Inputs!$E$32-Inputs!$E$13)*E51</f>
        <v>1236.08333333333</v>
      </c>
      <c r="G51" s="45"/>
      <c r="H51" s="7" t="str">
        <f aca="false">IF(G51="","",IFERROR(G51/F51-1,""))</f>
        <v/>
      </c>
      <c r="I51" s="6" t="n">
        <f aca="false">Inputs!$E$14+(Inputs!$E$24-Inputs!$E$14)*E51</f>
        <v>882.916666666667</v>
      </c>
      <c r="J51" s="45"/>
      <c r="K51" s="7" t="str">
        <f aca="false">IF(J51="","",IFERROR(J51/I51-1,""))</f>
        <v/>
      </c>
      <c r="L51" s="52" t="str">
        <f aca="false">IF(OR(G51="",J51=""),"",IFERROR(G51/J51,""))</f>
        <v/>
      </c>
      <c r="M51" s="53" t="str">
        <f aca="false">IF(OR(J51="",'Site Daily'!E51=""),"",IFERROR(J51/'Site Daily'!E51*1000,""))</f>
        <v/>
      </c>
      <c r="N51" s="53" t="n">
        <f aca="false">I51*(Inputs!$E$17+(Inputs!$E$26-Inputs!$E$17)*E51)</f>
        <v>48.5604166666667</v>
      </c>
      <c r="O51" s="45"/>
      <c r="P51" s="7" t="str">
        <f aca="false">IF(OR(O51="",J51=""),"",IFERROR(O51/J51,""))</f>
        <v/>
      </c>
      <c r="Q51" s="46"/>
      <c r="R51" s="8" t="n">
        <f aca="false">N51*(Inputs!$E$16+(Inputs!$E$27-Inputs!$E$16)*E51)</f>
        <v>58758.1041666667</v>
      </c>
      <c r="S51" s="8" t="str">
        <f aca="false">IF(OR(O51="",Q51="",J51=""),"",IFERROR(O51*Q51/J51,""))</f>
        <v/>
      </c>
      <c r="T51" s="7" t="str">
        <f aca="false">IF(S51="","",IFERROR(S51/R51-1,""))</f>
        <v/>
      </c>
      <c r="U51" s="8" t="n">
        <f aca="false">C51*(R51-Inputs!$E$19)*Inputs!$E$28</f>
        <v>9886.41261109801</v>
      </c>
      <c r="V51" s="8" t="str">
        <f aca="false">IF(OR(C51=0,S51=""),"",(S51-Inputs!$E$19)*Inputs!$E$28)</f>
        <v/>
      </c>
      <c r="W51" s="45"/>
      <c r="X51" s="7" t="str">
        <f aca="false">IF(OR(W51="",G51=""),"",IFERROR(W51/G51,""))</f>
        <v/>
      </c>
      <c r="Y51" s="47"/>
    </row>
    <row r="52" customFormat="false" ht="15" hidden="false" customHeight="false" outlineLevel="0" collapsed="false">
      <c r="A52" s="44" t="n">
        <v>46341</v>
      </c>
      <c r="B52" s="20" t="str">
        <f aca="false">TEXT(A52,"ddd")</f>
        <v>Sun</v>
      </c>
      <c r="C52" s="6" t="n">
        <f aca="false">IF(A52&gt;=Inputs!$E$9,1,0)</f>
        <v>1</v>
      </c>
      <c r="D52" s="6" t="n">
        <f aca="false">IF(C52=1,A52-Inputs!$E$9+1,"")</f>
        <v>32</v>
      </c>
      <c r="E52" s="51" t="n">
        <f aca="false">IF(C52=1,MIN(1,D52/Inputs!$E$29),0)</f>
        <v>1</v>
      </c>
      <c r="F52" s="6" t="n">
        <f aca="false">Inputs!$E$13+(Inputs!$E$32-Inputs!$E$13)*E52</f>
        <v>1236.08333333333</v>
      </c>
      <c r="G52" s="45"/>
      <c r="H52" s="7" t="str">
        <f aca="false">IF(G52="","",IFERROR(G52/F52-1,""))</f>
        <v/>
      </c>
      <c r="I52" s="6" t="n">
        <f aca="false">Inputs!$E$14+(Inputs!$E$24-Inputs!$E$14)*E52</f>
        <v>882.916666666667</v>
      </c>
      <c r="J52" s="45"/>
      <c r="K52" s="7" t="str">
        <f aca="false">IF(J52="","",IFERROR(J52/I52-1,""))</f>
        <v/>
      </c>
      <c r="L52" s="52" t="str">
        <f aca="false">IF(OR(G52="",J52=""),"",IFERROR(G52/J52,""))</f>
        <v/>
      </c>
      <c r="M52" s="53" t="str">
        <f aca="false">IF(OR(J52="",'Site Daily'!E52=""),"",IFERROR(J52/'Site Daily'!E52*1000,""))</f>
        <v/>
      </c>
      <c r="N52" s="53" t="n">
        <f aca="false">I52*(Inputs!$E$17+(Inputs!$E$26-Inputs!$E$17)*E52)</f>
        <v>48.5604166666667</v>
      </c>
      <c r="O52" s="45"/>
      <c r="P52" s="7" t="str">
        <f aca="false">IF(OR(O52="",J52=""),"",IFERROR(O52/J52,""))</f>
        <v/>
      </c>
      <c r="Q52" s="46"/>
      <c r="R52" s="8" t="n">
        <f aca="false">N52*(Inputs!$E$16+(Inputs!$E$27-Inputs!$E$16)*E52)</f>
        <v>58758.1041666667</v>
      </c>
      <c r="S52" s="8" t="str">
        <f aca="false">IF(OR(O52="",Q52="",J52=""),"",IFERROR(O52*Q52/J52,""))</f>
        <v/>
      </c>
      <c r="T52" s="7" t="str">
        <f aca="false">IF(S52="","",IFERROR(S52/R52-1,""))</f>
        <v/>
      </c>
      <c r="U52" s="8" t="n">
        <f aca="false">C52*(R52-Inputs!$E$19)*Inputs!$E$28</f>
        <v>9886.41261109801</v>
      </c>
      <c r="V52" s="8" t="str">
        <f aca="false">IF(OR(C52=0,S52=""),"",(S52-Inputs!$E$19)*Inputs!$E$28)</f>
        <v/>
      </c>
      <c r="W52" s="45"/>
      <c r="X52" s="7" t="str">
        <f aca="false">IF(OR(W52="",G52=""),"",IFERROR(W52/G52,""))</f>
        <v/>
      </c>
      <c r="Y52" s="47"/>
    </row>
    <row r="53" customFormat="false" ht="15" hidden="false" customHeight="false" outlineLevel="0" collapsed="false">
      <c r="A53" s="44" t="n">
        <v>46342</v>
      </c>
      <c r="B53" s="20" t="str">
        <f aca="false">TEXT(A53,"ddd")</f>
        <v>Mon</v>
      </c>
      <c r="C53" s="6" t="n">
        <f aca="false">IF(A53&gt;=Inputs!$E$9,1,0)</f>
        <v>1</v>
      </c>
      <c r="D53" s="6" t="n">
        <f aca="false">IF(C53=1,A53-Inputs!$E$9+1,"")</f>
        <v>33</v>
      </c>
      <c r="E53" s="51" t="n">
        <f aca="false">IF(C53=1,MIN(1,D53/Inputs!$E$29),0)</f>
        <v>1</v>
      </c>
      <c r="F53" s="6" t="n">
        <f aca="false">Inputs!$E$13+(Inputs!$E$32-Inputs!$E$13)*E53</f>
        <v>1236.08333333333</v>
      </c>
      <c r="G53" s="45"/>
      <c r="H53" s="7" t="str">
        <f aca="false">IF(G53="","",IFERROR(G53/F53-1,""))</f>
        <v/>
      </c>
      <c r="I53" s="6" t="n">
        <f aca="false">Inputs!$E$14+(Inputs!$E$24-Inputs!$E$14)*E53</f>
        <v>882.916666666667</v>
      </c>
      <c r="J53" s="45"/>
      <c r="K53" s="7" t="str">
        <f aca="false">IF(J53="","",IFERROR(J53/I53-1,""))</f>
        <v/>
      </c>
      <c r="L53" s="52" t="str">
        <f aca="false">IF(OR(G53="",J53=""),"",IFERROR(G53/J53,""))</f>
        <v/>
      </c>
      <c r="M53" s="53" t="str">
        <f aca="false">IF(OR(J53="",'Site Daily'!E53=""),"",IFERROR(J53/'Site Daily'!E53*1000,""))</f>
        <v/>
      </c>
      <c r="N53" s="53" t="n">
        <f aca="false">I53*(Inputs!$E$17+(Inputs!$E$26-Inputs!$E$17)*E53)</f>
        <v>48.5604166666667</v>
      </c>
      <c r="O53" s="45"/>
      <c r="P53" s="7" t="str">
        <f aca="false">IF(OR(O53="",J53=""),"",IFERROR(O53/J53,""))</f>
        <v/>
      </c>
      <c r="Q53" s="46"/>
      <c r="R53" s="8" t="n">
        <f aca="false">N53*(Inputs!$E$16+(Inputs!$E$27-Inputs!$E$16)*E53)</f>
        <v>58758.1041666667</v>
      </c>
      <c r="S53" s="8" t="str">
        <f aca="false">IF(OR(O53="",Q53="",J53=""),"",IFERROR(O53*Q53/J53,""))</f>
        <v/>
      </c>
      <c r="T53" s="7" t="str">
        <f aca="false">IF(S53="","",IFERROR(S53/R53-1,""))</f>
        <v/>
      </c>
      <c r="U53" s="8" t="n">
        <f aca="false">C53*(R53-Inputs!$E$19)*Inputs!$E$28</f>
        <v>9886.41261109801</v>
      </c>
      <c r="V53" s="8" t="str">
        <f aca="false">IF(OR(C53=0,S53=""),"",(S53-Inputs!$E$19)*Inputs!$E$28)</f>
        <v/>
      </c>
      <c r="W53" s="45"/>
      <c r="X53" s="7" t="str">
        <f aca="false">IF(OR(W53="",G53=""),"",IFERROR(W53/G53,""))</f>
        <v/>
      </c>
      <c r="Y53" s="47"/>
    </row>
    <row r="54" customFormat="false" ht="15" hidden="false" customHeight="false" outlineLevel="0" collapsed="false">
      <c r="A54" s="44" t="n">
        <v>46343</v>
      </c>
      <c r="B54" s="20" t="str">
        <f aca="false">TEXT(A54,"ddd")</f>
        <v>Tue</v>
      </c>
      <c r="C54" s="6" t="n">
        <f aca="false">IF(A54&gt;=Inputs!$E$9,1,0)</f>
        <v>1</v>
      </c>
      <c r="D54" s="6" t="n">
        <f aca="false">IF(C54=1,A54-Inputs!$E$9+1,"")</f>
        <v>34</v>
      </c>
      <c r="E54" s="51" t="n">
        <f aca="false">IF(C54=1,MIN(1,D54/Inputs!$E$29),0)</f>
        <v>1</v>
      </c>
      <c r="F54" s="6" t="n">
        <f aca="false">Inputs!$E$13+(Inputs!$E$32-Inputs!$E$13)*E54</f>
        <v>1236.08333333333</v>
      </c>
      <c r="G54" s="45"/>
      <c r="H54" s="7" t="str">
        <f aca="false">IF(G54="","",IFERROR(G54/F54-1,""))</f>
        <v/>
      </c>
      <c r="I54" s="6" t="n">
        <f aca="false">Inputs!$E$14+(Inputs!$E$24-Inputs!$E$14)*E54</f>
        <v>882.916666666667</v>
      </c>
      <c r="J54" s="45"/>
      <c r="K54" s="7" t="str">
        <f aca="false">IF(J54="","",IFERROR(J54/I54-1,""))</f>
        <v/>
      </c>
      <c r="L54" s="52" t="str">
        <f aca="false">IF(OR(G54="",J54=""),"",IFERROR(G54/J54,""))</f>
        <v/>
      </c>
      <c r="M54" s="53" t="str">
        <f aca="false">IF(OR(J54="",'Site Daily'!E54=""),"",IFERROR(J54/'Site Daily'!E54*1000,""))</f>
        <v/>
      </c>
      <c r="N54" s="53" t="n">
        <f aca="false">I54*(Inputs!$E$17+(Inputs!$E$26-Inputs!$E$17)*E54)</f>
        <v>48.5604166666667</v>
      </c>
      <c r="O54" s="45"/>
      <c r="P54" s="7" t="str">
        <f aca="false">IF(OR(O54="",J54=""),"",IFERROR(O54/J54,""))</f>
        <v/>
      </c>
      <c r="Q54" s="46"/>
      <c r="R54" s="8" t="n">
        <f aca="false">N54*(Inputs!$E$16+(Inputs!$E$27-Inputs!$E$16)*E54)</f>
        <v>58758.1041666667</v>
      </c>
      <c r="S54" s="8" t="str">
        <f aca="false">IF(OR(O54="",Q54="",J54=""),"",IFERROR(O54*Q54/J54,""))</f>
        <v/>
      </c>
      <c r="T54" s="7" t="str">
        <f aca="false">IF(S54="","",IFERROR(S54/R54-1,""))</f>
        <v/>
      </c>
      <c r="U54" s="8" t="n">
        <f aca="false">C54*(R54-Inputs!$E$19)*Inputs!$E$28</f>
        <v>9886.41261109801</v>
      </c>
      <c r="V54" s="8" t="str">
        <f aca="false">IF(OR(C54=0,S54=""),"",(S54-Inputs!$E$19)*Inputs!$E$28)</f>
        <v/>
      </c>
      <c r="W54" s="45"/>
      <c r="X54" s="7" t="str">
        <f aca="false">IF(OR(W54="",G54=""),"",IFERROR(W54/G54,""))</f>
        <v/>
      </c>
      <c r="Y54" s="47"/>
    </row>
    <row r="55" customFormat="false" ht="15" hidden="false" customHeight="false" outlineLevel="0" collapsed="false">
      <c r="A55" s="44" t="n">
        <v>46344</v>
      </c>
      <c r="B55" s="20" t="str">
        <f aca="false">TEXT(A55,"ddd")</f>
        <v>Wed</v>
      </c>
      <c r="C55" s="6" t="n">
        <f aca="false">IF(A55&gt;=Inputs!$E$9,1,0)</f>
        <v>1</v>
      </c>
      <c r="D55" s="6" t="n">
        <f aca="false">IF(C55=1,A55-Inputs!$E$9+1,"")</f>
        <v>35</v>
      </c>
      <c r="E55" s="51" t="n">
        <f aca="false">IF(C55=1,MIN(1,D55/Inputs!$E$29),0)</f>
        <v>1</v>
      </c>
      <c r="F55" s="6" t="n">
        <f aca="false">Inputs!$E$13+(Inputs!$E$32-Inputs!$E$13)*E55</f>
        <v>1236.08333333333</v>
      </c>
      <c r="G55" s="45"/>
      <c r="H55" s="7" t="str">
        <f aca="false">IF(G55="","",IFERROR(G55/F55-1,""))</f>
        <v/>
      </c>
      <c r="I55" s="6" t="n">
        <f aca="false">Inputs!$E$14+(Inputs!$E$24-Inputs!$E$14)*E55</f>
        <v>882.916666666667</v>
      </c>
      <c r="J55" s="45"/>
      <c r="K55" s="7" t="str">
        <f aca="false">IF(J55="","",IFERROR(J55/I55-1,""))</f>
        <v/>
      </c>
      <c r="L55" s="52" t="str">
        <f aca="false">IF(OR(G55="",J55=""),"",IFERROR(G55/J55,""))</f>
        <v/>
      </c>
      <c r="M55" s="53" t="str">
        <f aca="false">IF(OR(J55="",'Site Daily'!E55=""),"",IFERROR(J55/'Site Daily'!E55*1000,""))</f>
        <v/>
      </c>
      <c r="N55" s="53" t="n">
        <f aca="false">I55*(Inputs!$E$17+(Inputs!$E$26-Inputs!$E$17)*E55)</f>
        <v>48.5604166666667</v>
      </c>
      <c r="O55" s="45"/>
      <c r="P55" s="7" t="str">
        <f aca="false">IF(OR(O55="",J55=""),"",IFERROR(O55/J55,""))</f>
        <v/>
      </c>
      <c r="Q55" s="46"/>
      <c r="R55" s="8" t="n">
        <f aca="false">N55*(Inputs!$E$16+(Inputs!$E$27-Inputs!$E$16)*E55)</f>
        <v>58758.1041666667</v>
      </c>
      <c r="S55" s="8" t="str">
        <f aca="false">IF(OR(O55="",Q55="",J55=""),"",IFERROR(O55*Q55/J55,""))</f>
        <v/>
      </c>
      <c r="T55" s="7" t="str">
        <f aca="false">IF(S55="","",IFERROR(S55/R55-1,""))</f>
        <v/>
      </c>
      <c r="U55" s="8" t="n">
        <f aca="false">C55*(R55-Inputs!$E$19)*Inputs!$E$28</f>
        <v>9886.41261109801</v>
      </c>
      <c r="V55" s="8" t="str">
        <f aca="false">IF(OR(C55=0,S55=""),"",(S55-Inputs!$E$19)*Inputs!$E$28)</f>
        <v/>
      </c>
      <c r="W55" s="45"/>
      <c r="X55" s="7" t="str">
        <f aca="false">IF(OR(W55="",G55=""),"",IFERROR(W55/G55,""))</f>
        <v/>
      </c>
      <c r="Y55" s="47"/>
    </row>
    <row r="56" customFormat="false" ht="15" hidden="false" customHeight="false" outlineLevel="0" collapsed="false">
      <c r="A56" s="44" t="n">
        <v>46345</v>
      </c>
      <c r="B56" s="20" t="str">
        <f aca="false">TEXT(A56,"ddd")</f>
        <v>Thu</v>
      </c>
      <c r="C56" s="6" t="n">
        <f aca="false">IF(A56&gt;=Inputs!$E$9,1,0)</f>
        <v>1</v>
      </c>
      <c r="D56" s="6" t="n">
        <f aca="false">IF(C56=1,A56-Inputs!$E$9+1,"")</f>
        <v>36</v>
      </c>
      <c r="E56" s="51" t="n">
        <f aca="false">IF(C56=1,MIN(1,D56/Inputs!$E$29),0)</f>
        <v>1</v>
      </c>
      <c r="F56" s="6" t="n">
        <f aca="false">Inputs!$E$13+(Inputs!$E$32-Inputs!$E$13)*E56</f>
        <v>1236.08333333333</v>
      </c>
      <c r="G56" s="45"/>
      <c r="H56" s="7" t="str">
        <f aca="false">IF(G56="","",IFERROR(G56/F56-1,""))</f>
        <v/>
      </c>
      <c r="I56" s="6" t="n">
        <f aca="false">Inputs!$E$14+(Inputs!$E$24-Inputs!$E$14)*E56</f>
        <v>882.916666666667</v>
      </c>
      <c r="J56" s="45"/>
      <c r="K56" s="7" t="str">
        <f aca="false">IF(J56="","",IFERROR(J56/I56-1,""))</f>
        <v/>
      </c>
      <c r="L56" s="52" t="str">
        <f aca="false">IF(OR(G56="",J56=""),"",IFERROR(G56/J56,""))</f>
        <v/>
      </c>
      <c r="M56" s="53" t="str">
        <f aca="false">IF(OR(J56="",'Site Daily'!E56=""),"",IFERROR(J56/'Site Daily'!E56*1000,""))</f>
        <v/>
      </c>
      <c r="N56" s="53" t="n">
        <f aca="false">I56*(Inputs!$E$17+(Inputs!$E$26-Inputs!$E$17)*E56)</f>
        <v>48.5604166666667</v>
      </c>
      <c r="O56" s="45"/>
      <c r="P56" s="7" t="str">
        <f aca="false">IF(OR(O56="",J56=""),"",IFERROR(O56/J56,""))</f>
        <v/>
      </c>
      <c r="Q56" s="46"/>
      <c r="R56" s="8" t="n">
        <f aca="false">N56*(Inputs!$E$16+(Inputs!$E$27-Inputs!$E$16)*E56)</f>
        <v>58758.1041666667</v>
      </c>
      <c r="S56" s="8" t="str">
        <f aca="false">IF(OR(O56="",Q56="",J56=""),"",IFERROR(O56*Q56/J56,""))</f>
        <v/>
      </c>
      <c r="T56" s="7" t="str">
        <f aca="false">IF(S56="","",IFERROR(S56/R56-1,""))</f>
        <v/>
      </c>
      <c r="U56" s="8" t="n">
        <f aca="false">C56*(R56-Inputs!$E$19)*Inputs!$E$28</f>
        <v>9886.41261109801</v>
      </c>
      <c r="V56" s="8" t="str">
        <f aca="false">IF(OR(C56=0,S56=""),"",(S56-Inputs!$E$19)*Inputs!$E$28)</f>
        <v/>
      </c>
      <c r="W56" s="45"/>
      <c r="X56" s="7" t="str">
        <f aca="false">IF(OR(W56="",G56=""),"",IFERROR(W56/G56,""))</f>
        <v/>
      </c>
      <c r="Y56" s="47"/>
    </row>
    <row r="57" customFormat="false" ht="15" hidden="false" customHeight="false" outlineLevel="0" collapsed="false">
      <c r="A57" s="44" t="n">
        <v>46346</v>
      </c>
      <c r="B57" s="20" t="str">
        <f aca="false">TEXT(A57,"ddd")</f>
        <v>Fri</v>
      </c>
      <c r="C57" s="6" t="n">
        <f aca="false">IF(A57&gt;=Inputs!$E$9,1,0)</f>
        <v>1</v>
      </c>
      <c r="D57" s="6" t="n">
        <f aca="false">IF(C57=1,A57-Inputs!$E$9+1,"")</f>
        <v>37</v>
      </c>
      <c r="E57" s="51" t="n">
        <f aca="false">IF(C57=1,MIN(1,D57/Inputs!$E$29),0)</f>
        <v>1</v>
      </c>
      <c r="F57" s="6" t="n">
        <f aca="false">Inputs!$E$13+(Inputs!$E$32-Inputs!$E$13)*E57</f>
        <v>1236.08333333333</v>
      </c>
      <c r="G57" s="45"/>
      <c r="H57" s="7" t="str">
        <f aca="false">IF(G57="","",IFERROR(G57/F57-1,""))</f>
        <v/>
      </c>
      <c r="I57" s="6" t="n">
        <f aca="false">Inputs!$E$14+(Inputs!$E$24-Inputs!$E$14)*E57</f>
        <v>882.916666666667</v>
      </c>
      <c r="J57" s="45"/>
      <c r="K57" s="7" t="str">
        <f aca="false">IF(J57="","",IFERROR(J57/I57-1,""))</f>
        <v/>
      </c>
      <c r="L57" s="52" t="str">
        <f aca="false">IF(OR(G57="",J57=""),"",IFERROR(G57/J57,""))</f>
        <v/>
      </c>
      <c r="M57" s="53" t="str">
        <f aca="false">IF(OR(J57="",'Site Daily'!E57=""),"",IFERROR(J57/'Site Daily'!E57*1000,""))</f>
        <v/>
      </c>
      <c r="N57" s="53" t="n">
        <f aca="false">I57*(Inputs!$E$17+(Inputs!$E$26-Inputs!$E$17)*E57)</f>
        <v>48.5604166666667</v>
      </c>
      <c r="O57" s="45"/>
      <c r="P57" s="7" t="str">
        <f aca="false">IF(OR(O57="",J57=""),"",IFERROR(O57/J57,""))</f>
        <v/>
      </c>
      <c r="Q57" s="46"/>
      <c r="R57" s="8" t="n">
        <f aca="false">N57*(Inputs!$E$16+(Inputs!$E$27-Inputs!$E$16)*E57)</f>
        <v>58758.1041666667</v>
      </c>
      <c r="S57" s="8" t="str">
        <f aca="false">IF(OR(O57="",Q57="",J57=""),"",IFERROR(O57*Q57/J57,""))</f>
        <v/>
      </c>
      <c r="T57" s="7" t="str">
        <f aca="false">IF(S57="","",IFERROR(S57/R57-1,""))</f>
        <v/>
      </c>
      <c r="U57" s="8" t="n">
        <f aca="false">C57*(R57-Inputs!$E$19)*Inputs!$E$28</f>
        <v>9886.41261109801</v>
      </c>
      <c r="V57" s="8" t="str">
        <f aca="false">IF(OR(C57=0,S57=""),"",(S57-Inputs!$E$19)*Inputs!$E$28)</f>
        <v/>
      </c>
      <c r="W57" s="45"/>
      <c r="X57" s="7" t="str">
        <f aca="false">IF(OR(W57="",G57=""),"",IFERROR(W57/G57,""))</f>
        <v/>
      </c>
      <c r="Y57" s="47"/>
    </row>
    <row r="58" customFormat="false" ht="15" hidden="false" customHeight="false" outlineLevel="0" collapsed="false">
      <c r="A58" s="44" t="n">
        <v>46347</v>
      </c>
      <c r="B58" s="20" t="str">
        <f aca="false">TEXT(A58,"ddd")</f>
        <v>Sat</v>
      </c>
      <c r="C58" s="6" t="n">
        <f aca="false">IF(A58&gt;=Inputs!$E$9,1,0)</f>
        <v>1</v>
      </c>
      <c r="D58" s="6" t="n">
        <f aca="false">IF(C58=1,A58-Inputs!$E$9+1,"")</f>
        <v>38</v>
      </c>
      <c r="E58" s="51" t="n">
        <f aca="false">IF(C58=1,MIN(1,D58/Inputs!$E$29),0)</f>
        <v>1</v>
      </c>
      <c r="F58" s="6" t="n">
        <f aca="false">Inputs!$E$13+(Inputs!$E$32-Inputs!$E$13)*E58</f>
        <v>1236.08333333333</v>
      </c>
      <c r="G58" s="45"/>
      <c r="H58" s="7" t="str">
        <f aca="false">IF(G58="","",IFERROR(G58/F58-1,""))</f>
        <v/>
      </c>
      <c r="I58" s="6" t="n">
        <f aca="false">Inputs!$E$14+(Inputs!$E$24-Inputs!$E$14)*E58</f>
        <v>882.916666666667</v>
      </c>
      <c r="J58" s="45"/>
      <c r="K58" s="7" t="str">
        <f aca="false">IF(J58="","",IFERROR(J58/I58-1,""))</f>
        <v/>
      </c>
      <c r="L58" s="52" t="str">
        <f aca="false">IF(OR(G58="",J58=""),"",IFERROR(G58/J58,""))</f>
        <v/>
      </c>
      <c r="M58" s="53" t="str">
        <f aca="false">IF(OR(J58="",'Site Daily'!E58=""),"",IFERROR(J58/'Site Daily'!E58*1000,""))</f>
        <v/>
      </c>
      <c r="N58" s="53" t="n">
        <f aca="false">I58*(Inputs!$E$17+(Inputs!$E$26-Inputs!$E$17)*E58)</f>
        <v>48.5604166666667</v>
      </c>
      <c r="O58" s="45"/>
      <c r="P58" s="7" t="str">
        <f aca="false">IF(OR(O58="",J58=""),"",IFERROR(O58/J58,""))</f>
        <v/>
      </c>
      <c r="Q58" s="46"/>
      <c r="R58" s="8" t="n">
        <f aca="false">N58*(Inputs!$E$16+(Inputs!$E$27-Inputs!$E$16)*E58)</f>
        <v>58758.1041666667</v>
      </c>
      <c r="S58" s="8" t="str">
        <f aca="false">IF(OR(O58="",Q58="",J58=""),"",IFERROR(O58*Q58/J58,""))</f>
        <v/>
      </c>
      <c r="T58" s="7" t="str">
        <f aca="false">IF(S58="","",IFERROR(S58/R58-1,""))</f>
        <v/>
      </c>
      <c r="U58" s="8" t="n">
        <f aca="false">C58*(R58-Inputs!$E$19)*Inputs!$E$28</f>
        <v>9886.41261109801</v>
      </c>
      <c r="V58" s="8" t="str">
        <f aca="false">IF(OR(C58=0,S58=""),"",(S58-Inputs!$E$19)*Inputs!$E$28)</f>
        <v/>
      </c>
      <c r="W58" s="45"/>
      <c r="X58" s="7" t="str">
        <f aca="false">IF(OR(W58="",G58=""),"",IFERROR(W58/G58,""))</f>
        <v/>
      </c>
      <c r="Y58" s="47"/>
    </row>
    <row r="59" customFormat="false" ht="15" hidden="false" customHeight="false" outlineLevel="0" collapsed="false">
      <c r="A59" s="44" t="n">
        <v>46348</v>
      </c>
      <c r="B59" s="20" t="str">
        <f aca="false">TEXT(A59,"ddd")</f>
        <v>Sun</v>
      </c>
      <c r="C59" s="6" t="n">
        <f aca="false">IF(A59&gt;=Inputs!$E$9,1,0)</f>
        <v>1</v>
      </c>
      <c r="D59" s="6" t="n">
        <f aca="false">IF(C59=1,A59-Inputs!$E$9+1,"")</f>
        <v>39</v>
      </c>
      <c r="E59" s="51" t="n">
        <f aca="false">IF(C59=1,MIN(1,D59/Inputs!$E$29),0)</f>
        <v>1</v>
      </c>
      <c r="F59" s="6" t="n">
        <f aca="false">Inputs!$E$13+(Inputs!$E$32-Inputs!$E$13)*E59</f>
        <v>1236.08333333333</v>
      </c>
      <c r="G59" s="45"/>
      <c r="H59" s="7" t="str">
        <f aca="false">IF(G59="","",IFERROR(G59/F59-1,""))</f>
        <v/>
      </c>
      <c r="I59" s="6" t="n">
        <f aca="false">Inputs!$E$14+(Inputs!$E$24-Inputs!$E$14)*E59</f>
        <v>882.916666666667</v>
      </c>
      <c r="J59" s="45"/>
      <c r="K59" s="7" t="str">
        <f aca="false">IF(J59="","",IFERROR(J59/I59-1,""))</f>
        <v/>
      </c>
      <c r="L59" s="52" t="str">
        <f aca="false">IF(OR(G59="",J59=""),"",IFERROR(G59/J59,""))</f>
        <v/>
      </c>
      <c r="M59" s="53" t="str">
        <f aca="false">IF(OR(J59="",'Site Daily'!E59=""),"",IFERROR(J59/'Site Daily'!E59*1000,""))</f>
        <v/>
      </c>
      <c r="N59" s="53" t="n">
        <f aca="false">I59*(Inputs!$E$17+(Inputs!$E$26-Inputs!$E$17)*E59)</f>
        <v>48.5604166666667</v>
      </c>
      <c r="O59" s="45"/>
      <c r="P59" s="7" t="str">
        <f aca="false">IF(OR(O59="",J59=""),"",IFERROR(O59/J59,""))</f>
        <v/>
      </c>
      <c r="Q59" s="46"/>
      <c r="R59" s="8" t="n">
        <f aca="false">N59*(Inputs!$E$16+(Inputs!$E$27-Inputs!$E$16)*E59)</f>
        <v>58758.1041666667</v>
      </c>
      <c r="S59" s="8" t="str">
        <f aca="false">IF(OR(O59="",Q59="",J59=""),"",IFERROR(O59*Q59/J59,""))</f>
        <v/>
      </c>
      <c r="T59" s="7" t="str">
        <f aca="false">IF(S59="","",IFERROR(S59/R59-1,""))</f>
        <v/>
      </c>
      <c r="U59" s="8" t="n">
        <f aca="false">C59*(R59-Inputs!$E$19)*Inputs!$E$28</f>
        <v>9886.41261109801</v>
      </c>
      <c r="V59" s="8" t="str">
        <f aca="false">IF(OR(C59=0,S59=""),"",(S59-Inputs!$E$19)*Inputs!$E$28)</f>
        <v/>
      </c>
      <c r="W59" s="45"/>
      <c r="X59" s="7" t="str">
        <f aca="false">IF(OR(W59="",G59=""),"",IFERROR(W59/G59,""))</f>
        <v/>
      </c>
      <c r="Y59" s="47"/>
    </row>
    <row r="60" customFormat="false" ht="15" hidden="false" customHeight="false" outlineLevel="0" collapsed="false">
      <c r="A60" s="44" t="n">
        <v>46349</v>
      </c>
      <c r="B60" s="20" t="str">
        <f aca="false">TEXT(A60,"ddd")</f>
        <v>Mon</v>
      </c>
      <c r="C60" s="6" t="n">
        <f aca="false">IF(A60&gt;=Inputs!$E$9,1,0)</f>
        <v>1</v>
      </c>
      <c r="D60" s="6" t="n">
        <f aca="false">IF(C60=1,A60-Inputs!$E$9+1,"")</f>
        <v>40</v>
      </c>
      <c r="E60" s="51" t="n">
        <f aca="false">IF(C60=1,MIN(1,D60/Inputs!$E$29),0)</f>
        <v>1</v>
      </c>
      <c r="F60" s="6" t="n">
        <f aca="false">Inputs!$E$13+(Inputs!$E$32-Inputs!$E$13)*E60</f>
        <v>1236.08333333333</v>
      </c>
      <c r="G60" s="45"/>
      <c r="H60" s="7" t="str">
        <f aca="false">IF(G60="","",IFERROR(G60/F60-1,""))</f>
        <v/>
      </c>
      <c r="I60" s="6" t="n">
        <f aca="false">Inputs!$E$14+(Inputs!$E$24-Inputs!$E$14)*E60</f>
        <v>882.916666666667</v>
      </c>
      <c r="J60" s="45"/>
      <c r="K60" s="7" t="str">
        <f aca="false">IF(J60="","",IFERROR(J60/I60-1,""))</f>
        <v/>
      </c>
      <c r="L60" s="52" t="str">
        <f aca="false">IF(OR(G60="",J60=""),"",IFERROR(G60/J60,""))</f>
        <v/>
      </c>
      <c r="M60" s="53" t="str">
        <f aca="false">IF(OR(J60="",'Site Daily'!E60=""),"",IFERROR(J60/'Site Daily'!E60*1000,""))</f>
        <v/>
      </c>
      <c r="N60" s="53" t="n">
        <f aca="false">I60*(Inputs!$E$17+(Inputs!$E$26-Inputs!$E$17)*E60)</f>
        <v>48.5604166666667</v>
      </c>
      <c r="O60" s="45"/>
      <c r="P60" s="7" t="str">
        <f aca="false">IF(OR(O60="",J60=""),"",IFERROR(O60/J60,""))</f>
        <v/>
      </c>
      <c r="Q60" s="46"/>
      <c r="R60" s="8" t="n">
        <f aca="false">N60*(Inputs!$E$16+(Inputs!$E$27-Inputs!$E$16)*E60)</f>
        <v>58758.1041666667</v>
      </c>
      <c r="S60" s="8" t="str">
        <f aca="false">IF(OR(O60="",Q60="",J60=""),"",IFERROR(O60*Q60/J60,""))</f>
        <v/>
      </c>
      <c r="T60" s="7" t="str">
        <f aca="false">IF(S60="","",IFERROR(S60/R60-1,""))</f>
        <v/>
      </c>
      <c r="U60" s="8" t="n">
        <f aca="false">C60*(R60-Inputs!$E$19)*Inputs!$E$28</f>
        <v>9886.41261109801</v>
      </c>
      <c r="V60" s="8" t="str">
        <f aca="false">IF(OR(C60=0,S60=""),"",(S60-Inputs!$E$19)*Inputs!$E$28)</f>
        <v/>
      </c>
      <c r="W60" s="45"/>
      <c r="X60" s="7" t="str">
        <f aca="false">IF(OR(W60="",G60=""),"",IFERROR(W60/G60,""))</f>
        <v/>
      </c>
      <c r="Y60" s="47"/>
    </row>
    <row r="61" customFormat="false" ht="15" hidden="false" customHeight="false" outlineLevel="0" collapsed="false">
      <c r="A61" s="44" t="n">
        <v>46350</v>
      </c>
      <c r="B61" s="20" t="str">
        <f aca="false">TEXT(A61,"ddd")</f>
        <v>Tue</v>
      </c>
      <c r="C61" s="6" t="n">
        <f aca="false">IF(A61&gt;=Inputs!$E$9,1,0)</f>
        <v>1</v>
      </c>
      <c r="D61" s="6" t="n">
        <f aca="false">IF(C61=1,A61-Inputs!$E$9+1,"")</f>
        <v>41</v>
      </c>
      <c r="E61" s="51" t="n">
        <f aca="false">IF(C61=1,MIN(1,D61/Inputs!$E$29),0)</f>
        <v>1</v>
      </c>
      <c r="F61" s="6" t="n">
        <f aca="false">Inputs!$E$13+(Inputs!$E$32-Inputs!$E$13)*E61</f>
        <v>1236.08333333333</v>
      </c>
      <c r="G61" s="45"/>
      <c r="H61" s="7" t="str">
        <f aca="false">IF(G61="","",IFERROR(G61/F61-1,""))</f>
        <v/>
      </c>
      <c r="I61" s="6" t="n">
        <f aca="false">Inputs!$E$14+(Inputs!$E$24-Inputs!$E$14)*E61</f>
        <v>882.916666666667</v>
      </c>
      <c r="J61" s="45"/>
      <c r="K61" s="7" t="str">
        <f aca="false">IF(J61="","",IFERROR(J61/I61-1,""))</f>
        <v/>
      </c>
      <c r="L61" s="52" t="str">
        <f aca="false">IF(OR(G61="",J61=""),"",IFERROR(G61/J61,""))</f>
        <v/>
      </c>
      <c r="M61" s="53" t="str">
        <f aca="false">IF(OR(J61="",'Site Daily'!E61=""),"",IFERROR(J61/'Site Daily'!E61*1000,""))</f>
        <v/>
      </c>
      <c r="N61" s="53" t="n">
        <f aca="false">I61*(Inputs!$E$17+(Inputs!$E$26-Inputs!$E$17)*E61)</f>
        <v>48.5604166666667</v>
      </c>
      <c r="O61" s="45"/>
      <c r="P61" s="7" t="str">
        <f aca="false">IF(OR(O61="",J61=""),"",IFERROR(O61/J61,""))</f>
        <v/>
      </c>
      <c r="Q61" s="46"/>
      <c r="R61" s="8" t="n">
        <f aca="false">N61*(Inputs!$E$16+(Inputs!$E$27-Inputs!$E$16)*E61)</f>
        <v>58758.1041666667</v>
      </c>
      <c r="S61" s="8" t="str">
        <f aca="false">IF(OR(O61="",Q61="",J61=""),"",IFERROR(O61*Q61/J61,""))</f>
        <v/>
      </c>
      <c r="T61" s="7" t="str">
        <f aca="false">IF(S61="","",IFERROR(S61/R61-1,""))</f>
        <v/>
      </c>
      <c r="U61" s="8" t="n">
        <f aca="false">C61*(R61-Inputs!$E$19)*Inputs!$E$28</f>
        <v>9886.41261109801</v>
      </c>
      <c r="V61" s="8" t="str">
        <f aca="false">IF(OR(C61=0,S61=""),"",(S61-Inputs!$E$19)*Inputs!$E$28)</f>
        <v/>
      </c>
      <c r="W61" s="45"/>
      <c r="X61" s="7" t="str">
        <f aca="false">IF(OR(W61="",G61=""),"",IFERROR(W61/G61,""))</f>
        <v/>
      </c>
      <c r="Y61" s="47"/>
    </row>
    <row r="62" customFormat="false" ht="15" hidden="false" customHeight="false" outlineLevel="0" collapsed="false">
      <c r="A62" s="44" t="n">
        <v>46351</v>
      </c>
      <c r="B62" s="20" t="str">
        <f aca="false">TEXT(A62,"ddd")</f>
        <v>Wed</v>
      </c>
      <c r="C62" s="6" t="n">
        <f aca="false">IF(A62&gt;=Inputs!$E$9,1,0)</f>
        <v>1</v>
      </c>
      <c r="D62" s="6" t="n">
        <f aca="false">IF(C62=1,A62-Inputs!$E$9+1,"")</f>
        <v>42</v>
      </c>
      <c r="E62" s="51" t="n">
        <f aca="false">IF(C62=1,MIN(1,D62/Inputs!$E$29),0)</f>
        <v>1</v>
      </c>
      <c r="F62" s="6" t="n">
        <f aca="false">Inputs!$E$13+(Inputs!$E$32-Inputs!$E$13)*E62</f>
        <v>1236.08333333333</v>
      </c>
      <c r="G62" s="45"/>
      <c r="H62" s="7" t="str">
        <f aca="false">IF(G62="","",IFERROR(G62/F62-1,""))</f>
        <v/>
      </c>
      <c r="I62" s="6" t="n">
        <f aca="false">Inputs!$E$14+(Inputs!$E$24-Inputs!$E$14)*E62</f>
        <v>882.916666666667</v>
      </c>
      <c r="J62" s="45"/>
      <c r="K62" s="7" t="str">
        <f aca="false">IF(J62="","",IFERROR(J62/I62-1,""))</f>
        <v/>
      </c>
      <c r="L62" s="52" t="str">
        <f aca="false">IF(OR(G62="",J62=""),"",IFERROR(G62/J62,""))</f>
        <v/>
      </c>
      <c r="M62" s="53" t="str">
        <f aca="false">IF(OR(J62="",'Site Daily'!E62=""),"",IFERROR(J62/'Site Daily'!E62*1000,""))</f>
        <v/>
      </c>
      <c r="N62" s="53" t="n">
        <f aca="false">I62*(Inputs!$E$17+(Inputs!$E$26-Inputs!$E$17)*E62)</f>
        <v>48.5604166666667</v>
      </c>
      <c r="O62" s="45"/>
      <c r="P62" s="7" t="str">
        <f aca="false">IF(OR(O62="",J62=""),"",IFERROR(O62/J62,""))</f>
        <v/>
      </c>
      <c r="Q62" s="46"/>
      <c r="R62" s="8" t="n">
        <f aca="false">N62*(Inputs!$E$16+(Inputs!$E$27-Inputs!$E$16)*E62)</f>
        <v>58758.1041666667</v>
      </c>
      <c r="S62" s="8" t="str">
        <f aca="false">IF(OR(O62="",Q62="",J62=""),"",IFERROR(O62*Q62/J62,""))</f>
        <v/>
      </c>
      <c r="T62" s="7" t="str">
        <f aca="false">IF(S62="","",IFERROR(S62/R62-1,""))</f>
        <v/>
      </c>
      <c r="U62" s="8" t="n">
        <f aca="false">C62*(R62-Inputs!$E$19)*Inputs!$E$28</f>
        <v>9886.41261109801</v>
      </c>
      <c r="V62" s="8" t="str">
        <f aca="false">IF(OR(C62=0,S62=""),"",(S62-Inputs!$E$19)*Inputs!$E$28)</f>
        <v/>
      </c>
      <c r="W62" s="45"/>
      <c r="X62" s="7" t="str">
        <f aca="false">IF(OR(W62="",G62=""),"",IFERROR(W62/G62,""))</f>
        <v/>
      </c>
      <c r="Y62" s="47"/>
    </row>
    <row r="63" customFormat="false" ht="15" hidden="false" customHeight="false" outlineLevel="0" collapsed="false">
      <c r="A63" s="44" t="n">
        <v>46352</v>
      </c>
      <c r="B63" s="20" t="str">
        <f aca="false">TEXT(A63,"ddd")</f>
        <v>Thu</v>
      </c>
      <c r="C63" s="6" t="n">
        <f aca="false">IF(A63&gt;=Inputs!$E$9,1,0)</f>
        <v>1</v>
      </c>
      <c r="D63" s="6" t="n">
        <f aca="false">IF(C63=1,A63-Inputs!$E$9+1,"")</f>
        <v>43</v>
      </c>
      <c r="E63" s="51" t="n">
        <f aca="false">IF(C63=1,MIN(1,D63/Inputs!$E$29),0)</f>
        <v>1</v>
      </c>
      <c r="F63" s="6" t="n">
        <f aca="false">Inputs!$E$13+(Inputs!$E$32-Inputs!$E$13)*E63</f>
        <v>1236.08333333333</v>
      </c>
      <c r="G63" s="45"/>
      <c r="H63" s="7" t="str">
        <f aca="false">IF(G63="","",IFERROR(G63/F63-1,""))</f>
        <v/>
      </c>
      <c r="I63" s="6" t="n">
        <f aca="false">Inputs!$E$14+(Inputs!$E$24-Inputs!$E$14)*E63</f>
        <v>882.916666666667</v>
      </c>
      <c r="J63" s="45"/>
      <c r="K63" s="7" t="str">
        <f aca="false">IF(J63="","",IFERROR(J63/I63-1,""))</f>
        <v/>
      </c>
      <c r="L63" s="52" t="str">
        <f aca="false">IF(OR(G63="",J63=""),"",IFERROR(G63/J63,""))</f>
        <v/>
      </c>
      <c r="M63" s="53" t="str">
        <f aca="false">IF(OR(J63="",'Site Daily'!E63=""),"",IFERROR(J63/'Site Daily'!E63*1000,""))</f>
        <v/>
      </c>
      <c r="N63" s="53" t="n">
        <f aca="false">I63*(Inputs!$E$17+(Inputs!$E$26-Inputs!$E$17)*E63)</f>
        <v>48.5604166666667</v>
      </c>
      <c r="O63" s="45"/>
      <c r="P63" s="7" t="str">
        <f aca="false">IF(OR(O63="",J63=""),"",IFERROR(O63/J63,""))</f>
        <v/>
      </c>
      <c r="Q63" s="46"/>
      <c r="R63" s="8" t="n">
        <f aca="false">N63*(Inputs!$E$16+(Inputs!$E$27-Inputs!$E$16)*E63)</f>
        <v>58758.1041666667</v>
      </c>
      <c r="S63" s="8" t="str">
        <f aca="false">IF(OR(O63="",Q63="",J63=""),"",IFERROR(O63*Q63/J63,""))</f>
        <v/>
      </c>
      <c r="T63" s="7" t="str">
        <f aca="false">IF(S63="","",IFERROR(S63/R63-1,""))</f>
        <v/>
      </c>
      <c r="U63" s="8" t="n">
        <f aca="false">C63*(R63-Inputs!$E$19)*Inputs!$E$28</f>
        <v>9886.41261109801</v>
      </c>
      <c r="V63" s="8" t="str">
        <f aca="false">IF(OR(C63=0,S63=""),"",(S63-Inputs!$E$19)*Inputs!$E$28)</f>
        <v/>
      </c>
      <c r="W63" s="45"/>
      <c r="X63" s="7" t="str">
        <f aca="false">IF(OR(W63="",G63=""),"",IFERROR(W63/G63,""))</f>
        <v/>
      </c>
      <c r="Y63" s="47"/>
    </row>
    <row r="64" customFormat="false" ht="15" hidden="false" customHeight="false" outlineLevel="0" collapsed="false">
      <c r="A64" s="44" t="n">
        <v>46353</v>
      </c>
      <c r="B64" s="20" t="str">
        <f aca="false">TEXT(A64,"ddd")</f>
        <v>Fri</v>
      </c>
      <c r="C64" s="6" t="n">
        <f aca="false">IF(A64&gt;=Inputs!$E$9,1,0)</f>
        <v>1</v>
      </c>
      <c r="D64" s="6" t="n">
        <f aca="false">IF(C64=1,A64-Inputs!$E$9+1,"")</f>
        <v>44</v>
      </c>
      <c r="E64" s="51" t="n">
        <f aca="false">IF(C64=1,MIN(1,D64/Inputs!$E$29),0)</f>
        <v>1</v>
      </c>
      <c r="F64" s="6" t="n">
        <f aca="false">Inputs!$E$13+(Inputs!$E$32-Inputs!$E$13)*E64</f>
        <v>1236.08333333333</v>
      </c>
      <c r="G64" s="45"/>
      <c r="H64" s="7" t="str">
        <f aca="false">IF(G64="","",IFERROR(G64/F64-1,""))</f>
        <v/>
      </c>
      <c r="I64" s="6" t="n">
        <f aca="false">Inputs!$E$14+(Inputs!$E$24-Inputs!$E$14)*E64</f>
        <v>882.916666666667</v>
      </c>
      <c r="J64" s="45"/>
      <c r="K64" s="7" t="str">
        <f aca="false">IF(J64="","",IFERROR(J64/I64-1,""))</f>
        <v/>
      </c>
      <c r="L64" s="52" t="str">
        <f aca="false">IF(OR(G64="",J64=""),"",IFERROR(G64/J64,""))</f>
        <v/>
      </c>
      <c r="M64" s="53" t="str">
        <f aca="false">IF(OR(J64="",'Site Daily'!E64=""),"",IFERROR(J64/'Site Daily'!E64*1000,""))</f>
        <v/>
      </c>
      <c r="N64" s="53" t="n">
        <f aca="false">I64*(Inputs!$E$17+(Inputs!$E$26-Inputs!$E$17)*E64)</f>
        <v>48.5604166666667</v>
      </c>
      <c r="O64" s="45"/>
      <c r="P64" s="7" t="str">
        <f aca="false">IF(OR(O64="",J64=""),"",IFERROR(O64/J64,""))</f>
        <v/>
      </c>
      <c r="Q64" s="46"/>
      <c r="R64" s="8" t="n">
        <f aca="false">N64*(Inputs!$E$16+(Inputs!$E$27-Inputs!$E$16)*E64)</f>
        <v>58758.1041666667</v>
      </c>
      <c r="S64" s="8" t="str">
        <f aca="false">IF(OR(O64="",Q64="",J64=""),"",IFERROR(O64*Q64/J64,""))</f>
        <v/>
      </c>
      <c r="T64" s="7" t="str">
        <f aca="false">IF(S64="","",IFERROR(S64/R64-1,""))</f>
        <v/>
      </c>
      <c r="U64" s="8" t="n">
        <f aca="false">C64*(R64-Inputs!$E$19)*Inputs!$E$28</f>
        <v>9886.41261109801</v>
      </c>
      <c r="V64" s="8" t="str">
        <f aca="false">IF(OR(C64=0,S64=""),"",(S64-Inputs!$E$19)*Inputs!$E$28)</f>
        <v/>
      </c>
      <c r="W64" s="45"/>
      <c r="X64" s="7" t="str">
        <f aca="false">IF(OR(W64="",G64=""),"",IFERROR(W64/G64,""))</f>
        <v/>
      </c>
      <c r="Y64" s="47"/>
    </row>
    <row r="65" customFormat="false" ht="15" hidden="false" customHeight="false" outlineLevel="0" collapsed="false">
      <c r="A65" s="44" t="n">
        <v>46354</v>
      </c>
      <c r="B65" s="20" t="str">
        <f aca="false">TEXT(A65,"ddd")</f>
        <v>Sat</v>
      </c>
      <c r="C65" s="6" t="n">
        <f aca="false">IF(A65&gt;=Inputs!$E$9,1,0)</f>
        <v>1</v>
      </c>
      <c r="D65" s="6" t="n">
        <f aca="false">IF(C65=1,A65-Inputs!$E$9+1,"")</f>
        <v>45</v>
      </c>
      <c r="E65" s="51" t="n">
        <f aca="false">IF(C65=1,MIN(1,D65/Inputs!$E$29),0)</f>
        <v>1</v>
      </c>
      <c r="F65" s="6" t="n">
        <f aca="false">Inputs!$E$13+(Inputs!$E$32-Inputs!$E$13)*E65</f>
        <v>1236.08333333333</v>
      </c>
      <c r="G65" s="45"/>
      <c r="H65" s="7" t="str">
        <f aca="false">IF(G65="","",IFERROR(G65/F65-1,""))</f>
        <v/>
      </c>
      <c r="I65" s="6" t="n">
        <f aca="false">Inputs!$E$14+(Inputs!$E$24-Inputs!$E$14)*E65</f>
        <v>882.916666666667</v>
      </c>
      <c r="J65" s="45"/>
      <c r="K65" s="7" t="str">
        <f aca="false">IF(J65="","",IFERROR(J65/I65-1,""))</f>
        <v/>
      </c>
      <c r="L65" s="52" t="str">
        <f aca="false">IF(OR(G65="",J65=""),"",IFERROR(G65/J65,""))</f>
        <v/>
      </c>
      <c r="M65" s="53" t="str">
        <f aca="false">IF(OR(J65="",'Site Daily'!E65=""),"",IFERROR(J65/'Site Daily'!E65*1000,""))</f>
        <v/>
      </c>
      <c r="N65" s="53" t="n">
        <f aca="false">I65*(Inputs!$E$17+(Inputs!$E$26-Inputs!$E$17)*E65)</f>
        <v>48.5604166666667</v>
      </c>
      <c r="O65" s="45"/>
      <c r="P65" s="7" t="str">
        <f aca="false">IF(OR(O65="",J65=""),"",IFERROR(O65/J65,""))</f>
        <v/>
      </c>
      <c r="Q65" s="46"/>
      <c r="R65" s="8" t="n">
        <f aca="false">N65*(Inputs!$E$16+(Inputs!$E$27-Inputs!$E$16)*E65)</f>
        <v>58758.1041666667</v>
      </c>
      <c r="S65" s="8" t="str">
        <f aca="false">IF(OR(O65="",Q65="",J65=""),"",IFERROR(O65*Q65/J65,""))</f>
        <v/>
      </c>
      <c r="T65" s="7" t="str">
        <f aca="false">IF(S65="","",IFERROR(S65/R65-1,""))</f>
        <v/>
      </c>
      <c r="U65" s="8" t="n">
        <f aca="false">C65*(R65-Inputs!$E$19)*Inputs!$E$28</f>
        <v>9886.41261109801</v>
      </c>
      <c r="V65" s="8" t="str">
        <f aca="false">IF(OR(C65=0,S65=""),"",(S65-Inputs!$E$19)*Inputs!$E$28)</f>
        <v/>
      </c>
      <c r="W65" s="45"/>
      <c r="X65" s="7" t="str">
        <f aca="false">IF(OR(W65="",G65=""),"",IFERROR(W65/G65,""))</f>
        <v/>
      </c>
      <c r="Y65" s="47"/>
    </row>
    <row r="66" customFormat="false" ht="15" hidden="false" customHeight="false" outlineLevel="0" collapsed="false">
      <c r="A66" s="44" t="n">
        <v>46355</v>
      </c>
      <c r="B66" s="20" t="str">
        <f aca="false">TEXT(A66,"ddd")</f>
        <v>Sun</v>
      </c>
      <c r="C66" s="6" t="n">
        <f aca="false">IF(A66&gt;=Inputs!$E$9,1,0)</f>
        <v>1</v>
      </c>
      <c r="D66" s="6" t="n">
        <f aca="false">IF(C66=1,A66-Inputs!$E$9+1,"")</f>
        <v>46</v>
      </c>
      <c r="E66" s="51" t="n">
        <f aca="false">IF(C66=1,MIN(1,D66/Inputs!$E$29),0)</f>
        <v>1</v>
      </c>
      <c r="F66" s="6" t="n">
        <f aca="false">Inputs!$E$13+(Inputs!$E$32-Inputs!$E$13)*E66</f>
        <v>1236.08333333333</v>
      </c>
      <c r="G66" s="45"/>
      <c r="H66" s="7" t="str">
        <f aca="false">IF(G66="","",IFERROR(G66/F66-1,""))</f>
        <v/>
      </c>
      <c r="I66" s="6" t="n">
        <f aca="false">Inputs!$E$14+(Inputs!$E$24-Inputs!$E$14)*E66</f>
        <v>882.916666666667</v>
      </c>
      <c r="J66" s="45"/>
      <c r="K66" s="7" t="str">
        <f aca="false">IF(J66="","",IFERROR(J66/I66-1,""))</f>
        <v/>
      </c>
      <c r="L66" s="52" t="str">
        <f aca="false">IF(OR(G66="",J66=""),"",IFERROR(G66/J66,""))</f>
        <v/>
      </c>
      <c r="M66" s="53" t="str">
        <f aca="false">IF(OR(J66="",'Site Daily'!E66=""),"",IFERROR(J66/'Site Daily'!E66*1000,""))</f>
        <v/>
      </c>
      <c r="N66" s="53" t="n">
        <f aca="false">I66*(Inputs!$E$17+(Inputs!$E$26-Inputs!$E$17)*E66)</f>
        <v>48.5604166666667</v>
      </c>
      <c r="O66" s="45"/>
      <c r="P66" s="7" t="str">
        <f aca="false">IF(OR(O66="",J66=""),"",IFERROR(O66/J66,""))</f>
        <v/>
      </c>
      <c r="Q66" s="46"/>
      <c r="R66" s="8" t="n">
        <f aca="false">N66*(Inputs!$E$16+(Inputs!$E$27-Inputs!$E$16)*E66)</f>
        <v>58758.1041666667</v>
      </c>
      <c r="S66" s="8" t="str">
        <f aca="false">IF(OR(O66="",Q66="",J66=""),"",IFERROR(O66*Q66/J66,""))</f>
        <v/>
      </c>
      <c r="T66" s="7" t="str">
        <f aca="false">IF(S66="","",IFERROR(S66/R66-1,""))</f>
        <v/>
      </c>
      <c r="U66" s="8" t="n">
        <f aca="false">C66*(R66-Inputs!$E$19)*Inputs!$E$28</f>
        <v>9886.41261109801</v>
      </c>
      <c r="V66" s="8" t="str">
        <f aca="false">IF(OR(C66=0,S66=""),"",(S66-Inputs!$E$19)*Inputs!$E$28)</f>
        <v/>
      </c>
      <c r="W66" s="45"/>
      <c r="X66" s="7" t="str">
        <f aca="false">IF(OR(W66="",G66=""),"",IFERROR(W66/G66,""))</f>
        <v/>
      </c>
      <c r="Y66" s="47"/>
    </row>
    <row r="67" customFormat="false" ht="15" hidden="false" customHeight="false" outlineLevel="0" collapsed="false">
      <c r="A67" s="44" t="n">
        <v>46356</v>
      </c>
      <c r="B67" s="20" t="str">
        <f aca="false">TEXT(A67,"ddd")</f>
        <v>Mon</v>
      </c>
      <c r="C67" s="6" t="n">
        <f aca="false">IF(A67&gt;=Inputs!$E$9,1,0)</f>
        <v>1</v>
      </c>
      <c r="D67" s="6" t="n">
        <f aca="false">IF(C67=1,A67-Inputs!$E$9+1,"")</f>
        <v>47</v>
      </c>
      <c r="E67" s="51" t="n">
        <f aca="false">IF(C67=1,MIN(1,D67/Inputs!$E$29),0)</f>
        <v>1</v>
      </c>
      <c r="F67" s="6" t="n">
        <f aca="false">Inputs!$E$13+(Inputs!$E$32-Inputs!$E$13)*E67</f>
        <v>1236.08333333333</v>
      </c>
      <c r="G67" s="45"/>
      <c r="H67" s="7" t="str">
        <f aca="false">IF(G67="","",IFERROR(G67/F67-1,""))</f>
        <v/>
      </c>
      <c r="I67" s="6" t="n">
        <f aca="false">Inputs!$E$14+(Inputs!$E$24-Inputs!$E$14)*E67</f>
        <v>882.916666666667</v>
      </c>
      <c r="J67" s="45"/>
      <c r="K67" s="7" t="str">
        <f aca="false">IF(J67="","",IFERROR(J67/I67-1,""))</f>
        <v/>
      </c>
      <c r="L67" s="52" t="str">
        <f aca="false">IF(OR(G67="",J67=""),"",IFERROR(G67/J67,""))</f>
        <v/>
      </c>
      <c r="M67" s="53" t="str">
        <f aca="false">IF(OR(J67="",'Site Daily'!E67=""),"",IFERROR(J67/'Site Daily'!E67*1000,""))</f>
        <v/>
      </c>
      <c r="N67" s="53" t="n">
        <f aca="false">I67*(Inputs!$E$17+(Inputs!$E$26-Inputs!$E$17)*E67)</f>
        <v>48.5604166666667</v>
      </c>
      <c r="O67" s="45"/>
      <c r="P67" s="7" t="str">
        <f aca="false">IF(OR(O67="",J67=""),"",IFERROR(O67/J67,""))</f>
        <v/>
      </c>
      <c r="Q67" s="46"/>
      <c r="R67" s="8" t="n">
        <f aca="false">N67*(Inputs!$E$16+(Inputs!$E$27-Inputs!$E$16)*E67)</f>
        <v>58758.1041666667</v>
      </c>
      <c r="S67" s="8" t="str">
        <f aca="false">IF(OR(O67="",Q67="",J67=""),"",IFERROR(O67*Q67/J67,""))</f>
        <v/>
      </c>
      <c r="T67" s="7" t="str">
        <f aca="false">IF(S67="","",IFERROR(S67/R67-1,""))</f>
        <v/>
      </c>
      <c r="U67" s="8" t="n">
        <f aca="false">C67*(R67-Inputs!$E$19)*Inputs!$E$28</f>
        <v>9886.41261109801</v>
      </c>
      <c r="V67" s="8" t="str">
        <f aca="false">IF(OR(C67=0,S67=""),"",(S67-Inputs!$E$19)*Inputs!$E$28)</f>
        <v/>
      </c>
      <c r="W67" s="45"/>
      <c r="X67" s="7" t="str">
        <f aca="false">IF(OR(W67="",G67=""),"",IFERROR(W67/G67,""))</f>
        <v/>
      </c>
      <c r="Y67" s="47"/>
    </row>
    <row r="68" customFormat="false" ht="15" hidden="false" customHeight="false" outlineLevel="0" collapsed="false">
      <c r="A68" s="44" t="n">
        <v>46357</v>
      </c>
      <c r="B68" s="20" t="str">
        <f aca="false">TEXT(A68,"ddd")</f>
        <v>Tue</v>
      </c>
      <c r="C68" s="6" t="n">
        <f aca="false">IF(A68&gt;=Inputs!$E$9,1,0)</f>
        <v>1</v>
      </c>
      <c r="D68" s="6" t="n">
        <f aca="false">IF(C68=1,A68-Inputs!$E$9+1,"")</f>
        <v>48</v>
      </c>
      <c r="E68" s="51" t="n">
        <f aca="false">IF(C68=1,MIN(1,D68/Inputs!$E$29),0)</f>
        <v>1</v>
      </c>
      <c r="F68" s="6" t="n">
        <f aca="false">Inputs!$E$13+(Inputs!$E$32-Inputs!$E$13)*E68</f>
        <v>1236.08333333333</v>
      </c>
      <c r="G68" s="45"/>
      <c r="H68" s="7" t="str">
        <f aca="false">IF(G68="","",IFERROR(G68/F68-1,""))</f>
        <v/>
      </c>
      <c r="I68" s="6" t="n">
        <f aca="false">Inputs!$E$14+(Inputs!$E$24-Inputs!$E$14)*E68</f>
        <v>882.916666666667</v>
      </c>
      <c r="J68" s="45"/>
      <c r="K68" s="7" t="str">
        <f aca="false">IF(J68="","",IFERROR(J68/I68-1,""))</f>
        <v/>
      </c>
      <c r="L68" s="52" t="str">
        <f aca="false">IF(OR(G68="",J68=""),"",IFERROR(G68/J68,""))</f>
        <v/>
      </c>
      <c r="M68" s="53" t="str">
        <f aca="false">IF(OR(J68="",'Site Daily'!E68=""),"",IFERROR(J68/'Site Daily'!E68*1000,""))</f>
        <v/>
      </c>
      <c r="N68" s="53" t="n">
        <f aca="false">I68*(Inputs!$E$17+(Inputs!$E$26-Inputs!$E$17)*E68)</f>
        <v>48.5604166666667</v>
      </c>
      <c r="O68" s="45"/>
      <c r="P68" s="7" t="str">
        <f aca="false">IF(OR(O68="",J68=""),"",IFERROR(O68/J68,""))</f>
        <v/>
      </c>
      <c r="Q68" s="46"/>
      <c r="R68" s="8" t="n">
        <f aca="false">N68*(Inputs!$E$16+(Inputs!$E$27-Inputs!$E$16)*E68)</f>
        <v>58758.1041666667</v>
      </c>
      <c r="S68" s="8" t="str">
        <f aca="false">IF(OR(O68="",Q68="",J68=""),"",IFERROR(O68*Q68/J68,""))</f>
        <v/>
      </c>
      <c r="T68" s="7" t="str">
        <f aca="false">IF(S68="","",IFERROR(S68/R68-1,""))</f>
        <v/>
      </c>
      <c r="U68" s="8" t="n">
        <f aca="false">C68*(R68-Inputs!$E$19)*Inputs!$E$28</f>
        <v>9886.41261109801</v>
      </c>
      <c r="V68" s="8" t="str">
        <f aca="false">IF(OR(C68=0,S68=""),"",(S68-Inputs!$E$19)*Inputs!$E$28)</f>
        <v/>
      </c>
      <c r="W68" s="45"/>
      <c r="X68" s="7" t="str">
        <f aca="false">IF(OR(W68="",G68=""),"",IFERROR(W68/G68,""))</f>
        <v/>
      </c>
      <c r="Y68" s="47"/>
    </row>
    <row r="69" customFormat="false" ht="15" hidden="false" customHeight="false" outlineLevel="0" collapsed="false">
      <c r="A69" s="44" t="n">
        <v>46358</v>
      </c>
      <c r="B69" s="20" t="str">
        <f aca="false">TEXT(A69,"ddd")</f>
        <v>Wed</v>
      </c>
      <c r="C69" s="6" t="n">
        <f aca="false">IF(A69&gt;=Inputs!$E$9,1,0)</f>
        <v>1</v>
      </c>
      <c r="D69" s="6" t="n">
        <f aca="false">IF(C69=1,A69-Inputs!$E$9+1,"")</f>
        <v>49</v>
      </c>
      <c r="E69" s="51" t="n">
        <f aca="false">IF(C69=1,MIN(1,D69/Inputs!$E$29),0)</f>
        <v>1</v>
      </c>
      <c r="F69" s="6" t="n">
        <f aca="false">Inputs!$E$13+(Inputs!$E$32-Inputs!$E$13)*E69</f>
        <v>1236.08333333333</v>
      </c>
      <c r="G69" s="45"/>
      <c r="H69" s="7" t="str">
        <f aca="false">IF(G69="","",IFERROR(G69/F69-1,""))</f>
        <v/>
      </c>
      <c r="I69" s="6" t="n">
        <f aca="false">Inputs!$E$14+(Inputs!$E$24-Inputs!$E$14)*E69</f>
        <v>882.916666666667</v>
      </c>
      <c r="J69" s="45"/>
      <c r="K69" s="7" t="str">
        <f aca="false">IF(J69="","",IFERROR(J69/I69-1,""))</f>
        <v/>
      </c>
      <c r="L69" s="52" t="str">
        <f aca="false">IF(OR(G69="",J69=""),"",IFERROR(G69/J69,""))</f>
        <v/>
      </c>
      <c r="M69" s="53" t="str">
        <f aca="false">IF(OR(J69="",'Site Daily'!E69=""),"",IFERROR(J69/'Site Daily'!E69*1000,""))</f>
        <v/>
      </c>
      <c r="N69" s="53" t="n">
        <f aca="false">I69*(Inputs!$E$17+(Inputs!$E$26-Inputs!$E$17)*E69)</f>
        <v>48.5604166666667</v>
      </c>
      <c r="O69" s="45"/>
      <c r="P69" s="7" t="str">
        <f aca="false">IF(OR(O69="",J69=""),"",IFERROR(O69/J69,""))</f>
        <v/>
      </c>
      <c r="Q69" s="46"/>
      <c r="R69" s="8" t="n">
        <f aca="false">N69*(Inputs!$E$16+(Inputs!$E$27-Inputs!$E$16)*E69)</f>
        <v>58758.1041666667</v>
      </c>
      <c r="S69" s="8" t="str">
        <f aca="false">IF(OR(O69="",Q69="",J69=""),"",IFERROR(O69*Q69/J69,""))</f>
        <v/>
      </c>
      <c r="T69" s="7" t="str">
        <f aca="false">IF(S69="","",IFERROR(S69/R69-1,""))</f>
        <v/>
      </c>
      <c r="U69" s="8" t="n">
        <f aca="false">C69*(R69-Inputs!$E$19)*Inputs!$E$28</f>
        <v>9886.41261109801</v>
      </c>
      <c r="V69" s="8" t="str">
        <f aca="false">IF(OR(C69=0,S69=""),"",(S69-Inputs!$E$19)*Inputs!$E$28)</f>
        <v/>
      </c>
      <c r="W69" s="45"/>
      <c r="X69" s="7" t="str">
        <f aca="false">IF(OR(W69="",G69=""),"",IFERROR(W69/G69,""))</f>
        <v/>
      </c>
      <c r="Y69" s="47"/>
    </row>
    <row r="70" customFormat="false" ht="15" hidden="false" customHeight="false" outlineLevel="0" collapsed="false">
      <c r="A70" s="44" t="n">
        <v>46359</v>
      </c>
      <c r="B70" s="20" t="str">
        <f aca="false">TEXT(A70,"ddd")</f>
        <v>Thu</v>
      </c>
      <c r="C70" s="6" t="n">
        <f aca="false">IF(A70&gt;=Inputs!$E$9,1,0)</f>
        <v>1</v>
      </c>
      <c r="D70" s="6" t="n">
        <f aca="false">IF(C70=1,A70-Inputs!$E$9+1,"")</f>
        <v>50</v>
      </c>
      <c r="E70" s="51" t="n">
        <f aca="false">IF(C70=1,MIN(1,D70/Inputs!$E$29),0)</f>
        <v>1</v>
      </c>
      <c r="F70" s="6" t="n">
        <f aca="false">Inputs!$E$13+(Inputs!$E$32-Inputs!$E$13)*E70</f>
        <v>1236.08333333333</v>
      </c>
      <c r="G70" s="45"/>
      <c r="H70" s="7" t="str">
        <f aca="false">IF(G70="","",IFERROR(G70/F70-1,""))</f>
        <v/>
      </c>
      <c r="I70" s="6" t="n">
        <f aca="false">Inputs!$E$14+(Inputs!$E$24-Inputs!$E$14)*E70</f>
        <v>882.916666666667</v>
      </c>
      <c r="J70" s="45"/>
      <c r="K70" s="7" t="str">
        <f aca="false">IF(J70="","",IFERROR(J70/I70-1,""))</f>
        <v/>
      </c>
      <c r="L70" s="52" t="str">
        <f aca="false">IF(OR(G70="",J70=""),"",IFERROR(G70/J70,""))</f>
        <v/>
      </c>
      <c r="M70" s="53" t="str">
        <f aca="false">IF(OR(J70="",'Site Daily'!E70=""),"",IFERROR(J70/'Site Daily'!E70*1000,""))</f>
        <v/>
      </c>
      <c r="N70" s="53" t="n">
        <f aca="false">I70*(Inputs!$E$17+(Inputs!$E$26-Inputs!$E$17)*E70)</f>
        <v>48.5604166666667</v>
      </c>
      <c r="O70" s="45"/>
      <c r="P70" s="7" t="str">
        <f aca="false">IF(OR(O70="",J70=""),"",IFERROR(O70/J70,""))</f>
        <v/>
      </c>
      <c r="Q70" s="46"/>
      <c r="R70" s="8" t="n">
        <f aca="false">N70*(Inputs!$E$16+(Inputs!$E$27-Inputs!$E$16)*E70)</f>
        <v>58758.1041666667</v>
      </c>
      <c r="S70" s="8" t="str">
        <f aca="false">IF(OR(O70="",Q70="",J70=""),"",IFERROR(O70*Q70/J70,""))</f>
        <v/>
      </c>
      <c r="T70" s="7" t="str">
        <f aca="false">IF(S70="","",IFERROR(S70/R70-1,""))</f>
        <v/>
      </c>
      <c r="U70" s="8" t="n">
        <f aca="false">C70*(R70-Inputs!$E$19)*Inputs!$E$28</f>
        <v>9886.41261109801</v>
      </c>
      <c r="V70" s="8" t="str">
        <f aca="false">IF(OR(C70=0,S70=""),"",(S70-Inputs!$E$19)*Inputs!$E$28)</f>
        <v/>
      </c>
      <c r="W70" s="45"/>
      <c r="X70" s="7" t="str">
        <f aca="false">IF(OR(W70="",G70=""),"",IFERROR(W70/G70,""))</f>
        <v/>
      </c>
      <c r="Y70" s="47"/>
    </row>
    <row r="71" customFormat="false" ht="15" hidden="false" customHeight="false" outlineLevel="0" collapsed="false">
      <c r="A71" s="44" t="n">
        <v>46360</v>
      </c>
      <c r="B71" s="20" t="str">
        <f aca="false">TEXT(A71,"ddd")</f>
        <v>Fri</v>
      </c>
      <c r="C71" s="6" t="n">
        <f aca="false">IF(A71&gt;=Inputs!$E$9,1,0)</f>
        <v>1</v>
      </c>
      <c r="D71" s="6" t="n">
        <f aca="false">IF(C71=1,A71-Inputs!$E$9+1,"")</f>
        <v>51</v>
      </c>
      <c r="E71" s="51" t="n">
        <f aca="false">IF(C71=1,MIN(1,D71/Inputs!$E$29),0)</f>
        <v>1</v>
      </c>
      <c r="F71" s="6" t="n">
        <f aca="false">Inputs!$E$13+(Inputs!$E$32-Inputs!$E$13)*E71</f>
        <v>1236.08333333333</v>
      </c>
      <c r="G71" s="45"/>
      <c r="H71" s="7" t="str">
        <f aca="false">IF(G71="","",IFERROR(G71/F71-1,""))</f>
        <v/>
      </c>
      <c r="I71" s="6" t="n">
        <f aca="false">Inputs!$E$14+(Inputs!$E$24-Inputs!$E$14)*E71</f>
        <v>882.916666666667</v>
      </c>
      <c r="J71" s="45"/>
      <c r="K71" s="7" t="str">
        <f aca="false">IF(J71="","",IFERROR(J71/I71-1,""))</f>
        <v/>
      </c>
      <c r="L71" s="52" t="str">
        <f aca="false">IF(OR(G71="",J71=""),"",IFERROR(G71/J71,""))</f>
        <v/>
      </c>
      <c r="M71" s="53" t="str">
        <f aca="false">IF(OR(J71="",'Site Daily'!E71=""),"",IFERROR(J71/'Site Daily'!E71*1000,""))</f>
        <v/>
      </c>
      <c r="N71" s="53" t="n">
        <f aca="false">I71*(Inputs!$E$17+(Inputs!$E$26-Inputs!$E$17)*E71)</f>
        <v>48.5604166666667</v>
      </c>
      <c r="O71" s="45"/>
      <c r="P71" s="7" t="str">
        <f aca="false">IF(OR(O71="",J71=""),"",IFERROR(O71/J71,""))</f>
        <v/>
      </c>
      <c r="Q71" s="46"/>
      <c r="R71" s="8" t="n">
        <f aca="false">N71*(Inputs!$E$16+(Inputs!$E$27-Inputs!$E$16)*E71)</f>
        <v>58758.1041666667</v>
      </c>
      <c r="S71" s="8" t="str">
        <f aca="false">IF(OR(O71="",Q71="",J71=""),"",IFERROR(O71*Q71/J71,""))</f>
        <v/>
      </c>
      <c r="T71" s="7" t="str">
        <f aca="false">IF(S71="","",IFERROR(S71/R71-1,""))</f>
        <v/>
      </c>
      <c r="U71" s="8" t="n">
        <f aca="false">C71*(R71-Inputs!$E$19)*Inputs!$E$28</f>
        <v>9886.41261109801</v>
      </c>
      <c r="V71" s="8" t="str">
        <f aca="false">IF(OR(C71=0,S71=""),"",(S71-Inputs!$E$19)*Inputs!$E$28)</f>
        <v/>
      </c>
      <c r="W71" s="45"/>
      <c r="X71" s="7" t="str">
        <f aca="false">IF(OR(W71="",G71=""),"",IFERROR(W71/G71,""))</f>
        <v/>
      </c>
      <c r="Y71" s="47"/>
    </row>
    <row r="72" customFormat="false" ht="15" hidden="false" customHeight="false" outlineLevel="0" collapsed="false">
      <c r="A72" s="44" t="n">
        <v>46361</v>
      </c>
      <c r="B72" s="20" t="str">
        <f aca="false">TEXT(A72,"ddd")</f>
        <v>Sat</v>
      </c>
      <c r="C72" s="6" t="n">
        <f aca="false">IF(A72&gt;=Inputs!$E$9,1,0)</f>
        <v>1</v>
      </c>
      <c r="D72" s="6" t="n">
        <f aca="false">IF(C72=1,A72-Inputs!$E$9+1,"")</f>
        <v>52</v>
      </c>
      <c r="E72" s="51" t="n">
        <f aca="false">IF(C72=1,MIN(1,D72/Inputs!$E$29),0)</f>
        <v>1</v>
      </c>
      <c r="F72" s="6" t="n">
        <f aca="false">Inputs!$E$13+(Inputs!$E$32-Inputs!$E$13)*E72</f>
        <v>1236.08333333333</v>
      </c>
      <c r="G72" s="45"/>
      <c r="H72" s="7" t="str">
        <f aca="false">IF(G72="","",IFERROR(G72/F72-1,""))</f>
        <v/>
      </c>
      <c r="I72" s="6" t="n">
        <f aca="false">Inputs!$E$14+(Inputs!$E$24-Inputs!$E$14)*E72</f>
        <v>882.916666666667</v>
      </c>
      <c r="J72" s="45"/>
      <c r="K72" s="7" t="str">
        <f aca="false">IF(J72="","",IFERROR(J72/I72-1,""))</f>
        <v/>
      </c>
      <c r="L72" s="52" t="str">
        <f aca="false">IF(OR(G72="",J72=""),"",IFERROR(G72/J72,""))</f>
        <v/>
      </c>
      <c r="M72" s="53" t="str">
        <f aca="false">IF(OR(J72="",'Site Daily'!E72=""),"",IFERROR(J72/'Site Daily'!E72*1000,""))</f>
        <v/>
      </c>
      <c r="N72" s="53" t="n">
        <f aca="false">I72*(Inputs!$E$17+(Inputs!$E$26-Inputs!$E$17)*E72)</f>
        <v>48.5604166666667</v>
      </c>
      <c r="O72" s="45"/>
      <c r="P72" s="7" t="str">
        <f aca="false">IF(OR(O72="",J72=""),"",IFERROR(O72/J72,""))</f>
        <v/>
      </c>
      <c r="Q72" s="46"/>
      <c r="R72" s="8" t="n">
        <f aca="false">N72*(Inputs!$E$16+(Inputs!$E$27-Inputs!$E$16)*E72)</f>
        <v>58758.1041666667</v>
      </c>
      <c r="S72" s="8" t="str">
        <f aca="false">IF(OR(O72="",Q72="",J72=""),"",IFERROR(O72*Q72/J72,""))</f>
        <v/>
      </c>
      <c r="T72" s="7" t="str">
        <f aca="false">IF(S72="","",IFERROR(S72/R72-1,""))</f>
        <v/>
      </c>
      <c r="U72" s="8" t="n">
        <f aca="false">C72*(R72-Inputs!$E$19)*Inputs!$E$28</f>
        <v>9886.41261109801</v>
      </c>
      <c r="V72" s="8" t="str">
        <f aca="false">IF(OR(C72=0,S72=""),"",(S72-Inputs!$E$19)*Inputs!$E$28)</f>
        <v/>
      </c>
      <c r="W72" s="45"/>
      <c r="X72" s="7" t="str">
        <f aca="false">IF(OR(W72="",G72=""),"",IFERROR(W72/G72,""))</f>
        <v/>
      </c>
      <c r="Y72" s="47"/>
    </row>
    <row r="73" customFormat="false" ht="15" hidden="false" customHeight="false" outlineLevel="0" collapsed="false">
      <c r="A73" s="44" t="n">
        <v>46362</v>
      </c>
      <c r="B73" s="20" t="str">
        <f aca="false">TEXT(A73,"ddd")</f>
        <v>Sun</v>
      </c>
      <c r="C73" s="6" t="n">
        <f aca="false">IF(A73&gt;=Inputs!$E$9,1,0)</f>
        <v>1</v>
      </c>
      <c r="D73" s="6" t="n">
        <f aca="false">IF(C73=1,A73-Inputs!$E$9+1,"")</f>
        <v>53</v>
      </c>
      <c r="E73" s="51" t="n">
        <f aca="false">IF(C73=1,MIN(1,D73/Inputs!$E$29),0)</f>
        <v>1</v>
      </c>
      <c r="F73" s="6" t="n">
        <f aca="false">Inputs!$E$13+(Inputs!$E$32-Inputs!$E$13)*E73</f>
        <v>1236.08333333333</v>
      </c>
      <c r="G73" s="45"/>
      <c r="H73" s="7" t="str">
        <f aca="false">IF(G73="","",IFERROR(G73/F73-1,""))</f>
        <v/>
      </c>
      <c r="I73" s="6" t="n">
        <f aca="false">Inputs!$E$14+(Inputs!$E$24-Inputs!$E$14)*E73</f>
        <v>882.916666666667</v>
      </c>
      <c r="J73" s="45"/>
      <c r="K73" s="7" t="str">
        <f aca="false">IF(J73="","",IFERROR(J73/I73-1,""))</f>
        <v/>
      </c>
      <c r="L73" s="52" t="str">
        <f aca="false">IF(OR(G73="",J73=""),"",IFERROR(G73/J73,""))</f>
        <v/>
      </c>
      <c r="M73" s="53" t="str">
        <f aca="false">IF(OR(J73="",'Site Daily'!E73=""),"",IFERROR(J73/'Site Daily'!E73*1000,""))</f>
        <v/>
      </c>
      <c r="N73" s="53" t="n">
        <f aca="false">I73*(Inputs!$E$17+(Inputs!$E$26-Inputs!$E$17)*E73)</f>
        <v>48.5604166666667</v>
      </c>
      <c r="O73" s="45"/>
      <c r="P73" s="7" t="str">
        <f aca="false">IF(OR(O73="",J73=""),"",IFERROR(O73/J73,""))</f>
        <v/>
      </c>
      <c r="Q73" s="46"/>
      <c r="R73" s="8" t="n">
        <f aca="false">N73*(Inputs!$E$16+(Inputs!$E$27-Inputs!$E$16)*E73)</f>
        <v>58758.1041666667</v>
      </c>
      <c r="S73" s="8" t="str">
        <f aca="false">IF(OR(O73="",Q73="",J73=""),"",IFERROR(O73*Q73/J73,""))</f>
        <v/>
      </c>
      <c r="T73" s="7" t="str">
        <f aca="false">IF(S73="","",IFERROR(S73/R73-1,""))</f>
        <v/>
      </c>
      <c r="U73" s="8" t="n">
        <f aca="false">C73*(R73-Inputs!$E$19)*Inputs!$E$28</f>
        <v>9886.41261109801</v>
      </c>
      <c r="V73" s="8" t="str">
        <f aca="false">IF(OR(C73=0,S73=""),"",(S73-Inputs!$E$19)*Inputs!$E$28)</f>
        <v/>
      </c>
      <c r="W73" s="45"/>
      <c r="X73" s="7" t="str">
        <f aca="false">IF(OR(W73="",G73=""),"",IFERROR(W73/G73,""))</f>
        <v/>
      </c>
      <c r="Y73" s="47"/>
    </row>
    <row r="74" customFormat="false" ht="15" hidden="false" customHeight="false" outlineLevel="0" collapsed="false">
      <c r="A74" s="44" t="n">
        <v>46363</v>
      </c>
      <c r="B74" s="20" t="str">
        <f aca="false">TEXT(A74,"ddd")</f>
        <v>Mon</v>
      </c>
      <c r="C74" s="6" t="n">
        <f aca="false">IF(A74&gt;=Inputs!$E$9,1,0)</f>
        <v>1</v>
      </c>
      <c r="D74" s="6" t="n">
        <f aca="false">IF(C74=1,A74-Inputs!$E$9+1,"")</f>
        <v>54</v>
      </c>
      <c r="E74" s="51" t="n">
        <f aca="false">IF(C74=1,MIN(1,D74/Inputs!$E$29),0)</f>
        <v>1</v>
      </c>
      <c r="F74" s="6" t="n">
        <f aca="false">Inputs!$E$13+(Inputs!$E$32-Inputs!$E$13)*E74</f>
        <v>1236.08333333333</v>
      </c>
      <c r="G74" s="45"/>
      <c r="H74" s="7" t="str">
        <f aca="false">IF(G74="","",IFERROR(G74/F74-1,""))</f>
        <v/>
      </c>
      <c r="I74" s="6" t="n">
        <f aca="false">Inputs!$E$14+(Inputs!$E$24-Inputs!$E$14)*E74</f>
        <v>882.916666666667</v>
      </c>
      <c r="J74" s="45"/>
      <c r="K74" s="7" t="str">
        <f aca="false">IF(J74="","",IFERROR(J74/I74-1,""))</f>
        <v/>
      </c>
      <c r="L74" s="52" t="str">
        <f aca="false">IF(OR(G74="",J74=""),"",IFERROR(G74/J74,""))</f>
        <v/>
      </c>
      <c r="M74" s="53" t="str">
        <f aca="false">IF(OR(J74="",'Site Daily'!E74=""),"",IFERROR(J74/'Site Daily'!E74*1000,""))</f>
        <v/>
      </c>
      <c r="N74" s="53" t="n">
        <f aca="false">I74*(Inputs!$E$17+(Inputs!$E$26-Inputs!$E$17)*E74)</f>
        <v>48.5604166666667</v>
      </c>
      <c r="O74" s="45"/>
      <c r="P74" s="7" t="str">
        <f aca="false">IF(OR(O74="",J74=""),"",IFERROR(O74/J74,""))</f>
        <v/>
      </c>
      <c r="Q74" s="46"/>
      <c r="R74" s="8" t="n">
        <f aca="false">N74*(Inputs!$E$16+(Inputs!$E$27-Inputs!$E$16)*E74)</f>
        <v>58758.1041666667</v>
      </c>
      <c r="S74" s="8" t="str">
        <f aca="false">IF(OR(O74="",Q74="",J74=""),"",IFERROR(O74*Q74/J74,""))</f>
        <v/>
      </c>
      <c r="T74" s="7" t="str">
        <f aca="false">IF(S74="","",IFERROR(S74/R74-1,""))</f>
        <v/>
      </c>
      <c r="U74" s="8" t="n">
        <f aca="false">C74*(R74-Inputs!$E$19)*Inputs!$E$28</f>
        <v>9886.41261109801</v>
      </c>
      <c r="V74" s="8" t="str">
        <f aca="false">IF(OR(C74=0,S74=""),"",(S74-Inputs!$E$19)*Inputs!$E$28)</f>
        <v/>
      </c>
      <c r="W74" s="45"/>
      <c r="X74" s="7" t="str">
        <f aca="false">IF(OR(W74="",G74=""),"",IFERROR(W74/G74,""))</f>
        <v/>
      </c>
      <c r="Y74" s="47"/>
    </row>
    <row r="75" customFormat="false" ht="15" hidden="false" customHeight="false" outlineLevel="0" collapsed="false">
      <c r="A75" s="44" t="n">
        <v>46364</v>
      </c>
      <c r="B75" s="20" t="str">
        <f aca="false">TEXT(A75,"ddd")</f>
        <v>Tue</v>
      </c>
      <c r="C75" s="6" t="n">
        <f aca="false">IF(A75&gt;=Inputs!$E$9,1,0)</f>
        <v>1</v>
      </c>
      <c r="D75" s="6" t="n">
        <f aca="false">IF(C75=1,A75-Inputs!$E$9+1,"")</f>
        <v>55</v>
      </c>
      <c r="E75" s="51" t="n">
        <f aca="false">IF(C75=1,MIN(1,D75/Inputs!$E$29),0)</f>
        <v>1</v>
      </c>
      <c r="F75" s="6" t="n">
        <f aca="false">Inputs!$E$13+(Inputs!$E$32-Inputs!$E$13)*E75</f>
        <v>1236.08333333333</v>
      </c>
      <c r="G75" s="45"/>
      <c r="H75" s="7" t="str">
        <f aca="false">IF(G75="","",IFERROR(G75/F75-1,""))</f>
        <v/>
      </c>
      <c r="I75" s="6" t="n">
        <f aca="false">Inputs!$E$14+(Inputs!$E$24-Inputs!$E$14)*E75</f>
        <v>882.916666666667</v>
      </c>
      <c r="J75" s="45"/>
      <c r="K75" s="7" t="str">
        <f aca="false">IF(J75="","",IFERROR(J75/I75-1,""))</f>
        <v/>
      </c>
      <c r="L75" s="52" t="str">
        <f aca="false">IF(OR(G75="",J75=""),"",IFERROR(G75/J75,""))</f>
        <v/>
      </c>
      <c r="M75" s="53" t="str">
        <f aca="false">IF(OR(J75="",'Site Daily'!E75=""),"",IFERROR(J75/'Site Daily'!E75*1000,""))</f>
        <v/>
      </c>
      <c r="N75" s="53" t="n">
        <f aca="false">I75*(Inputs!$E$17+(Inputs!$E$26-Inputs!$E$17)*E75)</f>
        <v>48.5604166666667</v>
      </c>
      <c r="O75" s="45"/>
      <c r="P75" s="7" t="str">
        <f aca="false">IF(OR(O75="",J75=""),"",IFERROR(O75/J75,""))</f>
        <v/>
      </c>
      <c r="Q75" s="46"/>
      <c r="R75" s="8" t="n">
        <f aca="false">N75*(Inputs!$E$16+(Inputs!$E$27-Inputs!$E$16)*E75)</f>
        <v>58758.1041666667</v>
      </c>
      <c r="S75" s="8" t="str">
        <f aca="false">IF(OR(O75="",Q75="",J75=""),"",IFERROR(O75*Q75/J75,""))</f>
        <v/>
      </c>
      <c r="T75" s="7" t="str">
        <f aca="false">IF(S75="","",IFERROR(S75/R75-1,""))</f>
        <v/>
      </c>
      <c r="U75" s="8" t="n">
        <f aca="false">C75*(R75-Inputs!$E$19)*Inputs!$E$28</f>
        <v>9886.41261109801</v>
      </c>
      <c r="V75" s="8" t="str">
        <f aca="false">IF(OR(C75=0,S75=""),"",(S75-Inputs!$E$19)*Inputs!$E$28)</f>
        <v/>
      </c>
      <c r="W75" s="45"/>
      <c r="X75" s="7" t="str">
        <f aca="false">IF(OR(W75="",G75=""),"",IFERROR(W75/G75,""))</f>
        <v/>
      </c>
      <c r="Y75" s="47"/>
    </row>
    <row r="76" customFormat="false" ht="15" hidden="false" customHeight="false" outlineLevel="0" collapsed="false">
      <c r="A76" s="44" t="n">
        <v>46365</v>
      </c>
      <c r="B76" s="20" t="str">
        <f aca="false">TEXT(A76,"ddd")</f>
        <v>Wed</v>
      </c>
      <c r="C76" s="6" t="n">
        <f aca="false">IF(A76&gt;=Inputs!$E$9,1,0)</f>
        <v>1</v>
      </c>
      <c r="D76" s="6" t="n">
        <f aca="false">IF(C76=1,A76-Inputs!$E$9+1,"")</f>
        <v>56</v>
      </c>
      <c r="E76" s="51" t="n">
        <f aca="false">IF(C76=1,MIN(1,D76/Inputs!$E$29),0)</f>
        <v>1</v>
      </c>
      <c r="F76" s="6" t="n">
        <f aca="false">Inputs!$E$13+(Inputs!$E$32-Inputs!$E$13)*E76</f>
        <v>1236.08333333333</v>
      </c>
      <c r="G76" s="45"/>
      <c r="H76" s="7" t="str">
        <f aca="false">IF(G76="","",IFERROR(G76/F76-1,""))</f>
        <v/>
      </c>
      <c r="I76" s="6" t="n">
        <f aca="false">Inputs!$E$14+(Inputs!$E$24-Inputs!$E$14)*E76</f>
        <v>882.916666666667</v>
      </c>
      <c r="J76" s="45"/>
      <c r="K76" s="7" t="str">
        <f aca="false">IF(J76="","",IFERROR(J76/I76-1,""))</f>
        <v/>
      </c>
      <c r="L76" s="52" t="str">
        <f aca="false">IF(OR(G76="",J76=""),"",IFERROR(G76/J76,""))</f>
        <v/>
      </c>
      <c r="M76" s="53" t="str">
        <f aca="false">IF(OR(J76="",'Site Daily'!E76=""),"",IFERROR(J76/'Site Daily'!E76*1000,""))</f>
        <v/>
      </c>
      <c r="N76" s="53" t="n">
        <f aca="false">I76*(Inputs!$E$17+(Inputs!$E$26-Inputs!$E$17)*E76)</f>
        <v>48.5604166666667</v>
      </c>
      <c r="O76" s="45"/>
      <c r="P76" s="7" t="str">
        <f aca="false">IF(OR(O76="",J76=""),"",IFERROR(O76/J76,""))</f>
        <v/>
      </c>
      <c r="Q76" s="46"/>
      <c r="R76" s="8" t="n">
        <f aca="false">N76*(Inputs!$E$16+(Inputs!$E$27-Inputs!$E$16)*E76)</f>
        <v>58758.1041666667</v>
      </c>
      <c r="S76" s="8" t="str">
        <f aca="false">IF(OR(O76="",Q76="",J76=""),"",IFERROR(O76*Q76/J76,""))</f>
        <v/>
      </c>
      <c r="T76" s="7" t="str">
        <f aca="false">IF(S76="","",IFERROR(S76/R76-1,""))</f>
        <v/>
      </c>
      <c r="U76" s="8" t="n">
        <f aca="false">C76*(R76-Inputs!$E$19)*Inputs!$E$28</f>
        <v>9886.41261109801</v>
      </c>
      <c r="V76" s="8" t="str">
        <f aca="false">IF(OR(C76=0,S76=""),"",(S76-Inputs!$E$19)*Inputs!$E$28)</f>
        <v/>
      </c>
      <c r="W76" s="45"/>
      <c r="X76" s="7" t="str">
        <f aca="false">IF(OR(W76="",G76=""),"",IFERROR(W76/G76,""))</f>
        <v/>
      </c>
      <c r="Y76" s="47"/>
    </row>
    <row r="77" customFormat="false" ht="15" hidden="false" customHeight="false" outlineLevel="0" collapsed="false">
      <c r="A77" s="44" t="n">
        <v>46366</v>
      </c>
      <c r="B77" s="20" t="str">
        <f aca="false">TEXT(A77,"ddd")</f>
        <v>Thu</v>
      </c>
      <c r="C77" s="6" t="n">
        <f aca="false">IF(A77&gt;=Inputs!$E$9,1,0)</f>
        <v>1</v>
      </c>
      <c r="D77" s="6" t="n">
        <f aca="false">IF(C77=1,A77-Inputs!$E$9+1,"")</f>
        <v>57</v>
      </c>
      <c r="E77" s="51" t="n">
        <f aca="false">IF(C77=1,MIN(1,D77/Inputs!$E$29),0)</f>
        <v>1</v>
      </c>
      <c r="F77" s="6" t="n">
        <f aca="false">Inputs!$E$13+(Inputs!$E$32-Inputs!$E$13)*E77</f>
        <v>1236.08333333333</v>
      </c>
      <c r="G77" s="45"/>
      <c r="H77" s="7" t="str">
        <f aca="false">IF(G77="","",IFERROR(G77/F77-1,""))</f>
        <v/>
      </c>
      <c r="I77" s="6" t="n">
        <f aca="false">Inputs!$E$14+(Inputs!$E$24-Inputs!$E$14)*E77</f>
        <v>882.916666666667</v>
      </c>
      <c r="J77" s="45"/>
      <c r="K77" s="7" t="str">
        <f aca="false">IF(J77="","",IFERROR(J77/I77-1,""))</f>
        <v/>
      </c>
      <c r="L77" s="52" t="str">
        <f aca="false">IF(OR(G77="",J77=""),"",IFERROR(G77/J77,""))</f>
        <v/>
      </c>
      <c r="M77" s="53" t="str">
        <f aca="false">IF(OR(J77="",'Site Daily'!E77=""),"",IFERROR(J77/'Site Daily'!E77*1000,""))</f>
        <v/>
      </c>
      <c r="N77" s="53" t="n">
        <f aca="false">I77*(Inputs!$E$17+(Inputs!$E$26-Inputs!$E$17)*E77)</f>
        <v>48.5604166666667</v>
      </c>
      <c r="O77" s="45"/>
      <c r="P77" s="7" t="str">
        <f aca="false">IF(OR(O77="",J77=""),"",IFERROR(O77/J77,""))</f>
        <v/>
      </c>
      <c r="Q77" s="46"/>
      <c r="R77" s="8" t="n">
        <f aca="false">N77*(Inputs!$E$16+(Inputs!$E$27-Inputs!$E$16)*E77)</f>
        <v>58758.1041666667</v>
      </c>
      <c r="S77" s="8" t="str">
        <f aca="false">IF(OR(O77="",Q77="",J77=""),"",IFERROR(O77*Q77/J77,""))</f>
        <v/>
      </c>
      <c r="T77" s="7" t="str">
        <f aca="false">IF(S77="","",IFERROR(S77/R77-1,""))</f>
        <v/>
      </c>
      <c r="U77" s="8" t="n">
        <f aca="false">C77*(R77-Inputs!$E$19)*Inputs!$E$28</f>
        <v>9886.41261109801</v>
      </c>
      <c r="V77" s="8" t="str">
        <f aca="false">IF(OR(C77=0,S77=""),"",(S77-Inputs!$E$19)*Inputs!$E$28)</f>
        <v/>
      </c>
      <c r="W77" s="45"/>
      <c r="X77" s="7" t="str">
        <f aca="false">IF(OR(W77="",G77=""),"",IFERROR(W77/G77,""))</f>
        <v/>
      </c>
      <c r="Y77" s="47"/>
    </row>
    <row r="78" customFormat="false" ht="15" hidden="false" customHeight="false" outlineLevel="0" collapsed="false">
      <c r="A78" s="44" t="n">
        <v>46367</v>
      </c>
      <c r="B78" s="20" t="str">
        <f aca="false">TEXT(A78,"ddd")</f>
        <v>Fri</v>
      </c>
      <c r="C78" s="6" t="n">
        <f aca="false">IF(A78&gt;=Inputs!$E$9,1,0)</f>
        <v>1</v>
      </c>
      <c r="D78" s="6" t="n">
        <f aca="false">IF(C78=1,A78-Inputs!$E$9+1,"")</f>
        <v>58</v>
      </c>
      <c r="E78" s="51" t="n">
        <f aca="false">IF(C78=1,MIN(1,D78/Inputs!$E$29),0)</f>
        <v>1</v>
      </c>
      <c r="F78" s="6" t="n">
        <f aca="false">Inputs!$E$13+(Inputs!$E$32-Inputs!$E$13)*E78</f>
        <v>1236.08333333333</v>
      </c>
      <c r="G78" s="45"/>
      <c r="H78" s="7" t="str">
        <f aca="false">IF(G78="","",IFERROR(G78/F78-1,""))</f>
        <v/>
      </c>
      <c r="I78" s="6" t="n">
        <f aca="false">Inputs!$E$14+(Inputs!$E$24-Inputs!$E$14)*E78</f>
        <v>882.916666666667</v>
      </c>
      <c r="J78" s="45"/>
      <c r="K78" s="7" t="str">
        <f aca="false">IF(J78="","",IFERROR(J78/I78-1,""))</f>
        <v/>
      </c>
      <c r="L78" s="52" t="str">
        <f aca="false">IF(OR(G78="",J78=""),"",IFERROR(G78/J78,""))</f>
        <v/>
      </c>
      <c r="M78" s="53" t="str">
        <f aca="false">IF(OR(J78="",'Site Daily'!E78=""),"",IFERROR(J78/'Site Daily'!E78*1000,""))</f>
        <v/>
      </c>
      <c r="N78" s="53" t="n">
        <f aca="false">I78*(Inputs!$E$17+(Inputs!$E$26-Inputs!$E$17)*E78)</f>
        <v>48.5604166666667</v>
      </c>
      <c r="O78" s="45"/>
      <c r="P78" s="7" t="str">
        <f aca="false">IF(OR(O78="",J78=""),"",IFERROR(O78/J78,""))</f>
        <v/>
      </c>
      <c r="Q78" s="46"/>
      <c r="R78" s="8" t="n">
        <f aca="false">N78*(Inputs!$E$16+(Inputs!$E$27-Inputs!$E$16)*E78)</f>
        <v>58758.1041666667</v>
      </c>
      <c r="S78" s="8" t="str">
        <f aca="false">IF(OR(O78="",Q78="",J78=""),"",IFERROR(O78*Q78/J78,""))</f>
        <v/>
      </c>
      <c r="T78" s="7" t="str">
        <f aca="false">IF(S78="","",IFERROR(S78/R78-1,""))</f>
        <v/>
      </c>
      <c r="U78" s="8" t="n">
        <f aca="false">C78*(R78-Inputs!$E$19)*Inputs!$E$28</f>
        <v>9886.41261109801</v>
      </c>
      <c r="V78" s="8" t="str">
        <f aca="false">IF(OR(C78=0,S78=""),"",(S78-Inputs!$E$19)*Inputs!$E$28)</f>
        <v/>
      </c>
      <c r="W78" s="45"/>
      <c r="X78" s="7" t="str">
        <f aca="false">IF(OR(W78="",G78=""),"",IFERROR(W78/G78,""))</f>
        <v/>
      </c>
      <c r="Y78" s="47"/>
    </row>
    <row r="79" customFormat="false" ht="15" hidden="false" customHeight="false" outlineLevel="0" collapsed="false">
      <c r="A79" s="44" t="n">
        <v>46368</v>
      </c>
      <c r="B79" s="20" t="str">
        <f aca="false">TEXT(A79,"ddd")</f>
        <v>Sat</v>
      </c>
      <c r="C79" s="6" t="n">
        <f aca="false">IF(A79&gt;=Inputs!$E$9,1,0)</f>
        <v>1</v>
      </c>
      <c r="D79" s="6" t="n">
        <f aca="false">IF(C79=1,A79-Inputs!$E$9+1,"")</f>
        <v>59</v>
      </c>
      <c r="E79" s="51" t="n">
        <f aca="false">IF(C79=1,MIN(1,D79/Inputs!$E$29),0)</f>
        <v>1</v>
      </c>
      <c r="F79" s="6" t="n">
        <f aca="false">Inputs!$E$13+(Inputs!$E$32-Inputs!$E$13)*E79</f>
        <v>1236.08333333333</v>
      </c>
      <c r="G79" s="45"/>
      <c r="H79" s="7" t="str">
        <f aca="false">IF(G79="","",IFERROR(G79/F79-1,""))</f>
        <v/>
      </c>
      <c r="I79" s="6" t="n">
        <f aca="false">Inputs!$E$14+(Inputs!$E$24-Inputs!$E$14)*E79</f>
        <v>882.916666666667</v>
      </c>
      <c r="J79" s="45"/>
      <c r="K79" s="7" t="str">
        <f aca="false">IF(J79="","",IFERROR(J79/I79-1,""))</f>
        <v/>
      </c>
      <c r="L79" s="52" t="str">
        <f aca="false">IF(OR(G79="",J79=""),"",IFERROR(G79/J79,""))</f>
        <v/>
      </c>
      <c r="M79" s="53" t="str">
        <f aca="false">IF(OR(J79="",'Site Daily'!E79=""),"",IFERROR(J79/'Site Daily'!E79*1000,""))</f>
        <v/>
      </c>
      <c r="N79" s="53" t="n">
        <f aca="false">I79*(Inputs!$E$17+(Inputs!$E$26-Inputs!$E$17)*E79)</f>
        <v>48.5604166666667</v>
      </c>
      <c r="O79" s="45"/>
      <c r="P79" s="7" t="str">
        <f aca="false">IF(OR(O79="",J79=""),"",IFERROR(O79/J79,""))</f>
        <v/>
      </c>
      <c r="Q79" s="46"/>
      <c r="R79" s="8" t="n">
        <f aca="false">N79*(Inputs!$E$16+(Inputs!$E$27-Inputs!$E$16)*E79)</f>
        <v>58758.1041666667</v>
      </c>
      <c r="S79" s="8" t="str">
        <f aca="false">IF(OR(O79="",Q79="",J79=""),"",IFERROR(O79*Q79/J79,""))</f>
        <v/>
      </c>
      <c r="T79" s="7" t="str">
        <f aca="false">IF(S79="","",IFERROR(S79/R79-1,""))</f>
        <v/>
      </c>
      <c r="U79" s="8" t="n">
        <f aca="false">C79*(R79-Inputs!$E$19)*Inputs!$E$28</f>
        <v>9886.41261109801</v>
      </c>
      <c r="V79" s="8" t="str">
        <f aca="false">IF(OR(C79=0,S79=""),"",(S79-Inputs!$E$19)*Inputs!$E$28)</f>
        <v/>
      </c>
      <c r="W79" s="45"/>
      <c r="X79" s="7" t="str">
        <f aca="false">IF(OR(W79="",G79=""),"",IFERROR(W79/G79,""))</f>
        <v/>
      </c>
      <c r="Y79" s="47"/>
    </row>
    <row r="80" customFormat="false" ht="15" hidden="false" customHeight="false" outlineLevel="0" collapsed="false">
      <c r="A80" s="44" t="n">
        <v>46369</v>
      </c>
      <c r="B80" s="20" t="str">
        <f aca="false">TEXT(A80,"ddd")</f>
        <v>Sun</v>
      </c>
      <c r="C80" s="6" t="n">
        <f aca="false">IF(A80&gt;=Inputs!$E$9,1,0)</f>
        <v>1</v>
      </c>
      <c r="D80" s="6" t="n">
        <f aca="false">IF(C80=1,A80-Inputs!$E$9+1,"")</f>
        <v>60</v>
      </c>
      <c r="E80" s="51" t="n">
        <f aca="false">IF(C80=1,MIN(1,D80/Inputs!$E$29),0)</f>
        <v>1</v>
      </c>
      <c r="F80" s="6" t="n">
        <f aca="false">Inputs!$E$13+(Inputs!$E$32-Inputs!$E$13)*E80</f>
        <v>1236.08333333333</v>
      </c>
      <c r="G80" s="45"/>
      <c r="H80" s="7" t="str">
        <f aca="false">IF(G80="","",IFERROR(G80/F80-1,""))</f>
        <v/>
      </c>
      <c r="I80" s="6" t="n">
        <f aca="false">Inputs!$E$14+(Inputs!$E$24-Inputs!$E$14)*E80</f>
        <v>882.916666666667</v>
      </c>
      <c r="J80" s="45"/>
      <c r="K80" s="7" t="str">
        <f aca="false">IF(J80="","",IFERROR(J80/I80-1,""))</f>
        <v/>
      </c>
      <c r="L80" s="52" t="str">
        <f aca="false">IF(OR(G80="",J80=""),"",IFERROR(G80/J80,""))</f>
        <v/>
      </c>
      <c r="M80" s="53" t="str">
        <f aca="false">IF(OR(J80="",'Site Daily'!E80=""),"",IFERROR(J80/'Site Daily'!E80*1000,""))</f>
        <v/>
      </c>
      <c r="N80" s="53" t="n">
        <f aca="false">I80*(Inputs!$E$17+(Inputs!$E$26-Inputs!$E$17)*E80)</f>
        <v>48.5604166666667</v>
      </c>
      <c r="O80" s="45"/>
      <c r="P80" s="7" t="str">
        <f aca="false">IF(OR(O80="",J80=""),"",IFERROR(O80/J80,""))</f>
        <v/>
      </c>
      <c r="Q80" s="46"/>
      <c r="R80" s="8" t="n">
        <f aca="false">N80*(Inputs!$E$16+(Inputs!$E$27-Inputs!$E$16)*E80)</f>
        <v>58758.1041666667</v>
      </c>
      <c r="S80" s="8" t="str">
        <f aca="false">IF(OR(O80="",Q80="",J80=""),"",IFERROR(O80*Q80/J80,""))</f>
        <v/>
      </c>
      <c r="T80" s="7" t="str">
        <f aca="false">IF(S80="","",IFERROR(S80/R80-1,""))</f>
        <v/>
      </c>
      <c r="U80" s="8" t="n">
        <f aca="false">C80*(R80-Inputs!$E$19)*Inputs!$E$28</f>
        <v>9886.41261109801</v>
      </c>
      <c r="V80" s="8" t="str">
        <f aca="false">IF(OR(C80=0,S80=""),"",(S80-Inputs!$E$19)*Inputs!$E$28)</f>
        <v/>
      </c>
      <c r="W80" s="45"/>
      <c r="X80" s="7" t="str">
        <f aca="false">IF(OR(W80="",G80=""),"",IFERROR(W80/G80,""))</f>
        <v/>
      </c>
      <c r="Y80" s="47"/>
    </row>
    <row r="81" customFormat="false" ht="15" hidden="false" customHeight="false" outlineLevel="0" collapsed="false">
      <c r="A81" s="44" t="n">
        <v>46370</v>
      </c>
      <c r="B81" s="20" t="str">
        <f aca="false">TEXT(A81,"ddd")</f>
        <v>Mon</v>
      </c>
      <c r="C81" s="6" t="n">
        <f aca="false">IF(A81&gt;=Inputs!$E$9,1,0)</f>
        <v>1</v>
      </c>
      <c r="D81" s="6" t="n">
        <f aca="false">IF(C81=1,A81-Inputs!$E$9+1,"")</f>
        <v>61</v>
      </c>
      <c r="E81" s="51" t="n">
        <f aca="false">IF(C81=1,MIN(1,D81/Inputs!$E$29),0)</f>
        <v>1</v>
      </c>
      <c r="F81" s="6" t="n">
        <f aca="false">Inputs!$E$13+(Inputs!$E$32-Inputs!$E$13)*E81</f>
        <v>1236.08333333333</v>
      </c>
      <c r="G81" s="45"/>
      <c r="H81" s="7" t="str">
        <f aca="false">IF(G81="","",IFERROR(G81/F81-1,""))</f>
        <v/>
      </c>
      <c r="I81" s="6" t="n">
        <f aca="false">Inputs!$E$14+(Inputs!$E$24-Inputs!$E$14)*E81</f>
        <v>882.916666666667</v>
      </c>
      <c r="J81" s="45"/>
      <c r="K81" s="7" t="str">
        <f aca="false">IF(J81="","",IFERROR(J81/I81-1,""))</f>
        <v/>
      </c>
      <c r="L81" s="52" t="str">
        <f aca="false">IF(OR(G81="",J81=""),"",IFERROR(G81/J81,""))</f>
        <v/>
      </c>
      <c r="M81" s="53" t="str">
        <f aca="false">IF(OR(J81="",'Site Daily'!E81=""),"",IFERROR(J81/'Site Daily'!E81*1000,""))</f>
        <v/>
      </c>
      <c r="N81" s="53" t="n">
        <f aca="false">I81*(Inputs!$E$17+(Inputs!$E$26-Inputs!$E$17)*E81)</f>
        <v>48.5604166666667</v>
      </c>
      <c r="O81" s="45"/>
      <c r="P81" s="7" t="str">
        <f aca="false">IF(OR(O81="",J81=""),"",IFERROR(O81/J81,""))</f>
        <v/>
      </c>
      <c r="Q81" s="46"/>
      <c r="R81" s="8" t="n">
        <f aca="false">N81*(Inputs!$E$16+(Inputs!$E$27-Inputs!$E$16)*E81)</f>
        <v>58758.1041666667</v>
      </c>
      <c r="S81" s="8" t="str">
        <f aca="false">IF(OR(O81="",Q81="",J81=""),"",IFERROR(O81*Q81/J81,""))</f>
        <v/>
      </c>
      <c r="T81" s="7" t="str">
        <f aca="false">IF(S81="","",IFERROR(S81/R81-1,""))</f>
        <v/>
      </c>
      <c r="U81" s="8" t="n">
        <f aca="false">C81*(R81-Inputs!$E$19)*Inputs!$E$28</f>
        <v>9886.41261109801</v>
      </c>
      <c r="V81" s="8" t="str">
        <f aca="false">IF(OR(C81=0,S81=""),"",(S81-Inputs!$E$19)*Inputs!$E$28)</f>
        <v/>
      </c>
      <c r="W81" s="45"/>
      <c r="X81" s="7" t="str">
        <f aca="false">IF(OR(W81="",G81=""),"",IFERROR(W81/G81,""))</f>
        <v/>
      </c>
      <c r="Y81" s="47"/>
    </row>
    <row r="82" customFormat="false" ht="15" hidden="false" customHeight="false" outlineLevel="0" collapsed="false">
      <c r="A82" s="44" t="n">
        <v>46371</v>
      </c>
      <c r="B82" s="20" t="str">
        <f aca="false">TEXT(A82,"ddd")</f>
        <v>Tue</v>
      </c>
      <c r="C82" s="6" t="n">
        <f aca="false">IF(A82&gt;=Inputs!$E$9,1,0)</f>
        <v>1</v>
      </c>
      <c r="D82" s="6" t="n">
        <f aca="false">IF(C82=1,A82-Inputs!$E$9+1,"")</f>
        <v>62</v>
      </c>
      <c r="E82" s="51" t="n">
        <f aca="false">IF(C82=1,MIN(1,D82/Inputs!$E$29),0)</f>
        <v>1</v>
      </c>
      <c r="F82" s="6" t="n">
        <f aca="false">Inputs!$E$13+(Inputs!$E$32-Inputs!$E$13)*E82</f>
        <v>1236.08333333333</v>
      </c>
      <c r="G82" s="45"/>
      <c r="H82" s="7" t="str">
        <f aca="false">IF(G82="","",IFERROR(G82/F82-1,""))</f>
        <v/>
      </c>
      <c r="I82" s="6" t="n">
        <f aca="false">Inputs!$E$14+(Inputs!$E$24-Inputs!$E$14)*E82</f>
        <v>882.916666666667</v>
      </c>
      <c r="J82" s="45"/>
      <c r="K82" s="7" t="str">
        <f aca="false">IF(J82="","",IFERROR(J82/I82-1,""))</f>
        <v/>
      </c>
      <c r="L82" s="52" t="str">
        <f aca="false">IF(OR(G82="",J82=""),"",IFERROR(G82/J82,""))</f>
        <v/>
      </c>
      <c r="M82" s="53" t="str">
        <f aca="false">IF(OR(J82="",'Site Daily'!E82=""),"",IFERROR(J82/'Site Daily'!E82*1000,""))</f>
        <v/>
      </c>
      <c r="N82" s="53" t="n">
        <f aca="false">I82*(Inputs!$E$17+(Inputs!$E$26-Inputs!$E$17)*E82)</f>
        <v>48.5604166666667</v>
      </c>
      <c r="O82" s="45"/>
      <c r="P82" s="7" t="str">
        <f aca="false">IF(OR(O82="",J82=""),"",IFERROR(O82/J82,""))</f>
        <v/>
      </c>
      <c r="Q82" s="46"/>
      <c r="R82" s="8" t="n">
        <f aca="false">N82*(Inputs!$E$16+(Inputs!$E$27-Inputs!$E$16)*E82)</f>
        <v>58758.1041666667</v>
      </c>
      <c r="S82" s="8" t="str">
        <f aca="false">IF(OR(O82="",Q82="",J82=""),"",IFERROR(O82*Q82/J82,""))</f>
        <v/>
      </c>
      <c r="T82" s="7" t="str">
        <f aca="false">IF(S82="","",IFERROR(S82/R82-1,""))</f>
        <v/>
      </c>
      <c r="U82" s="8" t="n">
        <f aca="false">C82*(R82-Inputs!$E$19)*Inputs!$E$28</f>
        <v>9886.41261109801</v>
      </c>
      <c r="V82" s="8" t="str">
        <f aca="false">IF(OR(C82=0,S82=""),"",(S82-Inputs!$E$19)*Inputs!$E$28)</f>
        <v/>
      </c>
      <c r="W82" s="45"/>
      <c r="X82" s="7" t="str">
        <f aca="false">IF(OR(W82="",G82=""),"",IFERROR(W82/G82,""))</f>
        <v/>
      </c>
      <c r="Y82" s="47"/>
    </row>
    <row r="83" customFormat="false" ht="15" hidden="false" customHeight="false" outlineLevel="0" collapsed="false">
      <c r="A83" s="44" t="n">
        <v>46372</v>
      </c>
      <c r="B83" s="20" t="str">
        <f aca="false">TEXT(A83,"ddd")</f>
        <v>Wed</v>
      </c>
      <c r="C83" s="6" t="n">
        <f aca="false">IF(A83&gt;=Inputs!$E$9,1,0)</f>
        <v>1</v>
      </c>
      <c r="D83" s="6" t="n">
        <f aca="false">IF(C83=1,A83-Inputs!$E$9+1,"")</f>
        <v>63</v>
      </c>
      <c r="E83" s="51" t="n">
        <f aca="false">IF(C83=1,MIN(1,D83/Inputs!$E$29),0)</f>
        <v>1</v>
      </c>
      <c r="F83" s="6" t="n">
        <f aca="false">Inputs!$E$13+(Inputs!$E$32-Inputs!$E$13)*E83</f>
        <v>1236.08333333333</v>
      </c>
      <c r="G83" s="45"/>
      <c r="H83" s="7" t="str">
        <f aca="false">IF(G83="","",IFERROR(G83/F83-1,""))</f>
        <v/>
      </c>
      <c r="I83" s="6" t="n">
        <f aca="false">Inputs!$E$14+(Inputs!$E$24-Inputs!$E$14)*E83</f>
        <v>882.916666666667</v>
      </c>
      <c r="J83" s="45"/>
      <c r="K83" s="7" t="str">
        <f aca="false">IF(J83="","",IFERROR(J83/I83-1,""))</f>
        <v/>
      </c>
      <c r="L83" s="52" t="str">
        <f aca="false">IF(OR(G83="",J83=""),"",IFERROR(G83/J83,""))</f>
        <v/>
      </c>
      <c r="M83" s="53" t="str">
        <f aca="false">IF(OR(J83="",'Site Daily'!E83=""),"",IFERROR(J83/'Site Daily'!E83*1000,""))</f>
        <v/>
      </c>
      <c r="N83" s="53" t="n">
        <f aca="false">I83*(Inputs!$E$17+(Inputs!$E$26-Inputs!$E$17)*E83)</f>
        <v>48.5604166666667</v>
      </c>
      <c r="O83" s="45"/>
      <c r="P83" s="7" t="str">
        <f aca="false">IF(OR(O83="",J83=""),"",IFERROR(O83/J83,""))</f>
        <v/>
      </c>
      <c r="Q83" s="46"/>
      <c r="R83" s="8" t="n">
        <f aca="false">N83*(Inputs!$E$16+(Inputs!$E$27-Inputs!$E$16)*E83)</f>
        <v>58758.1041666667</v>
      </c>
      <c r="S83" s="8" t="str">
        <f aca="false">IF(OR(O83="",Q83="",J83=""),"",IFERROR(O83*Q83/J83,""))</f>
        <v/>
      </c>
      <c r="T83" s="7" t="str">
        <f aca="false">IF(S83="","",IFERROR(S83/R83-1,""))</f>
        <v/>
      </c>
      <c r="U83" s="8" t="n">
        <f aca="false">C83*(R83-Inputs!$E$19)*Inputs!$E$28</f>
        <v>9886.41261109801</v>
      </c>
      <c r="V83" s="8" t="str">
        <f aca="false">IF(OR(C83=0,S83=""),"",(S83-Inputs!$E$19)*Inputs!$E$28)</f>
        <v/>
      </c>
      <c r="W83" s="45"/>
      <c r="X83" s="7" t="str">
        <f aca="false">IF(OR(W83="",G83=""),"",IFERROR(W83/G83,""))</f>
        <v/>
      </c>
      <c r="Y83" s="47"/>
    </row>
    <row r="84" customFormat="false" ht="15" hidden="false" customHeight="false" outlineLevel="0" collapsed="false">
      <c r="A84" s="44" t="n">
        <v>46373</v>
      </c>
      <c r="B84" s="20" t="str">
        <f aca="false">TEXT(A84,"ddd")</f>
        <v>Thu</v>
      </c>
      <c r="C84" s="6" t="n">
        <f aca="false">IF(A84&gt;=Inputs!$E$9,1,0)</f>
        <v>1</v>
      </c>
      <c r="D84" s="6" t="n">
        <f aca="false">IF(C84=1,A84-Inputs!$E$9+1,"")</f>
        <v>64</v>
      </c>
      <c r="E84" s="51" t="n">
        <f aca="false">IF(C84=1,MIN(1,D84/Inputs!$E$29),0)</f>
        <v>1</v>
      </c>
      <c r="F84" s="6" t="n">
        <f aca="false">Inputs!$E$13+(Inputs!$E$32-Inputs!$E$13)*E84</f>
        <v>1236.08333333333</v>
      </c>
      <c r="G84" s="45"/>
      <c r="H84" s="7" t="str">
        <f aca="false">IF(G84="","",IFERROR(G84/F84-1,""))</f>
        <v/>
      </c>
      <c r="I84" s="6" t="n">
        <f aca="false">Inputs!$E$14+(Inputs!$E$24-Inputs!$E$14)*E84</f>
        <v>882.916666666667</v>
      </c>
      <c r="J84" s="45"/>
      <c r="K84" s="7" t="str">
        <f aca="false">IF(J84="","",IFERROR(J84/I84-1,""))</f>
        <v/>
      </c>
      <c r="L84" s="52" t="str">
        <f aca="false">IF(OR(G84="",J84=""),"",IFERROR(G84/J84,""))</f>
        <v/>
      </c>
      <c r="M84" s="53" t="str">
        <f aca="false">IF(OR(J84="",'Site Daily'!E84=""),"",IFERROR(J84/'Site Daily'!E84*1000,""))</f>
        <v/>
      </c>
      <c r="N84" s="53" t="n">
        <f aca="false">I84*(Inputs!$E$17+(Inputs!$E$26-Inputs!$E$17)*E84)</f>
        <v>48.5604166666667</v>
      </c>
      <c r="O84" s="45"/>
      <c r="P84" s="7" t="str">
        <f aca="false">IF(OR(O84="",J84=""),"",IFERROR(O84/J84,""))</f>
        <v/>
      </c>
      <c r="Q84" s="46"/>
      <c r="R84" s="8" t="n">
        <f aca="false">N84*(Inputs!$E$16+(Inputs!$E$27-Inputs!$E$16)*E84)</f>
        <v>58758.1041666667</v>
      </c>
      <c r="S84" s="8" t="str">
        <f aca="false">IF(OR(O84="",Q84="",J84=""),"",IFERROR(O84*Q84/J84,""))</f>
        <v/>
      </c>
      <c r="T84" s="7" t="str">
        <f aca="false">IF(S84="","",IFERROR(S84/R84-1,""))</f>
        <v/>
      </c>
      <c r="U84" s="8" t="n">
        <f aca="false">C84*(R84-Inputs!$E$19)*Inputs!$E$28</f>
        <v>9886.41261109801</v>
      </c>
      <c r="V84" s="8" t="str">
        <f aca="false">IF(OR(C84=0,S84=""),"",(S84-Inputs!$E$19)*Inputs!$E$28)</f>
        <v/>
      </c>
      <c r="W84" s="45"/>
      <c r="X84" s="7" t="str">
        <f aca="false">IF(OR(W84="",G84=""),"",IFERROR(W84/G84,""))</f>
        <v/>
      </c>
      <c r="Y84" s="47"/>
    </row>
    <row r="85" customFormat="false" ht="15" hidden="false" customHeight="false" outlineLevel="0" collapsed="false">
      <c r="A85" s="44" t="n">
        <v>46374</v>
      </c>
      <c r="B85" s="20" t="str">
        <f aca="false">TEXT(A85,"ddd")</f>
        <v>Fri</v>
      </c>
      <c r="C85" s="6" t="n">
        <f aca="false">IF(A85&gt;=Inputs!$E$9,1,0)</f>
        <v>1</v>
      </c>
      <c r="D85" s="6" t="n">
        <f aca="false">IF(C85=1,A85-Inputs!$E$9+1,"")</f>
        <v>65</v>
      </c>
      <c r="E85" s="51" t="n">
        <f aca="false">IF(C85=1,MIN(1,D85/Inputs!$E$29),0)</f>
        <v>1</v>
      </c>
      <c r="F85" s="6" t="n">
        <f aca="false">Inputs!$E$13+(Inputs!$E$32-Inputs!$E$13)*E85</f>
        <v>1236.08333333333</v>
      </c>
      <c r="G85" s="45"/>
      <c r="H85" s="7" t="str">
        <f aca="false">IF(G85="","",IFERROR(G85/F85-1,""))</f>
        <v/>
      </c>
      <c r="I85" s="6" t="n">
        <f aca="false">Inputs!$E$14+(Inputs!$E$24-Inputs!$E$14)*E85</f>
        <v>882.916666666667</v>
      </c>
      <c r="J85" s="45"/>
      <c r="K85" s="7" t="str">
        <f aca="false">IF(J85="","",IFERROR(J85/I85-1,""))</f>
        <v/>
      </c>
      <c r="L85" s="52" t="str">
        <f aca="false">IF(OR(G85="",J85=""),"",IFERROR(G85/J85,""))</f>
        <v/>
      </c>
      <c r="M85" s="53" t="str">
        <f aca="false">IF(OR(J85="",'Site Daily'!E85=""),"",IFERROR(J85/'Site Daily'!E85*1000,""))</f>
        <v/>
      </c>
      <c r="N85" s="53" t="n">
        <f aca="false">I85*(Inputs!$E$17+(Inputs!$E$26-Inputs!$E$17)*E85)</f>
        <v>48.5604166666667</v>
      </c>
      <c r="O85" s="45"/>
      <c r="P85" s="7" t="str">
        <f aca="false">IF(OR(O85="",J85=""),"",IFERROR(O85/J85,""))</f>
        <v/>
      </c>
      <c r="Q85" s="46"/>
      <c r="R85" s="8" t="n">
        <f aca="false">N85*(Inputs!$E$16+(Inputs!$E$27-Inputs!$E$16)*E85)</f>
        <v>58758.1041666667</v>
      </c>
      <c r="S85" s="8" t="str">
        <f aca="false">IF(OR(O85="",Q85="",J85=""),"",IFERROR(O85*Q85/J85,""))</f>
        <v/>
      </c>
      <c r="T85" s="7" t="str">
        <f aca="false">IF(S85="","",IFERROR(S85/R85-1,""))</f>
        <v/>
      </c>
      <c r="U85" s="8" t="n">
        <f aca="false">C85*(R85-Inputs!$E$19)*Inputs!$E$28</f>
        <v>9886.41261109801</v>
      </c>
      <c r="V85" s="8" t="str">
        <f aca="false">IF(OR(C85=0,S85=""),"",(S85-Inputs!$E$19)*Inputs!$E$28)</f>
        <v/>
      </c>
      <c r="W85" s="45"/>
      <c r="X85" s="7" t="str">
        <f aca="false">IF(OR(W85="",G85=""),"",IFERROR(W85/G85,""))</f>
        <v/>
      </c>
      <c r="Y85" s="47"/>
    </row>
    <row r="86" customFormat="false" ht="15" hidden="false" customHeight="false" outlineLevel="0" collapsed="false">
      <c r="A86" s="44" t="n">
        <v>46375</v>
      </c>
      <c r="B86" s="20" t="str">
        <f aca="false">TEXT(A86,"ddd")</f>
        <v>Sat</v>
      </c>
      <c r="C86" s="6" t="n">
        <f aca="false">IF(A86&gt;=Inputs!$E$9,1,0)</f>
        <v>1</v>
      </c>
      <c r="D86" s="6" t="n">
        <f aca="false">IF(C86=1,A86-Inputs!$E$9+1,"")</f>
        <v>66</v>
      </c>
      <c r="E86" s="51" t="n">
        <f aca="false">IF(C86=1,MIN(1,D86/Inputs!$E$29),0)</f>
        <v>1</v>
      </c>
      <c r="F86" s="6" t="n">
        <f aca="false">Inputs!$E$13+(Inputs!$E$32-Inputs!$E$13)*E86</f>
        <v>1236.08333333333</v>
      </c>
      <c r="G86" s="45"/>
      <c r="H86" s="7" t="str">
        <f aca="false">IF(G86="","",IFERROR(G86/F86-1,""))</f>
        <v/>
      </c>
      <c r="I86" s="6" t="n">
        <f aca="false">Inputs!$E$14+(Inputs!$E$24-Inputs!$E$14)*E86</f>
        <v>882.916666666667</v>
      </c>
      <c r="J86" s="45"/>
      <c r="K86" s="7" t="str">
        <f aca="false">IF(J86="","",IFERROR(J86/I86-1,""))</f>
        <v/>
      </c>
      <c r="L86" s="52" t="str">
        <f aca="false">IF(OR(G86="",J86=""),"",IFERROR(G86/J86,""))</f>
        <v/>
      </c>
      <c r="M86" s="53" t="str">
        <f aca="false">IF(OR(J86="",'Site Daily'!E86=""),"",IFERROR(J86/'Site Daily'!E86*1000,""))</f>
        <v/>
      </c>
      <c r="N86" s="53" t="n">
        <f aca="false">I86*(Inputs!$E$17+(Inputs!$E$26-Inputs!$E$17)*E86)</f>
        <v>48.5604166666667</v>
      </c>
      <c r="O86" s="45"/>
      <c r="P86" s="7" t="str">
        <f aca="false">IF(OR(O86="",J86=""),"",IFERROR(O86/J86,""))</f>
        <v/>
      </c>
      <c r="Q86" s="46"/>
      <c r="R86" s="8" t="n">
        <f aca="false">N86*(Inputs!$E$16+(Inputs!$E$27-Inputs!$E$16)*E86)</f>
        <v>58758.1041666667</v>
      </c>
      <c r="S86" s="8" t="str">
        <f aca="false">IF(OR(O86="",Q86="",J86=""),"",IFERROR(O86*Q86/J86,""))</f>
        <v/>
      </c>
      <c r="T86" s="7" t="str">
        <f aca="false">IF(S86="","",IFERROR(S86/R86-1,""))</f>
        <v/>
      </c>
      <c r="U86" s="8" t="n">
        <f aca="false">C86*(R86-Inputs!$E$19)*Inputs!$E$28</f>
        <v>9886.41261109801</v>
      </c>
      <c r="V86" s="8" t="str">
        <f aca="false">IF(OR(C86=0,S86=""),"",(S86-Inputs!$E$19)*Inputs!$E$28)</f>
        <v/>
      </c>
      <c r="W86" s="45"/>
      <c r="X86" s="7" t="str">
        <f aca="false">IF(OR(W86="",G86=""),"",IFERROR(W86/G86,""))</f>
        <v/>
      </c>
      <c r="Y86" s="47"/>
    </row>
    <row r="87" customFormat="false" ht="15" hidden="false" customHeight="false" outlineLevel="0" collapsed="false">
      <c r="A87" s="44" t="n">
        <v>46376</v>
      </c>
      <c r="B87" s="20" t="str">
        <f aca="false">TEXT(A87,"ddd")</f>
        <v>Sun</v>
      </c>
      <c r="C87" s="6" t="n">
        <f aca="false">IF(A87&gt;=Inputs!$E$9,1,0)</f>
        <v>1</v>
      </c>
      <c r="D87" s="6" t="n">
        <f aca="false">IF(C87=1,A87-Inputs!$E$9+1,"")</f>
        <v>67</v>
      </c>
      <c r="E87" s="51" t="n">
        <f aca="false">IF(C87=1,MIN(1,D87/Inputs!$E$29),0)</f>
        <v>1</v>
      </c>
      <c r="F87" s="6" t="n">
        <f aca="false">Inputs!$E$13+(Inputs!$E$32-Inputs!$E$13)*E87</f>
        <v>1236.08333333333</v>
      </c>
      <c r="G87" s="45"/>
      <c r="H87" s="7" t="str">
        <f aca="false">IF(G87="","",IFERROR(G87/F87-1,""))</f>
        <v/>
      </c>
      <c r="I87" s="6" t="n">
        <f aca="false">Inputs!$E$14+(Inputs!$E$24-Inputs!$E$14)*E87</f>
        <v>882.916666666667</v>
      </c>
      <c r="J87" s="45"/>
      <c r="K87" s="7" t="str">
        <f aca="false">IF(J87="","",IFERROR(J87/I87-1,""))</f>
        <v/>
      </c>
      <c r="L87" s="52" t="str">
        <f aca="false">IF(OR(G87="",J87=""),"",IFERROR(G87/J87,""))</f>
        <v/>
      </c>
      <c r="M87" s="53" t="str">
        <f aca="false">IF(OR(J87="",'Site Daily'!E87=""),"",IFERROR(J87/'Site Daily'!E87*1000,""))</f>
        <v/>
      </c>
      <c r="N87" s="53" t="n">
        <f aca="false">I87*(Inputs!$E$17+(Inputs!$E$26-Inputs!$E$17)*E87)</f>
        <v>48.5604166666667</v>
      </c>
      <c r="O87" s="45"/>
      <c r="P87" s="7" t="str">
        <f aca="false">IF(OR(O87="",J87=""),"",IFERROR(O87/J87,""))</f>
        <v/>
      </c>
      <c r="Q87" s="46"/>
      <c r="R87" s="8" t="n">
        <f aca="false">N87*(Inputs!$E$16+(Inputs!$E$27-Inputs!$E$16)*E87)</f>
        <v>58758.1041666667</v>
      </c>
      <c r="S87" s="8" t="str">
        <f aca="false">IF(OR(O87="",Q87="",J87=""),"",IFERROR(O87*Q87/J87,""))</f>
        <v/>
      </c>
      <c r="T87" s="7" t="str">
        <f aca="false">IF(S87="","",IFERROR(S87/R87-1,""))</f>
        <v/>
      </c>
      <c r="U87" s="8" t="n">
        <f aca="false">C87*(R87-Inputs!$E$19)*Inputs!$E$28</f>
        <v>9886.41261109801</v>
      </c>
      <c r="V87" s="8" t="str">
        <f aca="false">IF(OR(C87=0,S87=""),"",(S87-Inputs!$E$19)*Inputs!$E$28)</f>
        <v/>
      </c>
      <c r="W87" s="45"/>
      <c r="X87" s="7" t="str">
        <f aca="false">IF(OR(W87="",G87=""),"",IFERROR(W87/G87,""))</f>
        <v/>
      </c>
      <c r="Y87" s="47"/>
    </row>
    <row r="88" customFormat="false" ht="15" hidden="false" customHeight="false" outlineLevel="0" collapsed="false">
      <c r="A88" s="44" t="n">
        <v>46377</v>
      </c>
      <c r="B88" s="20" t="str">
        <f aca="false">TEXT(A88,"ddd")</f>
        <v>Mon</v>
      </c>
      <c r="C88" s="6" t="n">
        <f aca="false">IF(A88&gt;=Inputs!$E$9,1,0)</f>
        <v>1</v>
      </c>
      <c r="D88" s="6" t="n">
        <f aca="false">IF(C88=1,A88-Inputs!$E$9+1,"")</f>
        <v>68</v>
      </c>
      <c r="E88" s="51" t="n">
        <f aca="false">IF(C88=1,MIN(1,D88/Inputs!$E$29),0)</f>
        <v>1</v>
      </c>
      <c r="F88" s="6" t="n">
        <f aca="false">Inputs!$E$13+(Inputs!$E$32-Inputs!$E$13)*E88</f>
        <v>1236.08333333333</v>
      </c>
      <c r="G88" s="45"/>
      <c r="H88" s="7" t="str">
        <f aca="false">IF(G88="","",IFERROR(G88/F88-1,""))</f>
        <v/>
      </c>
      <c r="I88" s="6" t="n">
        <f aca="false">Inputs!$E$14+(Inputs!$E$24-Inputs!$E$14)*E88</f>
        <v>882.916666666667</v>
      </c>
      <c r="J88" s="45"/>
      <c r="K88" s="7" t="str">
        <f aca="false">IF(J88="","",IFERROR(J88/I88-1,""))</f>
        <v/>
      </c>
      <c r="L88" s="52" t="str">
        <f aca="false">IF(OR(G88="",J88=""),"",IFERROR(G88/J88,""))</f>
        <v/>
      </c>
      <c r="M88" s="53" t="str">
        <f aca="false">IF(OR(J88="",'Site Daily'!E88=""),"",IFERROR(J88/'Site Daily'!E88*1000,""))</f>
        <v/>
      </c>
      <c r="N88" s="53" t="n">
        <f aca="false">I88*(Inputs!$E$17+(Inputs!$E$26-Inputs!$E$17)*E88)</f>
        <v>48.5604166666667</v>
      </c>
      <c r="O88" s="45"/>
      <c r="P88" s="7" t="str">
        <f aca="false">IF(OR(O88="",J88=""),"",IFERROR(O88/J88,""))</f>
        <v/>
      </c>
      <c r="Q88" s="46"/>
      <c r="R88" s="8" t="n">
        <f aca="false">N88*(Inputs!$E$16+(Inputs!$E$27-Inputs!$E$16)*E88)</f>
        <v>58758.1041666667</v>
      </c>
      <c r="S88" s="8" t="str">
        <f aca="false">IF(OR(O88="",Q88="",J88=""),"",IFERROR(O88*Q88/J88,""))</f>
        <v/>
      </c>
      <c r="T88" s="7" t="str">
        <f aca="false">IF(S88="","",IFERROR(S88/R88-1,""))</f>
        <v/>
      </c>
      <c r="U88" s="8" t="n">
        <f aca="false">C88*(R88-Inputs!$E$19)*Inputs!$E$28</f>
        <v>9886.41261109801</v>
      </c>
      <c r="V88" s="8" t="str">
        <f aca="false">IF(OR(C88=0,S88=""),"",(S88-Inputs!$E$19)*Inputs!$E$28)</f>
        <v/>
      </c>
      <c r="W88" s="45"/>
      <c r="X88" s="7" t="str">
        <f aca="false">IF(OR(W88="",G88=""),"",IFERROR(W88/G88,""))</f>
        <v/>
      </c>
      <c r="Y88" s="47"/>
    </row>
    <row r="89" customFormat="false" ht="15" hidden="false" customHeight="false" outlineLevel="0" collapsed="false">
      <c r="A89" s="44" t="n">
        <v>46378</v>
      </c>
      <c r="B89" s="20" t="str">
        <f aca="false">TEXT(A89,"ddd")</f>
        <v>Tue</v>
      </c>
      <c r="C89" s="6" t="n">
        <f aca="false">IF(A89&gt;=Inputs!$E$9,1,0)</f>
        <v>1</v>
      </c>
      <c r="D89" s="6" t="n">
        <f aca="false">IF(C89=1,A89-Inputs!$E$9+1,"")</f>
        <v>69</v>
      </c>
      <c r="E89" s="51" t="n">
        <f aca="false">IF(C89=1,MIN(1,D89/Inputs!$E$29),0)</f>
        <v>1</v>
      </c>
      <c r="F89" s="6" t="n">
        <f aca="false">Inputs!$E$13+(Inputs!$E$32-Inputs!$E$13)*E89</f>
        <v>1236.08333333333</v>
      </c>
      <c r="G89" s="45"/>
      <c r="H89" s="7" t="str">
        <f aca="false">IF(G89="","",IFERROR(G89/F89-1,""))</f>
        <v/>
      </c>
      <c r="I89" s="6" t="n">
        <f aca="false">Inputs!$E$14+(Inputs!$E$24-Inputs!$E$14)*E89</f>
        <v>882.916666666667</v>
      </c>
      <c r="J89" s="45"/>
      <c r="K89" s="7" t="str">
        <f aca="false">IF(J89="","",IFERROR(J89/I89-1,""))</f>
        <v/>
      </c>
      <c r="L89" s="52" t="str">
        <f aca="false">IF(OR(G89="",J89=""),"",IFERROR(G89/J89,""))</f>
        <v/>
      </c>
      <c r="M89" s="53" t="str">
        <f aca="false">IF(OR(J89="",'Site Daily'!E89=""),"",IFERROR(J89/'Site Daily'!E89*1000,""))</f>
        <v/>
      </c>
      <c r="N89" s="53" t="n">
        <f aca="false">I89*(Inputs!$E$17+(Inputs!$E$26-Inputs!$E$17)*E89)</f>
        <v>48.5604166666667</v>
      </c>
      <c r="O89" s="45"/>
      <c r="P89" s="7" t="str">
        <f aca="false">IF(OR(O89="",J89=""),"",IFERROR(O89/J89,""))</f>
        <v/>
      </c>
      <c r="Q89" s="46"/>
      <c r="R89" s="8" t="n">
        <f aca="false">N89*(Inputs!$E$16+(Inputs!$E$27-Inputs!$E$16)*E89)</f>
        <v>58758.1041666667</v>
      </c>
      <c r="S89" s="8" t="str">
        <f aca="false">IF(OR(O89="",Q89="",J89=""),"",IFERROR(O89*Q89/J89,""))</f>
        <v/>
      </c>
      <c r="T89" s="7" t="str">
        <f aca="false">IF(S89="","",IFERROR(S89/R89-1,""))</f>
        <v/>
      </c>
      <c r="U89" s="8" t="n">
        <f aca="false">C89*(R89-Inputs!$E$19)*Inputs!$E$28</f>
        <v>9886.41261109801</v>
      </c>
      <c r="V89" s="8" t="str">
        <f aca="false">IF(OR(C89=0,S89=""),"",(S89-Inputs!$E$19)*Inputs!$E$28)</f>
        <v/>
      </c>
      <c r="W89" s="45"/>
      <c r="X89" s="7" t="str">
        <f aca="false">IF(OR(W89="",G89=""),"",IFERROR(W89/G89,""))</f>
        <v/>
      </c>
      <c r="Y89" s="47"/>
    </row>
    <row r="90" customFormat="false" ht="15" hidden="false" customHeight="false" outlineLevel="0" collapsed="false">
      <c r="A90" s="44" t="n">
        <v>46379</v>
      </c>
      <c r="B90" s="20" t="str">
        <f aca="false">TEXT(A90,"ddd")</f>
        <v>Wed</v>
      </c>
      <c r="C90" s="6" t="n">
        <f aca="false">IF(A90&gt;=Inputs!$E$9,1,0)</f>
        <v>1</v>
      </c>
      <c r="D90" s="6" t="n">
        <f aca="false">IF(C90=1,A90-Inputs!$E$9+1,"")</f>
        <v>70</v>
      </c>
      <c r="E90" s="51" t="n">
        <f aca="false">IF(C90=1,MIN(1,D90/Inputs!$E$29),0)</f>
        <v>1</v>
      </c>
      <c r="F90" s="6" t="n">
        <f aca="false">Inputs!$E$13+(Inputs!$E$32-Inputs!$E$13)*E90</f>
        <v>1236.08333333333</v>
      </c>
      <c r="G90" s="45"/>
      <c r="H90" s="7" t="str">
        <f aca="false">IF(G90="","",IFERROR(G90/F90-1,""))</f>
        <v/>
      </c>
      <c r="I90" s="6" t="n">
        <f aca="false">Inputs!$E$14+(Inputs!$E$24-Inputs!$E$14)*E90</f>
        <v>882.916666666667</v>
      </c>
      <c r="J90" s="45"/>
      <c r="K90" s="7" t="str">
        <f aca="false">IF(J90="","",IFERROR(J90/I90-1,""))</f>
        <v/>
      </c>
      <c r="L90" s="52" t="str">
        <f aca="false">IF(OR(G90="",J90=""),"",IFERROR(G90/J90,""))</f>
        <v/>
      </c>
      <c r="M90" s="53" t="str">
        <f aca="false">IF(OR(J90="",'Site Daily'!E90=""),"",IFERROR(J90/'Site Daily'!E90*1000,""))</f>
        <v/>
      </c>
      <c r="N90" s="53" t="n">
        <f aca="false">I90*(Inputs!$E$17+(Inputs!$E$26-Inputs!$E$17)*E90)</f>
        <v>48.5604166666667</v>
      </c>
      <c r="O90" s="45"/>
      <c r="P90" s="7" t="str">
        <f aca="false">IF(OR(O90="",J90=""),"",IFERROR(O90/J90,""))</f>
        <v/>
      </c>
      <c r="Q90" s="46"/>
      <c r="R90" s="8" t="n">
        <f aca="false">N90*(Inputs!$E$16+(Inputs!$E$27-Inputs!$E$16)*E90)</f>
        <v>58758.1041666667</v>
      </c>
      <c r="S90" s="8" t="str">
        <f aca="false">IF(OR(O90="",Q90="",J90=""),"",IFERROR(O90*Q90/J90,""))</f>
        <v/>
      </c>
      <c r="T90" s="7" t="str">
        <f aca="false">IF(S90="","",IFERROR(S90/R90-1,""))</f>
        <v/>
      </c>
      <c r="U90" s="8" t="n">
        <f aca="false">C90*(R90-Inputs!$E$19)*Inputs!$E$28</f>
        <v>9886.41261109801</v>
      </c>
      <c r="V90" s="8" t="str">
        <f aca="false">IF(OR(C90=0,S90=""),"",(S90-Inputs!$E$19)*Inputs!$E$28)</f>
        <v/>
      </c>
      <c r="W90" s="45"/>
      <c r="X90" s="7" t="str">
        <f aca="false">IF(OR(W90="",G90=""),"",IFERROR(W90/G90,""))</f>
        <v/>
      </c>
      <c r="Y90" s="47"/>
    </row>
    <row r="91" customFormat="false" ht="15" hidden="false" customHeight="false" outlineLevel="0" collapsed="false">
      <c r="A91" s="44" t="n">
        <v>46380</v>
      </c>
      <c r="B91" s="20" t="str">
        <f aca="false">TEXT(A91,"ddd")</f>
        <v>Thu</v>
      </c>
      <c r="C91" s="6" t="n">
        <f aca="false">IF(A91&gt;=Inputs!$E$9,1,0)</f>
        <v>1</v>
      </c>
      <c r="D91" s="6" t="n">
        <f aca="false">IF(C91=1,A91-Inputs!$E$9+1,"")</f>
        <v>71</v>
      </c>
      <c r="E91" s="51" t="n">
        <f aca="false">IF(C91=1,MIN(1,D91/Inputs!$E$29),0)</f>
        <v>1</v>
      </c>
      <c r="F91" s="6" t="n">
        <f aca="false">Inputs!$E$13+(Inputs!$E$32-Inputs!$E$13)*E91</f>
        <v>1236.08333333333</v>
      </c>
      <c r="G91" s="45"/>
      <c r="H91" s="7" t="str">
        <f aca="false">IF(G91="","",IFERROR(G91/F91-1,""))</f>
        <v/>
      </c>
      <c r="I91" s="6" t="n">
        <f aca="false">Inputs!$E$14+(Inputs!$E$24-Inputs!$E$14)*E91</f>
        <v>882.916666666667</v>
      </c>
      <c r="J91" s="45"/>
      <c r="K91" s="7" t="str">
        <f aca="false">IF(J91="","",IFERROR(J91/I91-1,""))</f>
        <v/>
      </c>
      <c r="L91" s="52" t="str">
        <f aca="false">IF(OR(G91="",J91=""),"",IFERROR(G91/J91,""))</f>
        <v/>
      </c>
      <c r="M91" s="53" t="str">
        <f aca="false">IF(OR(J91="",'Site Daily'!E91=""),"",IFERROR(J91/'Site Daily'!E91*1000,""))</f>
        <v/>
      </c>
      <c r="N91" s="53" t="n">
        <f aca="false">I91*(Inputs!$E$17+(Inputs!$E$26-Inputs!$E$17)*E91)</f>
        <v>48.5604166666667</v>
      </c>
      <c r="O91" s="45"/>
      <c r="P91" s="7" t="str">
        <f aca="false">IF(OR(O91="",J91=""),"",IFERROR(O91/J91,""))</f>
        <v/>
      </c>
      <c r="Q91" s="46"/>
      <c r="R91" s="8" t="n">
        <f aca="false">N91*(Inputs!$E$16+(Inputs!$E$27-Inputs!$E$16)*E91)</f>
        <v>58758.1041666667</v>
      </c>
      <c r="S91" s="8" t="str">
        <f aca="false">IF(OR(O91="",Q91="",J91=""),"",IFERROR(O91*Q91/J91,""))</f>
        <v/>
      </c>
      <c r="T91" s="7" t="str">
        <f aca="false">IF(S91="","",IFERROR(S91/R91-1,""))</f>
        <v/>
      </c>
      <c r="U91" s="8" t="n">
        <f aca="false">C91*(R91-Inputs!$E$19)*Inputs!$E$28</f>
        <v>9886.41261109801</v>
      </c>
      <c r="V91" s="8" t="str">
        <f aca="false">IF(OR(C91=0,S91=""),"",(S91-Inputs!$E$19)*Inputs!$E$28)</f>
        <v/>
      </c>
      <c r="W91" s="45"/>
      <c r="X91" s="7" t="str">
        <f aca="false">IF(OR(W91="",G91=""),"",IFERROR(W91/G91,""))</f>
        <v/>
      </c>
      <c r="Y91" s="47"/>
    </row>
    <row r="92" customFormat="false" ht="15" hidden="false" customHeight="false" outlineLevel="0" collapsed="false">
      <c r="A92" s="44" t="n">
        <v>46381</v>
      </c>
      <c r="B92" s="20" t="str">
        <f aca="false">TEXT(A92,"ddd")</f>
        <v>Fri</v>
      </c>
      <c r="C92" s="6" t="n">
        <f aca="false">IF(A92&gt;=Inputs!$E$9,1,0)</f>
        <v>1</v>
      </c>
      <c r="D92" s="6" t="n">
        <f aca="false">IF(C92=1,A92-Inputs!$E$9+1,"")</f>
        <v>72</v>
      </c>
      <c r="E92" s="51" t="n">
        <f aca="false">IF(C92=1,MIN(1,D92/Inputs!$E$29),0)</f>
        <v>1</v>
      </c>
      <c r="F92" s="6" t="n">
        <f aca="false">Inputs!$E$13+(Inputs!$E$32-Inputs!$E$13)*E92</f>
        <v>1236.08333333333</v>
      </c>
      <c r="G92" s="45"/>
      <c r="H92" s="7" t="str">
        <f aca="false">IF(G92="","",IFERROR(G92/F92-1,""))</f>
        <v/>
      </c>
      <c r="I92" s="6" t="n">
        <f aca="false">Inputs!$E$14+(Inputs!$E$24-Inputs!$E$14)*E92</f>
        <v>882.916666666667</v>
      </c>
      <c r="J92" s="45"/>
      <c r="K92" s="7" t="str">
        <f aca="false">IF(J92="","",IFERROR(J92/I92-1,""))</f>
        <v/>
      </c>
      <c r="L92" s="52" t="str">
        <f aca="false">IF(OR(G92="",J92=""),"",IFERROR(G92/J92,""))</f>
        <v/>
      </c>
      <c r="M92" s="53" t="str">
        <f aca="false">IF(OR(J92="",'Site Daily'!E92=""),"",IFERROR(J92/'Site Daily'!E92*1000,""))</f>
        <v/>
      </c>
      <c r="N92" s="53" t="n">
        <f aca="false">I92*(Inputs!$E$17+(Inputs!$E$26-Inputs!$E$17)*E92)</f>
        <v>48.5604166666667</v>
      </c>
      <c r="O92" s="45"/>
      <c r="P92" s="7" t="str">
        <f aca="false">IF(OR(O92="",J92=""),"",IFERROR(O92/J92,""))</f>
        <v/>
      </c>
      <c r="Q92" s="46"/>
      <c r="R92" s="8" t="n">
        <f aca="false">N92*(Inputs!$E$16+(Inputs!$E$27-Inputs!$E$16)*E92)</f>
        <v>58758.1041666667</v>
      </c>
      <c r="S92" s="8" t="str">
        <f aca="false">IF(OR(O92="",Q92="",J92=""),"",IFERROR(O92*Q92/J92,""))</f>
        <v/>
      </c>
      <c r="T92" s="7" t="str">
        <f aca="false">IF(S92="","",IFERROR(S92/R92-1,""))</f>
        <v/>
      </c>
      <c r="U92" s="8" t="n">
        <f aca="false">C92*(R92-Inputs!$E$19)*Inputs!$E$28</f>
        <v>9886.41261109801</v>
      </c>
      <c r="V92" s="8" t="str">
        <f aca="false">IF(OR(C92=0,S92=""),"",(S92-Inputs!$E$19)*Inputs!$E$28)</f>
        <v/>
      </c>
      <c r="W92" s="45"/>
      <c r="X92" s="7" t="str">
        <f aca="false">IF(OR(W92="",G92=""),"",IFERROR(W92/G92,""))</f>
        <v/>
      </c>
      <c r="Y92" s="47"/>
    </row>
    <row r="93" customFormat="false" ht="15" hidden="false" customHeight="false" outlineLevel="0" collapsed="false">
      <c r="A93" s="44" t="n">
        <v>46382</v>
      </c>
      <c r="B93" s="20" t="str">
        <f aca="false">TEXT(A93,"ddd")</f>
        <v>Sat</v>
      </c>
      <c r="C93" s="6" t="n">
        <f aca="false">IF(A93&gt;=Inputs!$E$9,1,0)</f>
        <v>1</v>
      </c>
      <c r="D93" s="6" t="n">
        <f aca="false">IF(C93=1,A93-Inputs!$E$9+1,"")</f>
        <v>73</v>
      </c>
      <c r="E93" s="51" t="n">
        <f aca="false">IF(C93=1,MIN(1,D93/Inputs!$E$29),0)</f>
        <v>1</v>
      </c>
      <c r="F93" s="6" t="n">
        <f aca="false">Inputs!$E$13+(Inputs!$E$32-Inputs!$E$13)*E93</f>
        <v>1236.08333333333</v>
      </c>
      <c r="G93" s="45"/>
      <c r="H93" s="7" t="str">
        <f aca="false">IF(G93="","",IFERROR(G93/F93-1,""))</f>
        <v/>
      </c>
      <c r="I93" s="6" t="n">
        <f aca="false">Inputs!$E$14+(Inputs!$E$24-Inputs!$E$14)*E93</f>
        <v>882.916666666667</v>
      </c>
      <c r="J93" s="45"/>
      <c r="K93" s="7" t="str">
        <f aca="false">IF(J93="","",IFERROR(J93/I93-1,""))</f>
        <v/>
      </c>
      <c r="L93" s="52" t="str">
        <f aca="false">IF(OR(G93="",J93=""),"",IFERROR(G93/J93,""))</f>
        <v/>
      </c>
      <c r="M93" s="53" t="str">
        <f aca="false">IF(OR(J93="",'Site Daily'!E93=""),"",IFERROR(J93/'Site Daily'!E93*1000,""))</f>
        <v/>
      </c>
      <c r="N93" s="53" t="n">
        <f aca="false">I93*(Inputs!$E$17+(Inputs!$E$26-Inputs!$E$17)*E93)</f>
        <v>48.5604166666667</v>
      </c>
      <c r="O93" s="45"/>
      <c r="P93" s="7" t="str">
        <f aca="false">IF(OR(O93="",J93=""),"",IFERROR(O93/J93,""))</f>
        <v/>
      </c>
      <c r="Q93" s="46"/>
      <c r="R93" s="8" t="n">
        <f aca="false">N93*(Inputs!$E$16+(Inputs!$E$27-Inputs!$E$16)*E93)</f>
        <v>58758.1041666667</v>
      </c>
      <c r="S93" s="8" t="str">
        <f aca="false">IF(OR(O93="",Q93="",J93=""),"",IFERROR(O93*Q93/J93,""))</f>
        <v/>
      </c>
      <c r="T93" s="7" t="str">
        <f aca="false">IF(S93="","",IFERROR(S93/R93-1,""))</f>
        <v/>
      </c>
      <c r="U93" s="8" t="n">
        <f aca="false">C93*(R93-Inputs!$E$19)*Inputs!$E$28</f>
        <v>9886.41261109801</v>
      </c>
      <c r="V93" s="8" t="str">
        <f aca="false">IF(OR(C93=0,S93=""),"",(S93-Inputs!$E$19)*Inputs!$E$28)</f>
        <v/>
      </c>
      <c r="W93" s="45"/>
      <c r="X93" s="7" t="str">
        <f aca="false">IF(OR(W93="",G93=""),"",IFERROR(W93/G93,""))</f>
        <v/>
      </c>
      <c r="Y93" s="47"/>
    </row>
    <row r="94" customFormat="false" ht="15" hidden="false" customHeight="false" outlineLevel="0" collapsed="false">
      <c r="A94" s="44" t="n">
        <v>46383</v>
      </c>
      <c r="B94" s="20" t="str">
        <f aca="false">TEXT(A94,"ddd")</f>
        <v>Sun</v>
      </c>
      <c r="C94" s="6" t="n">
        <f aca="false">IF(A94&gt;=Inputs!$E$9,1,0)</f>
        <v>1</v>
      </c>
      <c r="D94" s="6" t="n">
        <f aca="false">IF(C94=1,A94-Inputs!$E$9+1,"")</f>
        <v>74</v>
      </c>
      <c r="E94" s="51" t="n">
        <f aca="false">IF(C94=1,MIN(1,D94/Inputs!$E$29),0)</f>
        <v>1</v>
      </c>
      <c r="F94" s="6" t="n">
        <f aca="false">Inputs!$E$13+(Inputs!$E$32-Inputs!$E$13)*E94</f>
        <v>1236.08333333333</v>
      </c>
      <c r="G94" s="45"/>
      <c r="H94" s="7" t="str">
        <f aca="false">IF(G94="","",IFERROR(G94/F94-1,""))</f>
        <v/>
      </c>
      <c r="I94" s="6" t="n">
        <f aca="false">Inputs!$E$14+(Inputs!$E$24-Inputs!$E$14)*E94</f>
        <v>882.916666666667</v>
      </c>
      <c r="J94" s="45"/>
      <c r="K94" s="7" t="str">
        <f aca="false">IF(J94="","",IFERROR(J94/I94-1,""))</f>
        <v/>
      </c>
      <c r="L94" s="52" t="str">
        <f aca="false">IF(OR(G94="",J94=""),"",IFERROR(G94/J94,""))</f>
        <v/>
      </c>
      <c r="M94" s="53" t="str">
        <f aca="false">IF(OR(J94="",'Site Daily'!E94=""),"",IFERROR(J94/'Site Daily'!E94*1000,""))</f>
        <v/>
      </c>
      <c r="N94" s="53" t="n">
        <f aca="false">I94*(Inputs!$E$17+(Inputs!$E$26-Inputs!$E$17)*E94)</f>
        <v>48.5604166666667</v>
      </c>
      <c r="O94" s="45"/>
      <c r="P94" s="7" t="str">
        <f aca="false">IF(OR(O94="",J94=""),"",IFERROR(O94/J94,""))</f>
        <v/>
      </c>
      <c r="Q94" s="46"/>
      <c r="R94" s="8" t="n">
        <f aca="false">N94*(Inputs!$E$16+(Inputs!$E$27-Inputs!$E$16)*E94)</f>
        <v>58758.1041666667</v>
      </c>
      <c r="S94" s="8" t="str">
        <f aca="false">IF(OR(O94="",Q94="",J94=""),"",IFERROR(O94*Q94/J94,""))</f>
        <v/>
      </c>
      <c r="T94" s="7" t="str">
        <f aca="false">IF(S94="","",IFERROR(S94/R94-1,""))</f>
        <v/>
      </c>
      <c r="U94" s="8" t="n">
        <f aca="false">C94*(R94-Inputs!$E$19)*Inputs!$E$28</f>
        <v>9886.41261109801</v>
      </c>
      <c r="V94" s="8" t="str">
        <f aca="false">IF(OR(C94=0,S94=""),"",(S94-Inputs!$E$19)*Inputs!$E$28)</f>
        <v/>
      </c>
      <c r="W94" s="45"/>
      <c r="X94" s="7" t="str">
        <f aca="false">IF(OR(W94="",G94=""),"",IFERROR(W94/G94,""))</f>
        <v/>
      </c>
      <c r="Y94" s="47"/>
    </row>
    <row r="95" customFormat="false" ht="15" hidden="false" customHeight="false" outlineLevel="0" collapsed="false">
      <c r="A95" s="44" t="n">
        <v>46384</v>
      </c>
      <c r="B95" s="20" t="str">
        <f aca="false">TEXT(A95,"ddd")</f>
        <v>Mon</v>
      </c>
      <c r="C95" s="6" t="n">
        <f aca="false">IF(A95&gt;=Inputs!$E$9,1,0)</f>
        <v>1</v>
      </c>
      <c r="D95" s="6" t="n">
        <f aca="false">IF(C95=1,A95-Inputs!$E$9+1,"")</f>
        <v>75</v>
      </c>
      <c r="E95" s="51" t="n">
        <f aca="false">IF(C95=1,MIN(1,D95/Inputs!$E$29),0)</f>
        <v>1</v>
      </c>
      <c r="F95" s="6" t="n">
        <f aca="false">Inputs!$E$13+(Inputs!$E$32-Inputs!$E$13)*E95</f>
        <v>1236.08333333333</v>
      </c>
      <c r="G95" s="45"/>
      <c r="H95" s="7" t="str">
        <f aca="false">IF(G95="","",IFERROR(G95/F95-1,""))</f>
        <v/>
      </c>
      <c r="I95" s="6" t="n">
        <f aca="false">Inputs!$E$14+(Inputs!$E$24-Inputs!$E$14)*E95</f>
        <v>882.916666666667</v>
      </c>
      <c r="J95" s="45"/>
      <c r="K95" s="7" t="str">
        <f aca="false">IF(J95="","",IFERROR(J95/I95-1,""))</f>
        <v/>
      </c>
      <c r="L95" s="52" t="str">
        <f aca="false">IF(OR(G95="",J95=""),"",IFERROR(G95/J95,""))</f>
        <v/>
      </c>
      <c r="M95" s="53" t="str">
        <f aca="false">IF(OR(J95="",'Site Daily'!E95=""),"",IFERROR(J95/'Site Daily'!E95*1000,""))</f>
        <v/>
      </c>
      <c r="N95" s="53" t="n">
        <f aca="false">I95*(Inputs!$E$17+(Inputs!$E$26-Inputs!$E$17)*E95)</f>
        <v>48.5604166666667</v>
      </c>
      <c r="O95" s="45"/>
      <c r="P95" s="7" t="str">
        <f aca="false">IF(OR(O95="",J95=""),"",IFERROR(O95/J95,""))</f>
        <v/>
      </c>
      <c r="Q95" s="46"/>
      <c r="R95" s="8" t="n">
        <f aca="false">N95*(Inputs!$E$16+(Inputs!$E$27-Inputs!$E$16)*E95)</f>
        <v>58758.1041666667</v>
      </c>
      <c r="S95" s="8" t="str">
        <f aca="false">IF(OR(O95="",Q95="",J95=""),"",IFERROR(O95*Q95/J95,""))</f>
        <v/>
      </c>
      <c r="T95" s="7" t="str">
        <f aca="false">IF(S95="","",IFERROR(S95/R95-1,""))</f>
        <v/>
      </c>
      <c r="U95" s="8" t="n">
        <f aca="false">C95*(R95-Inputs!$E$19)*Inputs!$E$28</f>
        <v>9886.41261109801</v>
      </c>
      <c r="V95" s="8" t="str">
        <f aca="false">IF(OR(C95=0,S95=""),"",(S95-Inputs!$E$19)*Inputs!$E$28)</f>
        <v/>
      </c>
      <c r="W95" s="45"/>
      <c r="X95" s="7" t="str">
        <f aca="false">IF(OR(W95="",G95=""),"",IFERROR(W95/G95,""))</f>
        <v/>
      </c>
      <c r="Y95" s="47"/>
    </row>
    <row r="96" customFormat="false" ht="15" hidden="false" customHeight="false" outlineLevel="0" collapsed="false">
      <c r="A96" s="44" t="n">
        <v>46385</v>
      </c>
      <c r="B96" s="20" t="str">
        <f aca="false">TEXT(A96,"ddd")</f>
        <v>Tue</v>
      </c>
      <c r="C96" s="6" t="n">
        <f aca="false">IF(A96&gt;=Inputs!$E$9,1,0)</f>
        <v>1</v>
      </c>
      <c r="D96" s="6" t="n">
        <f aca="false">IF(C96=1,A96-Inputs!$E$9+1,"")</f>
        <v>76</v>
      </c>
      <c r="E96" s="51" t="n">
        <f aca="false">IF(C96=1,MIN(1,D96/Inputs!$E$29),0)</f>
        <v>1</v>
      </c>
      <c r="F96" s="6" t="n">
        <f aca="false">Inputs!$E$13+(Inputs!$E$32-Inputs!$E$13)*E96</f>
        <v>1236.08333333333</v>
      </c>
      <c r="G96" s="45"/>
      <c r="H96" s="7" t="str">
        <f aca="false">IF(G96="","",IFERROR(G96/F96-1,""))</f>
        <v/>
      </c>
      <c r="I96" s="6" t="n">
        <f aca="false">Inputs!$E$14+(Inputs!$E$24-Inputs!$E$14)*E96</f>
        <v>882.916666666667</v>
      </c>
      <c r="J96" s="45"/>
      <c r="K96" s="7" t="str">
        <f aca="false">IF(J96="","",IFERROR(J96/I96-1,""))</f>
        <v/>
      </c>
      <c r="L96" s="52" t="str">
        <f aca="false">IF(OR(G96="",J96=""),"",IFERROR(G96/J96,""))</f>
        <v/>
      </c>
      <c r="M96" s="53" t="str">
        <f aca="false">IF(OR(J96="",'Site Daily'!E96=""),"",IFERROR(J96/'Site Daily'!E96*1000,""))</f>
        <v/>
      </c>
      <c r="N96" s="53" t="n">
        <f aca="false">I96*(Inputs!$E$17+(Inputs!$E$26-Inputs!$E$17)*E96)</f>
        <v>48.5604166666667</v>
      </c>
      <c r="O96" s="45"/>
      <c r="P96" s="7" t="str">
        <f aca="false">IF(OR(O96="",J96=""),"",IFERROR(O96/J96,""))</f>
        <v/>
      </c>
      <c r="Q96" s="46"/>
      <c r="R96" s="8" t="n">
        <f aca="false">N96*(Inputs!$E$16+(Inputs!$E$27-Inputs!$E$16)*E96)</f>
        <v>58758.1041666667</v>
      </c>
      <c r="S96" s="8" t="str">
        <f aca="false">IF(OR(O96="",Q96="",J96=""),"",IFERROR(O96*Q96/J96,""))</f>
        <v/>
      </c>
      <c r="T96" s="7" t="str">
        <f aca="false">IF(S96="","",IFERROR(S96/R96-1,""))</f>
        <v/>
      </c>
      <c r="U96" s="8" t="n">
        <f aca="false">C96*(R96-Inputs!$E$19)*Inputs!$E$28</f>
        <v>9886.41261109801</v>
      </c>
      <c r="V96" s="8" t="str">
        <f aca="false">IF(OR(C96=0,S96=""),"",(S96-Inputs!$E$19)*Inputs!$E$28)</f>
        <v/>
      </c>
      <c r="W96" s="45"/>
      <c r="X96" s="7" t="str">
        <f aca="false">IF(OR(W96="",G96=""),"",IFERROR(W96/G96,""))</f>
        <v/>
      </c>
      <c r="Y96" s="47"/>
    </row>
    <row r="97" customFormat="false" ht="15" hidden="false" customHeight="false" outlineLevel="0" collapsed="false">
      <c r="A97" s="44" t="n">
        <v>46386</v>
      </c>
      <c r="B97" s="20" t="str">
        <f aca="false">TEXT(A97,"ddd")</f>
        <v>Wed</v>
      </c>
      <c r="C97" s="6" t="n">
        <f aca="false">IF(A97&gt;=Inputs!$E$9,1,0)</f>
        <v>1</v>
      </c>
      <c r="D97" s="6" t="n">
        <f aca="false">IF(C97=1,A97-Inputs!$E$9+1,"")</f>
        <v>77</v>
      </c>
      <c r="E97" s="51" t="n">
        <f aca="false">IF(C97=1,MIN(1,D97/Inputs!$E$29),0)</f>
        <v>1</v>
      </c>
      <c r="F97" s="6" t="n">
        <f aca="false">Inputs!$E$13+(Inputs!$E$32-Inputs!$E$13)*E97</f>
        <v>1236.08333333333</v>
      </c>
      <c r="G97" s="45"/>
      <c r="H97" s="7" t="str">
        <f aca="false">IF(G97="","",IFERROR(G97/F97-1,""))</f>
        <v/>
      </c>
      <c r="I97" s="6" t="n">
        <f aca="false">Inputs!$E$14+(Inputs!$E$24-Inputs!$E$14)*E97</f>
        <v>882.916666666667</v>
      </c>
      <c r="J97" s="45"/>
      <c r="K97" s="7" t="str">
        <f aca="false">IF(J97="","",IFERROR(J97/I97-1,""))</f>
        <v/>
      </c>
      <c r="L97" s="52" t="str">
        <f aca="false">IF(OR(G97="",J97=""),"",IFERROR(G97/J97,""))</f>
        <v/>
      </c>
      <c r="M97" s="53" t="str">
        <f aca="false">IF(OR(J97="",'Site Daily'!E97=""),"",IFERROR(J97/'Site Daily'!E97*1000,""))</f>
        <v/>
      </c>
      <c r="N97" s="53" t="n">
        <f aca="false">I97*(Inputs!$E$17+(Inputs!$E$26-Inputs!$E$17)*E97)</f>
        <v>48.5604166666667</v>
      </c>
      <c r="O97" s="45"/>
      <c r="P97" s="7" t="str">
        <f aca="false">IF(OR(O97="",J97=""),"",IFERROR(O97/J97,""))</f>
        <v/>
      </c>
      <c r="Q97" s="46"/>
      <c r="R97" s="8" t="n">
        <f aca="false">N97*(Inputs!$E$16+(Inputs!$E$27-Inputs!$E$16)*E97)</f>
        <v>58758.1041666667</v>
      </c>
      <c r="S97" s="8" t="str">
        <f aca="false">IF(OR(O97="",Q97="",J97=""),"",IFERROR(O97*Q97/J97,""))</f>
        <v/>
      </c>
      <c r="T97" s="7" t="str">
        <f aca="false">IF(S97="","",IFERROR(S97/R97-1,""))</f>
        <v/>
      </c>
      <c r="U97" s="8" t="n">
        <f aca="false">C97*(R97-Inputs!$E$19)*Inputs!$E$28</f>
        <v>9886.41261109801</v>
      </c>
      <c r="V97" s="8" t="str">
        <f aca="false">IF(OR(C97=0,S97=""),"",(S97-Inputs!$E$19)*Inputs!$E$28)</f>
        <v/>
      </c>
      <c r="W97" s="45"/>
      <c r="X97" s="7" t="str">
        <f aca="false">IF(OR(W97="",G97=""),"",IFERROR(W97/G97,""))</f>
        <v/>
      </c>
      <c r="Y97" s="47"/>
    </row>
    <row r="98" customFormat="false" ht="15" hidden="false" customHeight="false" outlineLevel="0" collapsed="false">
      <c r="A98" s="44" t="n">
        <v>46387</v>
      </c>
      <c r="B98" s="20" t="str">
        <f aca="false">TEXT(A98,"ddd")</f>
        <v>Thu</v>
      </c>
      <c r="C98" s="6" t="n">
        <f aca="false">IF(A98&gt;=Inputs!$E$9,1,0)</f>
        <v>1</v>
      </c>
      <c r="D98" s="6" t="n">
        <f aca="false">IF(C98=1,A98-Inputs!$E$9+1,"")</f>
        <v>78</v>
      </c>
      <c r="E98" s="51" t="n">
        <f aca="false">IF(C98=1,MIN(1,D98/Inputs!$E$29),0)</f>
        <v>1</v>
      </c>
      <c r="F98" s="6" t="n">
        <f aca="false">Inputs!$E$13+(Inputs!$E$32-Inputs!$E$13)*E98</f>
        <v>1236.08333333333</v>
      </c>
      <c r="G98" s="45"/>
      <c r="H98" s="7" t="str">
        <f aca="false">IF(G98="","",IFERROR(G98/F98-1,""))</f>
        <v/>
      </c>
      <c r="I98" s="6" t="n">
        <f aca="false">Inputs!$E$14+(Inputs!$E$24-Inputs!$E$14)*E98</f>
        <v>882.916666666667</v>
      </c>
      <c r="J98" s="45"/>
      <c r="K98" s="7" t="str">
        <f aca="false">IF(J98="","",IFERROR(J98/I98-1,""))</f>
        <v/>
      </c>
      <c r="L98" s="52" t="str">
        <f aca="false">IF(OR(G98="",J98=""),"",IFERROR(G98/J98,""))</f>
        <v/>
      </c>
      <c r="M98" s="53" t="str">
        <f aca="false">IF(OR(J98="",'Site Daily'!E98=""),"",IFERROR(J98/'Site Daily'!E98*1000,""))</f>
        <v/>
      </c>
      <c r="N98" s="53" t="n">
        <f aca="false">I98*(Inputs!$E$17+(Inputs!$E$26-Inputs!$E$17)*E98)</f>
        <v>48.5604166666667</v>
      </c>
      <c r="O98" s="45"/>
      <c r="P98" s="7" t="str">
        <f aca="false">IF(OR(O98="",J98=""),"",IFERROR(O98/J98,""))</f>
        <v/>
      </c>
      <c r="Q98" s="46"/>
      <c r="R98" s="8" t="n">
        <f aca="false">N98*(Inputs!$E$16+(Inputs!$E$27-Inputs!$E$16)*E98)</f>
        <v>58758.1041666667</v>
      </c>
      <c r="S98" s="8" t="str">
        <f aca="false">IF(OR(O98="",Q98="",J98=""),"",IFERROR(O98*Q98/J98,""))</f>
        <v/>
      </c>
      <c r="T98" s="7" t="str">
        <f aca="false">IF(S98="","",IFERROR(S98/R98-1,""))</f>
        <v/>
      </c>
      <c r="U98" s="8" t="n">
        <f aca="false">C98*(R98-Inputs!$E$19)*Inputs!$E$28</f>
        <v>9886.41261109801</v>
      </c>
      <c r="V98" s="8" t="str">
        <f aca="false">IF(OR(C98=0,S98=""),"",(S98-Inputs!$E$19)*Inputs!$E$28)</f>
        <v/>
      </c>
      <c r="W98" s="45"/>
      <c r="X98" s="7" t="str">
        <f aca="false">IF(OR(W98="",G98=""),"",IFERROR(W98/G98,""))</f>
        <v/>
      </c>
      <c r="Y98" s="47"/>
    </row>
  </sheetData>
  <mergeCells count="6">
    <mergeCell ref="A4:E4"/>
    <mergeCell ref="F4:H4"/>
    <mergeCell ref="I4:M4"/>
    <mergeCell ref="N4:P4"/>
    <mergeCell ref="Q4:V4"/>
    <mergeCell ref="W4:Y4"/>
  </mergeCells>
  <conditionalFormatting sqref="A6:E98">
    <cfRule type="expression" priority="2" aboveAverage="0" equalAverage="0" bottom="0" percent="0" rank="0" text="" dxfId="3">
      <formula>$C6=1</formula>
    </cfRule>
  </conditionalFormatting>
  <conditionalFormatting sqref="H6:H98">
    <cfRule type="expression" priority="3" aboveAverage="0" equalAverage="0" bottom="0" percent="0" rank="0" text="" dxfId="4">
      <formula>AND(ISNUMBER(H6),H6&lt;-0.1)</formula>
    </cfRule>
    <cfRule type="expression" priority="4" aboveAverage="0" equalAverage="0" bottom="0" percent="0" rank="0" text="" dxfId="5">
      <formula>AND(ISNUMBER(H6),H6&gt;=0)</formula>
    </cfRule>
  </conditionalFormatting>
  <conditionalFormatting sqref="K6:K98">
    <cfRule type="expression" priority="5" aboveAverage="0" equalAverage="0" bottom="0" percent="0" rank="0" text="" dxfId="4">
      <formula>AND(ISNUMBER(K6),K6&lt;-0.1)</formula>
    </cfRule>
    <cfRule type="expression" priority="6" aboveAverage="0" equalAverage="0" bottom="0" percent="0" rank="0" text="" dxfId="5">
      <formula>AND(ISNUMBER(K6),K6&gt;=0)</formula>
    </cfRule>
  </conditionalFormatting>
  <conditionalFormatting sqref="T6:T98">
    <cfRule type="expression" priority="7" aboveAverage="0" equalAverage="0" bottom="0" percent="0" rank="0" text="" dxfId="4">
      <formula>AND(ISNUMBER(T6),T6&lt;-0.1)</formula>
    </cfRule>
    <cfRule type="expression" priority="8" aboveAverage="0" equalAverage="0" bottom="0" percent="0" rank="0" text="" dxfId="5">
      <formula>AND(ISNUMBER(T6),T6&gt;=0)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18" min="3" style="0" width="14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45" hidden="false" customHeight="true" outlineLevel="0" collapsed="false">
      <c r="A4" s="3" t="s">
        <v>185</v>
      </c>
      <c r="B4" s="3" t="s">
        <v>186</v>
      </c>
      <c r="C4" s="3" t="s">
        <v>187</v>
      </c>
      <c r="D4" s="3" t="s">
        <v>188</v>
      </c>
      <c r="E4" s="3" t="s">
        <v>189</v>
      </c>
      <c r="F4" s="3" t="s">
        <v>190</v>
      </c>
      <c r="G4" s="3" t="s">
        <v>191</v>
      </c>
      <c r="H4" s="3" t="s">
        <v>192</v>
      </c>
      <c r="I4" s="3" t="s">
        <v>193</v>
      </c>
      <c r="J4" s="3" t="s">
        <v>194</v>
      </c>
      <c r="K4" s="3" t="s">
        <v>195</v>
      </c>
      <c r="L4" s="3" t="s">
        <v>196</v>
      </c>
      <c r="M4" s="3" t="s">
        <v>197</v>
      </c>
      <c r="N4" s="3" t="s">
        <v>198</v>
      </c>
      <c r="O4" s="3" t="s">
        <v>199</v>
      </c>
      <c r="P4" s="3" t="s">
        <v>200</v>
      </c>
      <c r="Q4" s="3" t="s">
        <v>201</v>
      </c>
      <c r="R4" s="3" t="s">
        <v>202</v>
      </c>
    </row>
    <row r="5" customFormat="false" ht="15" hidden="false" customHeight="false" outlineLevel="0" collapsed="false">
      <c r="A5" s="44" t="n">
        <v>46293</v>
      </c>
      <c r="B5" s="44" t="n">
        <f aca="false">A5+6</f>
        <v>46299</v>
      </c>
      <c r="C5" s="6" t="n">
        <f aca="false">SUMIFS('BYS Daily'!$F$6:$F$98,'BYS Daily'!$A$6:$A$98,"&gt;="&amp;$A5,'BYS Daily'!$A$6:$A$98,"&lt;="&amp;$B5)</f>
        <v>2832.5</v>
      </c>
      <c r="D5" s="6" t="n">
        <f aca="false">SUMIFS('BYS Daily'!$G$6:$G$98,'BYS Daily'!$A$6:$A$98,"&gt;="&amp;$A5,'BYS Daily'!$A$6:$A$98,"&lt;="&amp;$B5)</f>
        <v>2876</v>
      </c>
      <c r="E5" s="8" t="n">
        <f aca="false">SUMIFS('BYS Daily'!$U$6:$U$98,'BYS Daily'!$A$6:$A$98,"&gt;="&amp;$A5,'BYS Daily'!$A$6:$A$98,"&lt;="&amp;$B5)</f>
        <v>0</v>
      </c>
      <c r="F5" s="8" t="n">
        <f aca="false">SUMIFS('BYS Daily'!$V$6:$V$98,'BYS Daily'!$A$6:$A$98,"&gt;="&amp;$A5,'BYS Daily'!$A$6:$A$98,"&lt;="&amp;$B5)</f>
        <v>0</v>
      </c>
      <c r="G5" s="6" t="n">
        <f aca="false">SUMIFS('CYP Daily'!$F$6:$F$98,'CYP Daily'!$A$6:$A$98,"&gt;="&amp;$A5,'CYP Daily'!$A$6:$A$98,"&lt;="&amp;$B5)</f>
        <v>0</v>
      </c>
      <c r="H5" s="6" t="n">
        <f aca="false">SUMIFS('CYP Daily'!$G$6:$G$98,'CYP Daily'!$A$6:$A$98,"&gt;="&amp;$A5,'CYP Daily'!$A$6:$A$98,"&lt;="&amp;$B5)</f>
        <v>0</v>
      </c>
      <c r="I5" s="8" t="n">
        <f aca="false">SUMIFS('CYP Daily'!$U$6:$U$98,'CYP Daily'!$A$6:$A$98,"&gt;="&amp;$A5,'CYP Daily'!$A$6:$A$98,"&lt;="&amp;$B5)</f>
        <v>0</v>
      </c>
      <c r="J5" s="8" t="n">
        <f aca="false">SUMIFS('CYP Daily'!$V$6:$V$98,'CYP Daily'!$A$6:$A$98,"&gt;="&amp;$A5,'CYP Daily'!$A$6:$A$98,"&lt;="&amp;$B5)</f>
        <v>0</v>
      </c>
      <c r="K5" s="6" t="n">
        <f aca="false">SUMIFS('YMAL Daily'!$F$6:$F$98,'YMAL Daily'!$A$6:$A$98,"&gt;="&amp;$A5,'YMAL Daily'!$A$6:$A$98,"&lt;="&amp;$B5)</f>
        <v>4731.66666666667</v>
      </c>
      <c r="L5" s="6" t="n">
        <f aca="false">SUMIFS('YMAL Daily'!$G$6:$G$98,'YMAL Daily'!$A$6:$A$98,"&gt;="&amp;$A5,'YMAL Daily'!$A$6:$A$98,"&lt;="&amp;$B5)</f>
        <v>5023</v>
      </c>
      <c r="M5" s="8" t="n">
        <f aca="false">SUMIFS('YMAL Daily'!$U$6:$U$98,'YMAL Daily'!$A$6:$A$98,"&gt;="&amp;$A5,'YMAL Daily'!$A$6:$A$98,"&lt;="&amp;$B5)</f>
        <v>0</v>
      </c>
      <c r="N5" s="8" t="n">
        <f aca="false">SUMIFS('YMAL Daily'!$V$6:$V$98,'YMAL Daily'!$A$6:$A$98,"&gt;="&amp;$A5,'YMAL Daily'!$A$6:$A$98,"&lt;="&amp;$B5)</f>
        <v>0</v>
      </c>
      <c r="O5" s="8" t="n">
        <f aca="false">E5+I5+M5</f>
        <v>0</v>
      </c>
      <c r="P5" s="8" t="n">
        <f aca="false">F5+J5+N5</f>
        <v>0</v>
      </c>
      <c r="Q5" s="8" t="n">
        <f aca="false">SUMIFS('Site Daily'!$H$6:$H$98,'Site Daily'!$A$6:$A$98,"&gt;="&amp;$A5,'Site Daily'!$A$6:$A$98,"&lt;="&amp;$B5)</f>
        <v>14010241.65</v>
      </c>
      <c r="R5" s="8" t="n">
        <f aca="false">IFERROR(SUMIFS('Site Daily'!$H$6:$H$98,'Site Daily'!$A$6:$A$98,"&gt;="&amp;$A5,'Site Daily'!$A$6:$A$98,"&lt;="&amp;$B5)/SUMIFS('Site Daily'!$G$6:$G$98,'Site Daily'!$A$6:$A$98,"&gt;="&amp;$A5,'Site Daily'!$A$6:$A$98,"&lt;="&amp;$B5),0)</f>
        <v>2022.84748050823</v>
      </c>
    </row>
    <row r="6" customFormat="false" ht="15" hidden="false" customHeight="false" outlineLevel="0" collapsed="false">
      <c r="A6" s="44" t="n">
        <v>46300</v>
      </c>
      <c r="B6" s="44" t="n">
        <f aca="false">A6+6</f>
        <v>46306</v>
      </c>
      <c r="C6" s="6" t="n">
        <f aca="false">SUMIFS('BYS Daily'!$F$6:$F$98,'BYS Daily'!$A$6:$A$98,"&gt;="&amp;$A6,'BYS Daily'!$A$6:$A$98,"&lt;="&amp;$B6)</f>
        <v>6498.33333333333</v>
      </c>
      <c r="D6" s="6" t="n">
        <f aca="false">SUMIFS('BYS Daily'!$G$6:$G$98,'BYS Daily'!$A$6:$A$98,"&gt;="&amp;$A6,'BYS Daily'!$A$6:$A$98,"&lt;="&amp;$B6)</f>
        <v>523</v>
      </c>
      <c r="E6" s="8" t="n">
        <f aca="false">SUMIFS('BYS Daily'!$U$6:$U$98,'BYS Daily'!$A$6:$A$98,"&gt;="&amp;$A6,'BYS Daily'!$A$6:$A$98,"&lt;="&amp;$B6)</f>
        <v>127706.579450611</v>
      </c>
      <c r="F6" s="8" t="n">
        <f aca="false">SUMIFS('BYS Daily'!$V$6:$V$98,'BYS Daily'!$A$6:$A$98,"&gt;="&amp;$A6,'BYS Daily'!$A$6:$A$98,"&lt;="&amp;$B6)</f>
        <v>0</v>
      </c>
      <c r="G6" s="6" t="n">
        <f aca="false">SUMIFS('CYP Daily'!$F$6:$F$98,'CYP Daily'!$A$6:$A$98,"&gt;="&amp;$A6,'CYP Daily'!$A$6:$A$98,"&lt;="&amp;$B6)</f>
        <v>600</v>
      </c>
      <c r="H6" s="6" t="n">
        <f aca="false">SUMIFS('CYP Daily'!$G$6:$G$98,'CYP Daily'!$A$6:$A$98,"&gt;="&amp;$A6,'CYP Daily'!$A$6:$A$98,"&lt;="&amp;$B6)</f>
        <v>0</v>
      </c>
      <c r="I6" s="8" t="n">
        <f aca="false">SUMIFS('CYP Daily'!$U$6:$U$98,'CYP Daily'!$A$6:$A$98,"&gt;="&amp;$A6,'CYP Daily'!$A$6:$A$98,"&lt;="&amp;$B6)</f>
        <v>16800</v>
      </c>
      <c r="J6" s="8" t="n">
        <f aca="false">SUMIFS('CYP Daily'!$V$6:$V$98,'CYP Daily'!$A$6:$A$98,"&gt;="&amp;$A6,'CYP Daily'!$A$6:$A$98,"&lt;="&amp;$B6)</f>
        <v>0</v>
      </c>
      <c r="K6" s="6" t="n">
        <f aca="false">SUMIFS('YMAL Daily'!$F$6:$F$98,'YMAL Daily'!$A$6:$A$98,"&gt;="&amp;$A6,'YMAL Daily'!$A$6:$A$98,"&lt;="&amp;$B6)</f>
        <v>6624.33333333333</v>
      </c>
      <c r="L6" s="6" t="n">
        <f aca="false">SUMIFS('YMAL Daily'!$G$6:$G$98,'YMAL Daily'!$A$6:$A$98,"&gt;="&amp;$A6,'YMAL Daily'!$A$6:$A$98,"&lt;="&amp;$B6)</f>
        <v>655</v>
      </c>
      <c r="M6" s="8" t="n">
        <f aca="false">SUMIFS('YMAL Daily'!$U$6:$U$98,'YMAL Daily'!$A$6:$A$98,"&gt;="&amp;$A6,'YMAL Daily'!$A$6:$A$98,"&lt;="&amp;$B6)</f>
        <v>0</v>
      </c>
      <c r="N6" s="8" t="n">
        <f aca="false">SUMIFS('YMAL Daily'!$V$6:$V$98,'YMAL Daily'!$A$6:$A$98,"&gt;="&amp;$A6,'YMAL Daily'!$A$6:$A$98,"&lt;="&amp;$B6)</f>
        <v>0</v>
      </c>
      <c r="O6" s="8" t="n">
        <f aca="false">E6+I6+M6</f>
        <v>144506.579450611</v>
      </c>
      <c r="P6" s="8" t="n">
        <f aca="false">F6+J6+N6</f>
        <v>0</v>
      </c>
      <c r="Q6" s="8" t="n">
        <f aca="false">SUMIFS('Site Daily'!$H$6:$H$98,'Site Daily'!$A$6:$A$98,"&gt;="&amp;$A6,'Site Daily'!$A$6:$A$98,"&lt;="&amp;$B6)</f>
        <v>2743496.28</v>
      </c>
      <c r="R6" s="8" t="n">
        <f aca="false">IFERROR(SUMIFS('Site Daily'!$H$6:$H$98,'Site Daily'!$A$6:$A$98,"&gt;="&amp;$A6,'Site Daily'!$A$6:$A$98,"&lt;="&amp;$B6)/SUMIFS('Site Daily'!$G$6:$G$98,'Site Daily'!$A$6:$A$98,"&gt;="&amp;$A6,'Site Daily'!$A$6:$A$98,"&lt;="&amp;$B6),0)</f>
        <v>1993.81997093023</v>
      </c>
    </row>
    <row r="7" customFormat="false" ht="15" hidden="false" customHeight="false" outlineLevel="0" collapsed="false">
      <c r="A7" s="44" t="n">
        <v>46307</v>
      </c>
      <c r="B7" s="44" t="n">
        <f aca="false">A7+6</f>
        <v>46313</v>
      </c>
      <c r="C7" s="6" t="n">
        <f aca="false">SUMIFS('BYS Daily'!$F$6:$F$98,'BYS Daily'!$A$6:$A$98,"&gt;="&amp;$A7,'BYS Daily'!$A$6:$A$98,"&lt;="&amp;$B7)</f>
        <v>7511.46666666667</v>
      </c>
      <c r="D7" s="6" t="n">
        <f aca="false">SUMIFS('BYS Daily'!$G$6:$G$98,'BYS Daily'!$A$6:$A$98,"&gt;="&amp;$A7,'BYS Daily'!$A$6:$A$98,"&lt;="&amp;$B7)</f>
        <v>0</v>
      </c>
      <c r="E7" s="8" t="n">
        <f aca="false">SUMIFS('BYS Daily'!$U$6:$U$98,'BYS Daily'!$A$6:$A$98,"&gt;="&amp;$A7,'BYS Daily'!$A$6:$A$98,"&lt;="&amp;$B7)</f>
        <v>178819.537011266</v>
      </c>
      <c r="F7" s="8" t="n">
        <f aca="false">SUMIFS('BYS Daily'!$V$6:$V$98,'BYS Daily'!$A$6:$A$98,"&gt;="&amp;$A7,'BYS Daily'!$A$6:$A$98,"&lt;="&amp;$B7)</f>
        <v>0</v>
      </c>
      <c r="G7" s="6" t="n">
        <f aca="false">SUMIFS('CYP Daily'!$F$6:$F$98,'CYP Daily'!$A$6:$A$98,"&gt;="&amp;$A7,'CYP Daily'!$A$6:$A$98,"&lt;="&amp;$B7)</f>
        <v>2100</v>
      </c>
      <c r="H7" s="6" t="n">
        <f aca="false">SUMIFS('CYP Daily'!$G$6:$G$98,'CYP Daily'!$A$6:$A$98,"&gt;="&amp;$A7,'CYP Daily'!$A$6:$A$98,"&lt;="&amp;$B7)</f>
        <v>0</v>
      </c>
      <c r="I7" s="8" t="n">
        <f aca="false">SUMIFS('CYP Daily'!$U$6:$U$98,'CYP Daily'!$A$6:$A$98,"&gt;="&amp;$A7,'CYP Daily'!$A$6:$A$98,"&lt;="&amp;$B7)</f>
        <v>147000</v>
      </c>
      <c r="J7" s="8" t="n">
        <f aca="false">SUMIFS('CYP Daily'!$V$6:$V$98,'CYP Daily'!$A$6:$A$98,"&gt;="&amp;$A7,'CYP Daily'!$A$6:$A$98,"&lt;="&amp;$B7)</f>
        <v>0</v>
      </c>
      <c r="K7" s="6" t="n">
        <f aca="false">SUMIFS('YMAL Daily'!$F$6:$F$98,'YMAL Daily'!$A$6:$A$98,"&gt;="&amp;$A7,'YMAL Daily'!$A$6:$A$98,"&lt;="&amp;$B7)</f>
        <v>7038.26190476191</v>
      </c>
      <c r="L7" s="6" t="n">
        <f aca="false">SUMIFS('YMAL Daily'!$G$6:$G$98,'YMAL Daily'!$A$6:$A$98,"&gt;="&amp;$A7,'YMAL Daily'!$A$6:$A$98,"&lt;="&amp;$B7)</f>
        <v>0</v>
      </c>
      <c r="M7" s="8" t="n">
        <f aca="false">SUMIFS('YMAL Daily'!$U$6:$U$98,'YMAL Daily'!$A$6:$A$98,"&gt;="&amp;$A7,'YMAL Daily'!$A$6:$A$98,"&lt;="&amp;$B7)</f>
        <v>13310.8793294183</v>
      </c>
      <c r="N7" s="8" t="n">
        <f aca="false">SUMIFS('YMAL Daily'!$V$6:$V$98,'YMAL Daily'!$A$6:$A$98,"&gt;="&amp;$A7,'YMAL Daily'!$A$6:$A$98,"&lt;="&amp;$B7)</f>
        <v>0</v>
      </c>
      <c r="O7" s="8" t="n">
        <f aca="false">E7+I7+M7</f>
        <v>339130.416340684</v>
      </c>
      <c r="P7" s="8" t="n">
        <f aca="false">F7+J7+N7</f>
        <v>0</v>
      </c>
      <c r="Q7" s="8" t="n">
        <f aca="false">SUMIFS('Site Daily'!$H$6:$H$98,'Site Daily'!$A$6:$A$98,"&gt;="&amp;$A7,'Site Daily'!$A$6:$A$98,"&lt;="&amp;$B7)</f>
        <v>0</v>
      </c>
      <c r="R7" s="8" t="n">
        <f aca="false">IFERROR(SUMIFS('Site Daily'!$H$6:$H$98,'Site Daily'!$A$6:$A$98,"&gt;="&amp;$A7,'Site Daily'!$A$6:$A$98,"&lt;="&amp;$B7)/SUMIFS('Site Daily'!$G$6:$G$98,'Site Daily'!$A$6:$A$98,"&gt;="&amp;$A7,'Site Daily'!$A$6:$A$98,"&lt;="&amp;$B7),0)</f>
        <v>0</v>
      </c>
    </row>
    <row r="8" customFormat="false" ht="15" hidden="false" customHeight="false" outlineLevel="0" collapsed="false">
      <c r="A8" s="44" t="n">
        <v>46314</v>
      </c>
      <c r="B8" s="44" t="n">
        <f aca="false">A8+6</f>
        <v>46320</v>
      </c>
      <c r="C8" s="6" t="n">
        <f aca="false">SUMIFS('BYS Daily'!$F$6:$F$98,'BYS Daily'!$A$6:$A$98,"&gt;="&amp;$A8,'BYS Daily'!$A$6:$A$98,"&lt;="&amp;$B8)</f>
        <v>7511.46666666667</v>
      </c>
      <c r="D8" s="6" t="n">
        <f aca="false">SUMIFS('BYS Daily'!$G$6:$G$98,'BYS Daily'!$A$6:$A$98,"&gt;="&amp;$A8,'BYS Daily'!$A$6:$A$98,"&lt;="&amp;$B8)</f>
        <v>0</v>
      </c>
      <c r="E8" s="8" t="n">
        <f aca="false">SUMIFS('BYS Daily'!$U$6:$U$98,'BYS Daily'!$A$6:$A$98,"&gt;="&amp;$A8,'BYS Daily'!$A$6:$A$98,"&lt;="&amp;$B8)</f>
        <v>178819.537011266</v>
      </c>
      <c r="F8" s="8" t="n">
        <f aca="false">SUMIFS('BYS Daily'!$V$6:$V$98,'BYS Daily'!$A$6:$A$98,"&gt;="&amp;$A8,'BYS Daily'!$A$6:$A$98,"&lt;="&amp;$B8)</f>
        <v>0</v>
      </c>
      <c r="G8" s="6" t="n">
        <f aca="false">SUMIFS('CYP Daily'!$F$6:$F$98,'CYP Daily'!$A$6:$A$98,"&gt;="&amp;$A8,'CYP Daily'!$A$6:$A$98,"&lt;="&amp;$B8)</f>
        <v>2100</v>
      </c>
      <c r="H8" s="6" t="n">
        <f aca="false">SUMIFS('CYP Daily'!$G$6:$G$98,'CYP Daily'!$A$6:$A$98,"&gt;="&amp;$A8,'CYP Daily'!$A$6:$A$98,"&lt;="&amp;$B8)</f>
        <v>0</v>
      </c>
      <c r="I8" s="8" t="n">
        <f aca="false">SUMIFS('CYP Daily'!$U$6:$U$98,'CYP Daily'!$A$6:$A$98,"&gt;="&amp;$A8,'CYP Daily'!$A$6:$A$98,"&lt;="&amp;$B8)</f>
        <v>147000</v>
      </c>
      <c r="J8" s="8" t="n">
        <f aca="false">SUMIFS('CYP Daily'!$V$6:$V$98,'CYP Daily'!$A$6:$A$98,"&gt;="&amp;$A8,'CYP Daily'!$A$6:$A$98,"&lt;="&amp;$B8)</f>
        <v>0</v>
      </c>
      <c r="K8" s="6" t="n">
        <f aca="false">SUMIFS('YMAL Daily'!$F$6:$F$98,'YMAL Daily'!$A$6:$A$98,"&gt;="&amp;$A8,'YMAL Daily'!$A$6:$A$98,"&lt;="&amp;$B8)</f>
        <v>8528.40476190476</v>
      </c>
      <c r="L8" s="6" t="n">
        <f aca="false">SUMIFS('YMAL Daily'!$G$6:$G$98,'YMAL Daily'!$A$6:$A$98,"&gt;="&amp;$A8,'YMAL Daily'!$A$6:$A$98,"&lt;="&amp;$B8)</f>
        <v>0</v>
      </c>
      <c r="M8" s="8" t="n">
        <f aca="false">SUMIFS('YMAL Daily'!$U$6:$U$98,'YMAL Daily'!$A$6:$A$98,"&gt;="&amp;$A8,'YMAL Daily'!$A$6:$A$98,"&lt;="&amp;$B8)</f>
        <v>64643.0296466543</v>
      </c>
      <c r="N8" s="8" t="n">
        <f aca="false">SUMIFS('YMAL Daily'!$V$6:$V$98,'YMAL Daily'!$A$6:$A$98,"&gt;="&amp;$A8,'YMAL Daily'!$A$6:$A$98,"&lt;="&amp;$B8)</f>
        <v>0</v>
      </c>
      <c r="O8" s="8" t="n">
        <f aca="false">E8+I8+M8</f>
        <v>390462.56665792</v>
      </c>
      <c r="P8" s="8" t="n">
        <f aca="false">F8+J8+N8</f>
        <v>0</v>
      </c>
      <c r="Q8" s="8" t="n">
        <f aca="false">SUMIFS('Site Daily'!$H$6:$H$98,'Site Daily'!$A$6:$A$98,"&gt;="&amp;$A8,'Site Daily'!$A$6:$A$98,"&lt;="&amp;$B8)</f>
        <v>0</v>
      </c>
      <c r="R8" s="8" t="n">
        <f aca="false">IFERROR(SUMIFS('Site Daily'!$H$6:$H$98,'Site Daily'!$A$6:$A$98,"&gt;="&amp;$A8,'Site Daily'!$A$6:$A$98,"&lt;="&amp;$B8)/SUMIFS('Site Daily'!$G$6:$G$98,'Site Daily'!$A$6:$A$98,"&gt;="&amp;$A8,'Site Daily'!$A$6:$A$98,"&lt;="&amp;$B8),0)</f>
        <v>0</v>
      </c>
    </row>
    <row r="9" customFormat="false" ht="15" hidden="false" customHeight="false" outlineLevel="0" collapsed="false">
      <c r="A9" s="44" t="n">
        <v>46321</v>
      </c>
      <c r="B9" s="44" t="n">
        <f aca="false">A9+6</f>
        <v>46327</v>
      </c>
      <c r="C9" s="6" t="n">
        <f aca="false">SUMIFS('BYS Daily'!$F$6:$F$98,'BYS Daily'!$A$6:$A$98,"&gt;="&amp;$A9,'BYS Daily'!$A$6:$A$98,"&lt;="&amp;$B9)</f>
        <v>7511.46666666667</v>
      </c>
      <c r="D9" s="6" t="n">
        <f aca="false">SUMIFS('BYS Daily'!$G$6:$G$98,'BYS Daily'!$A$6:$A$98,"&gt;="&amp;$A9,'BYS Daily'!$A$6:$A$98,"&lt;="&amp;$B9)</f>
        <v>0</v>
      </c>
      <c r="E9" s="8" t="n">
        <f aca="false">SUMIFS('BYS Daily'!$U$6:$U$98,'BYS Daily'!$A$6:$A$98,"&gt;="&amp;$A9,'BYS Daily'!$A$6:$A$98,"&lt;="&amp;$B9)</f>
        <v>178819.537011266</v>
      </c>
      <c r="F9" s="8" t="n">
        <f aca="false">SUMIFS('BYS Daily'!$V$6:$V$98,'BYS Daily'!$A$6:$A$98,"&gt;="&amp;$A9,'BYS Daily'!$A$6:$A$98,"&lt;="&amp;$B9)</f>
        <v>0</v>
      </c>
      <c r="G9" s="6" t="n">
        <f aca="false">SUMIFS('CYP Daily'!$F$6:$F$98,'CYP Daily'!$A$6:$A$98,"&gt;="&amp;$A9,'CYP Daily'!$A$6:$A$98,"&lt;="&amp;$B9)</f>
        <v>2100</v>
      </c>
      <c r="H9" s="6" t="n">
        <f aca="false">SUMIFS('CYP Daily'!$G$6:$G$98,'CYP Daily'!$A$6:$A$98,"&gt;="&amp;$A9,'CYP Daily'!$A$6:$A$98,"&lt;="&amp;$B9)</f>
        <v>0</v>
      </c>
      <c r="I9" s="8" t="n">
        <f aca="false">SUMIFS('CYP Daily'!$U$6:$U$98,'CYP Daily'!$A$6:$A$98,"&gt;="&amp;$A9,'CYP Daily'!$A$6:$A$98,"&lt;="&amp;$B9)</f>
        <v>147000</v>
      </c>
      <c r="J9" s="8" t="n">
        <f aca="false">SUMIFS('CYP Daily'!$V$6:$V$98,'CYP Daily'!$A$6:$A$98,"&gt;="&amp;$A9,'CYP Daily'!$A$6:$A$98,"&lt;="&amp;$B9)</f>
        <v>0</v>
      </c>
      <c r="K9" s="6" t="n">
        <f aca="false">SUMIFS('YMAL Daily'!$F$6:$F$98,'YMAL Daily'!$A$6:$A$98,"&gt;="&amp;$A9,'YMAL Daily'!$A$6:$A$98,"&lt;="&amp;$B9)</f>
        <v>8652.58333333333</v>
      </c>
      <c r="L9" s="6" t="n">
        <f aca="false">SUMIFS('YMAL Daily'!$G$6:$G$98,'YMAL Daily'!$A$6:$A$98,"&gt;="&amp;$A9,'YMAL Daily'!$A$6:$A$98,"&lt;="&amp;$B9)</f>
        <v>0</v>
      </c>
      <c r="M9" s="8" t="n">
        <f aca="false">SUMIFS('YMAL Daily'!$U$6:$U$98,'YMAL Daily'!$A$6:$A$98,"&gt;="&amp;$A9,'YMAL Daily'!$A$6:$A$98,"&lt;="&amp;$B9)</f>
        <v>69204.8882776861</v>
      </c>
      <c r="N9" s="8" t="n">
        <f aca="false">SUMIFS('YMAL Daily'!$V$6:$V$98,'YMAL Daily'!$A$6:$A$98,"&gt;="&amp;$A9,'YMAL Daily'!$A$6:$A$98,"&lt;="&amp;$B9)</f>
        <v>0</v>
      </c>
      <c r="O9" s="8" t="n">
        <f aca="false">E9+I9+M9</f>
        <v>395024.425288952</v>
      </c>
      <c r="P9" s="8" t="n">
        <f aca="false">F9+J9+N9</f>
        <v>0</v>
      </c>
      <c r="Q9" s="8" t="n">
        <f aca="false">SUMIFS('Site Daily'!$H$6:$H$98,'Site Daily'!$A$6:$A$98,"&gt;="&amp;$A9,'Site Daily'!$A$6:$A$98,"&lt;="&amp;$B9)</f>
        <v>0</v>
      </c>
      <c r="R9" s="8" t="n">
        <f aca="false">IFERROR(SUMIFS('Site Daily'!$H$6:$H$98,'Site Daily'!$A$6:$A$98,"&gt;="&amp;$A9,'Site Daily'!$A$6:$A$98,"&lt;="&amp;$B9)/SUMIFS('Site Daily'!$G$6:$G$98,'Site Daily'!$A$6:$A$98,"&gt;="&amp;$A9,'Site Daily'!$A$6:$A$98,"&lt;="&amp;$B9),0)</f>
        <v>0</v>
      </c>
    </row>
    <row r="10" customFormat="false" ht="15" hidden="false" customHeight="false" outlineLevel="0" collapsed="false">
      <c r="A10" s="44" t="n">
        <v>46328</v>
      </c>
      <c r="B10" s="44" t="n">
        <f aca="false">A10+6</f>
        <v>46334</v>
      </c>
      <c r="C10" s="6" t="n">
        <f aca="false">SUMIFS('BYS Daily'!$F$6:$F$98,'BYS Daily'!$A$6:$A$98,"&gt;="&amp;$A10,'BYS Daily'!$A$6:$A$98,"&lt;="&amp;$B10)</f>
        <v>7511.46666666667</v>
      </c>
      <c r="D10" s="6" t="n">
        <f aca="false">SUMIFS('BYS Daily'!$G$6:$G$98,'BYS Daily'!$A$6:$A$98,"&gt;="&amp;$A10,'BYS Daily'!$A$6:$A$98,"&lt;="&amp;$B10)</f>
        <v>0</v>
      </c>
      <c r="E10" s="8" t="n">
        <f aca="false">SUMIFS('BYS Daily'!$U$6:$U$98,'BYS Daily'!$A$6:$A$98,"&gt;="&amp;$A10,'BYS Daily'!$A$6:$A$98,"&lt;="&amp;$B10)</f>
        <v>178819.537011266</v>
      </c>
      <c r="F10" s="8" t="n">
        <f aca="false">SUMIFS('BYS Daily'!$V$6:$V$98,'BYS Daily'!$A$6:$A$98,"&gt;="&amp;$A10,'BYS Daily'!$A$6:$A$98,"&lt;="&amp;$B10)</f>
        <v>0</v>
      </c>
      <c r="G10" s="6" t="n">
        <f aca="false">SUMIFS('CYP Daily'!$F$6:$F$98,'CYP Daily'!$A$6:$A$98,"&gt;="&amp;$A10,'CYP Daily'!$A$6:$A$98,"&lt;="&amp;$B10)</f>
        <v>2100</v>
      </c>
      <c r="H10" s="6" t="n">
        <f aca="false">SUMIFS('CYP Daily'!$G$6:$G$98,'CYP Daily'!$A$6:$A$98,"&gt;="&amp;$A10,'CYP Daily'!$A$6:$A$98,"&lt;="&amp;$B10)</f>
        <v>0</v>
      </c>
      <c r="I10" s="8" t="n">
        <f aca="false">SUMIFS('CYP Daily'!$U$6:$U$98,'CYP Daily'!$A$6:$A$98,"&gt;="&amp;$A10,'CYP Daily'!$A$6:$A$98,"&lt;="&amp;$B10)</f>
        <v>147000</v>
      </c>
      <c r="J10" s="8" t="n">
        <f aca="false">SUMIFS('CYP Daily'!$V$6:$V$98,'CYP Daily'!$A$6:$A$98,"&gt;="&amp;$A10,'CYP Daily'!$A$6:$A$98,"&lt;="&amp;$B10)</f>
        <v>0</v>
      </c>
      <c r="K10" s="6" t="n">
        <f aca="false">SUMIFS('YMAL Daily'!$F$6:$F$98,'YMAL Daily'!$A$6:$A$98,"&gt;="&amp;$A10,'YMAL Daily'!$A$6:$A$98,"&lt;="&amp;$B10)</f>
        <v>8652.58333333333</v>
      </c>
      <c r="L10" s="6" t="n">
        <f aca="false">SUMIFS('YMAL Daily'!$G$6:$G$98,'YMAL Daily'!$A$6:$A$98,"&gt;="&amp;$A10,'YMAL Daily'!$A$6:$A$98,"&lt;="&amp;$B10)</f>
        <v>0</v>
      </c>
      <c r="M10" s="8" t="n">
        <f aca="false">SUMIFS('YMAL Daily'!$U$6:$U$98,'YMAL Daily'!$A$6:$A$98,"&gt;="&amp;$A10,'YMAL Daily'!$A$6:$A$98,"&lt;="&amp;$B10)</f>
        <v>69204.8882776861</v>
      </c>
      <c r="N10" s="8" t="n">
        <f aca="false">SUMIFS('YMAL Daily'!$V$6:$V$98,'YMAL Daily'!$A$6:$A$98,"&gt;="&amp;$A10,'YMAL Daily'!$A$6:$A$98,"&lt;="&amp;$B10)</f>
        <v>0</v>
      </c>
      <c r="O10" s="8" t="n">
        <f aca="false">E10+I10+M10</f>
        <v>395024.425288952</v>
      </c>
      <c r="P10" s="8" t="n">
        <f aca="false">F10+J10+N10</f>
        <v>0</v>
      </c>
      <c r="Q10" s="8" t="n">
        <f aca="false">SUMIFS('Site Daily'!$H$6:$H$98,'Site Daily'!$A$6:$A$98,"&gt;="&amp;$A10,'Site Daily'!$A$6:$A$98,"&lt;="&amp;$B10)</f>
        <v>0</v>
      </c>
      <c r="R10" s="8" t="n">
        <f aca="false">IFERROR(SUMIFS('Site Daily'!$H$6:$H$98,'Site Daily'!$A$6:$A$98,"&gt;="&amp;$A10,'Site Daily'!$A$6:$A$98,"&lt;="&amp;$B10)/SUMIFS('Site Daily'!$G$6:$G$98,'Site Daily'!$A$6:$A$98,"&gt;="&amp;$A10,'Site Daily'!$A$6:$A$98,"&lt;="&amp;$B10),0)</f>
        <v>0</v>
      </c>
    </row>
    <row r="11" customFormat="false" ht="15" hidden="false" customHeight="false" outlineLevel="0" collapsed="false">
      <c r="A11" s="44" t="n">
        <v>46335</v>
      </c>
      <c r="B11" s="44" t="n">
        <f aca="false">A11+6</f>
        <v>46341</v>
      </c>
      <c r="C11" s="6" t="n">
        <f aca="false">SUMIFS('BYS Daily'!$F$6:$F$98,'BYS Daily'!$A$6:$A$98,"&gt;="&amp;$A11,'BYS Daily'!$A$6:$A$98,"&lt;="&amp;$B11)</f>
        <v>7511.46666666667</v>
      </c>
      <c r="D11" s="6" t="n">
        <f aca="false">SUMIFS('BYS Daily'!$G$6:$G$98,'BYS Daily'!$A$6:$A$98,"&gt;="&amp;$A11,'BYS Daily'!$A$6:$A$98,"&lt;="&amp;$B11)</f>
        <v>0</v>
      </c>
      <c r="E11" s="8" t="n">
        <f aca="false">SUMIFS('BYS Daily'!$U$6:$U$98,'BYS Daily'!$A$6:$A$98,"&gt;="&amp;$A11,'BYS Daily'!$A$6:$A$98,"&lt;="&amp;$B11)</f>
        <v>178819.537011266</v>
      </c>
      <c r="F11" s="8" t="n">
        <f aca="false">SUMIFS('BYS Daily'!$V$6:$V$98,'BYS Daily'!$A$6:$A$98,"&gt;="&amp;$A11,'BYS Daily'!$A$6:$A$98,"&lt;="&amp;$B11)</f>
        <v>0</v>
      </c>
      <c r="G11" s="6" t="n">
        <f aca="false">SUMIFS('CYP Daily'!$F$6:$F$98,'CYP Daily'!$A$6:$A$98,"&gt;="&amp;$A11,'CYP Daily'!$A$6:$A$98,"&lt;="&amp;$B11)</f>
        <v>2100</v>
      </c>
      <c r="H11" s="6" t="n">
        <f aca="false">SUMIFS('CYP Daily'!$G$6:$G$98,'CYP Daily'!$A$6:$A$98,"&gt;="&amp;$A11,'CYP Daily'!$A$6:$A$98,"&lt;="&amp;$B11)</f>
        <v>0</v>
      </c>
      <c r="I11" s="8" t="n">
        <f aca="false">SUMIFS('CYP Daily'!$U$6:$U$98,'CYP Daily'!$A$6:$A$98,"&gt;="&amp;$A11,'CYP Daily'!$A$6:$A$98,"&lt;="&amp;$B11)</f>
        <v>147000</v>
      </c>
      <c r="J11" s="8" t="n">
        <f aca="false">SUMIFS('CYP Daily'!$V$6:$V$98,'CYP Daily'!$A$6:$A$98,"&gt;="&amp;$A11,'CYP Daily'!$A$6:$A$98,"&lt;="&amp;$B11)</f>
        <v>0</v>
      </c>
      <c r="K11" s="6" t="n">
        <f aca="false">SUMIFS('YMAL Daily'!$F$6:$F$98,'YMAL Daily'!$A$6:$A$98,"&gt;="&amp;$A11,'YMAL Daily'!$A$6:$A$98,"&lt;="&amp;$B11)</f>
        <v>8652.58333333333</v>
      </c>
      <c r="L11" s="6" t="n">
        <f aca="false">SUMIFS('YMAL Daily'!$G$6:$G$98,'YMAL Daily'!$A$6:$A$98,"&gt;="&amp;$A11,'YMAL Daily'!$A$6:$A$98,"&lt;="&amp;$B11)</f>
        <v>0</v>
      </c>
      <c r="M11" s="8" t="n">
        <f aca="false">SUMIFS('YMAL Daily'!$U$6:$U$98,'YMAL Daily'!$A$6:$A$98,"&gt;="&amp;$A11,'YMAL Daily'!$A$6:$A$98,"&lt;="&amp;$B11)</f>
        <v>69204.8882776861</v>
      </c>
      <c r="N11" s="8" t="n">
        <f aca="false">SUMIFS('YMAL Daily'!$V$6:$V$98,'YMAL Daily'!$A$6:$A$98,"&gt;="&amp;$A11,'YMAL Daily'!$A$6:$A$98,"&lt;="&amp;$B11)</f>
        <v>0</v>
      </c>
      <c r="O11" s="8" t="n">
        <f aca="false">E11+I11+M11</f>
        <v>395024.425288952</v>
      </c>
      <c r="P11" s="8" t="n">
        <f aca="false">F11+J11+N11</f>
        <v>0</v>
      </c>
      <c r="Q11" s="8" t="n">
        <f aca="false">SUMIFS('Site Daily'!$H$6:$H$98,'Site Daily'!$A$6:$A$98,"&gt;="&amp;$A11,'Site Daily'!$A$6:$A$98,"&lt;="&amp;$B11)</f>
        <v>0</v>
      </c>
      <c r="R11" s="8" t="n">
        <f aca="false">IFERROR(SUMIFS('Site Daily'!$H$6:$H$98,'Site Daily'!$A$6:$A$98,"&gt;="&amp;$A11,'Site Daily'!$A$6:$A$98,"&lt;="&amp;$B11)/SUMIFS('Site Daily'!$G$6:$G$98,'Site Daily'!$A$6:$A$98,"&gt;="&amp;$A11,'Site Daily'!$A$6:$A$98,"&lt;="&amp;$B11),0)</f>
        <v>0</v>
      </c>
    </row>
    <row r="12" customFormat="false" ht="15" hidden="false" customHeight="false" outlineLevel="0" collapsed="false">
      <c r="A12" s="44" t="n">
        <v>46342</v>
      </c>
      <c r="B12" s="44" t="n">
        <f aca="false">A12+6</f>
        <v>46348</v>
      </c>
      <c r="C12" s="6" t="n">
        <f aca="false">SUMIFS('BYS Daily'!$F$6:$F$98,'BYS Daily'!$A$6:$A$98,"&gt;="&amp;$A12,'BYS Daily'!$A$6:$A$98,"&lt;="&amp;$B12)</f>
        <v>7511.46666666667</v>
      </c>
      <c r="D12" s="6" t="n">
        <f aca="false">SUMIFS('BYS Daily'!$G$6:$G$98,'BYS Daily'!$A$6:$A$98,"&gt;="&amp;$A12,'BYS Daily'!$A$6:$A$98,"&lt;="&amp;$B12)</f>
        <v>0</v>
      </c>
      <c r="E12" s="8" t="n">
        <f aca="false">SUMIFS('BYS Daily'!$U$6:$U$98,'BYS Daily'!$A$6:$A$98,"&gt;="&amp;$A12,'BYS Daily'!$A$6:$A$98,"&lt;="&amp;$B12)</f>
        <v>178819.537011266</v>
      </c>
      <c r="F12" s="8" t="n">
        <f aca="false">SUMIFS('BYS Daily'!$V$6:$V$98,'BYS Daily'!$A$6:$A$98,"&gt;="&amp;$A12,'BYS Daily'!$A$6:$A$98,"&lt;="&amp;$B12)</f>
        <v>0</v>
      </c>
      <c r="G12" s="6" t="n">
        <f aca="false">SUMIFS('CYP Daily'!$F$6:$F$98,'CYP Daily'!$A$6:$A$98,"&gt;="&amp;$A12,'CYP Daily'!$A$6:$A$98,"&lt;="&amp;$B12)</f>
        <v>2100</v>
      </c>
      <c r="H12" s="6" t="n">
        <f aca="false">SUMIFS('CYP Daily'!$G$6:$G$98,'CYP Daily'!$A$6:$A$98,"&gt;="&amp;$A12,'CYP Daily'!$A$6:$A$98,"&lt;="&amp;$B12)</f>
        <v>0</v>
      </c>
      <c r="I12" s="8" t="n">
        <f aca="false">SUMIFS('CYP Daily'!$U$6:$U$98,'CYP Daily'!$A$6:$A$98,"&gt;="&amp;$A12,'CYP Daily'!$A$6:$A$98,"&lt;="&amp;$B12)</f>
        <v>147000</v>
      </c>
      <c r="J12" s="8" t="n">
        <f aca="false">SUMIFS('CYP Daily'!$V$6:$V$98,'CYP Daily'!$A$6:$A$98,"&gt;="&amp;$A12,'CYP Daily'!$A$6:$A$98,"&lt;="&amp;$B12)</f>
        <v>0</v>
      </c>
      <c r="K12" s="6" t="n">
        <f aca="false">SUMIFS('YMAL Daily'!$F$6:$F$98,'YMAL Daily'!$A$6:$A$98,"&gt;="&amp;$A12,'YMAL Daily'!$A$6:$A$98,"&lt;="&amp;$B12)</f>
        <v>8652.58333333333</v>
      </c>
      <c r="L12" s="6" t="n">
        <f aca="false">SUMIFS('YMAL Daily'!$G$6:$G$98,'YMAL Daily'!$A$6:$A$98,"&gt;="&amp;$A12,'YMAL Daily'!$A$6:$A$98,"&lt;="&amp;$B12)</f>
        <v>0</v>
      </c>
      <c r="M12" s="8" t="n">
        <f aca="false">SUMIFS('YMAL Daily'!$U$6:$U$98,'YMAL Daily'!$A$6:$A$98,"&gt;="&amp;$A12,'YMAL Daily'!$A$6:$A$98,"&lt;="&amp;$B12)</f>
        <v>69204.8882776861</v>
      </c>
      <c r="N12" s="8" t="n">
        <f aca="false">SUMIFS('YMAL Daily'!$V$6:$V$98,'YMAL Daily'!$A$6:$A$98,"&gt;="&amp;$A12,'YMAL Daily'!$A$6:$A$98,"&lt;="&amp;$B12)</f>
        <v>0</v>
      </c>
      <c r="O12" s="8" t="n">
        <f aca="false">E12+I12+M12</f>
        <v>395024.425288952</v>
      </c>
      <c r="P12" s="8" t="n">
        <f aca="false">F12+J12+N12</f>
        <v>0</v>
      </c>
      <c r="Q12" s="8" t="n">
        <f aca="false">SUMIFS('Site Daily'!$H$6:$H$98,'Site Daily'!$A$6:$A$98,"&gt;="&amp;$A12,'Site Daily'!$A$6:$A$98,"&lt;="&amp;$B12)</f>
        <v>0</v>
      </c>
      <c r="R12" s="8" t="n">
        <f aca="false">IFERROR(SUMIFS('Site Daily'!$H$6:$H$98,'Site Daily'!$A$6:$A$98,"&gt;="&amp;$A12,'Site Daily'!$A$6:$A$98,"&lt;="&amp;$B12)/SUMIFS('Site Daily'!$G$6:$G$98,'Site Daily'!$A$6:$A$98,"&gt;="&amp;$A12,'Site Daily'!$A$6:$A$98,"&lt;="&amp;$B12),0)</f>
        <v>0</v>
      </c>
    </row>
    <row r="13" customFormat="false" ht="15" hidden="false" customHeight="false" outlineLevel="0" collapsed="false">
      <c r="A13" s="44" t="n">
        <v>46349</v>
      </c>
      <c r="B13" s="44" t="n">
        <f aca="false">A13+6</f>
        <v>46355</v>
      </c>
      <c r="C13" s="6" t="n">
        <f aca="false">SUMIFS('BYS Daily'!$F$6:$F$98,'BYS Daily'!$A$6:$A$98,"&gt;="&amp;$A13,'BYS Daily'!$A$6:$A$98,"&lt;="&amp;$B13)</f>
        <v>7511.46666666667</v>
      </c>
      <c r="D13" s="6" t="n">
        <f aca="false">SUMIFS('BYS Daily'!$G$6:$G$98,'BYS Daily'!$A$6:$A$98,"&gt;="&amp;$A13,'BYS Daily'!$A$6:$A$98,"&lt;="&amp;$B13)</f>
        <v>0</v>
      </c>
      <c r="E13" s="8" t="n">
        <f aca="false">SUMIFS('BYS Daily'!$U$6:$U$98,'BYS Daily'!$A$6:$A$98,"&gt;="&amp;$A13,'BYS Daily'!$A$6:$A$98,"&lt;="&amp;$B13)</f>
        <v>178819.537011266</v>
      </c>
      <c r="F13" s="8" t="n">
        <f aca="false">SUMIFS('BYS Daily'!$V$6:$V$98,'BYS Daily'!$A$6:$A$98,"&gt;="&amp;$A13,'BYS Daily'!$A$6:$A$98,"&lt;="&amp;$B13)</f>
        <v>0</v>
      </c>
      <c r="G13" s="6" t="n">
        <f aca="false">SUMIFS('CYP Daily'!$F$6:$F$98,'CYP Daily'!$A$6:$A$98,"&gt;="&amp;$A13,'CYP Daily'!$A$6:$A$98,"&lt;="&amp;$B13)</f>
        <v>2100</v>
      </c>
      <c r="H13" s="6" t="n">
        <f aca="false">SUMIFS('CYP Daily'!$G$6:$G$98,'CYP Daily'!$A$6:$A$98,"&gt;="&amp;$A13,'CYP Daily'!$A$6:$A$98,"&lt;="&amp;$B13)</f>
        <v>0</v>
      </c>
      <c r="I13" s="8" t="n">
        <f aca="false">SUMIFS('CYP Daily'!$U$6:$U$98,'CYP Daily'!$A$6:$A$98,"&gt;="&amp;$A13,'CYP Daily'!$A$6:$A$98,"&lt;="&amp;$B13)</f>
        <v>147000</v>
      </c>
      <c r="J13" s="8" t="n">
        <f aca="false">SUMIFS('CYP Daily'!$V$6:$V$98,'CYP Daily'!$A$6:$A$98,"&gt;="&amp;$A13,'CYP Daily'!$A$6:$A$98,"&lt;="&amp;$B13)</f>
        <v>0</v>
      </c>
      <c r="K13" s="6" t="n">
        <f aca="false">SUMIFS('YMAL Daily'!$F$6:$F$98,'YMAL Daily'!$A$6:$A$98,"&gt;="&amp;$A13,'YMAL Daily'!$A$6:$A$98,"&lt;="&amp;$B13)</f>
        <v>8652.58333333333</v>
      </c>
      <c r="L13" s="6" t="n">
        <f aca="false">SUMIFS('YMAL Daily'!$G$6:$G$98,'YMAL Daily'!$A$6:$A$98,"&gt;="&amp;$A13,'YMAL Daily'!$A$6:$A$98,"&lt;="&amp;$B13)</f>
        <v>0</v>
      </c>
      <c r="M13" s="8" t="n">
        <f aca="false">SUMIFS('YMAL Daily'!$U$6:$U$98,'YMAL Daily'!$A$6:$A$98,"&gt;="&amp;$A13,'YMAL Daily'!$A$6:$A$98,"&lt;="&amp;$B13)</f>
        <v>69204.8882776861</v>
      </c>
      <c r="N13" s="8" t="n">
        <f aca="false">SUMIFS('YMAL Daily'!$V$6:$V$98,'YMAL Daily'!$A$6:$A$98,"&gt;="&amp;$A13,'YMAL Daily'!$A$6:$A$98,"&lt;="&amp;$B13)</f>
        <v>0</v>
      </c>
      <c r="O13" s="8" t="n">
        <f aca="false">E13+I13+M13</f>
        <v>395024.425288952</v>
      </c>
      <c r="P13" s="8" t="n">
        <f aca="false">F13+J13+N13</f>
        <v>0</v>
      </c>
      <c r="Q13" s="8" t="n">
        <f aca="false">SUMIFS('Site Daily'!$H$6:$H$98,'Site Daily'!$A$6:$A$98,"&gt;="&amp;$A13,'Site Daily'!$A$6:$A$98,"&lt;="&amp;$B13)</f>
        <v>0</v>
      </c>
      <c r="R13" s="8" t="n">
        <f aca="false">IFERROR(SUMIFS('Site Daily'!$H$6:$H$98,'Site Daily'!$A$6:$A$98,"&gt;="&amp;$A13,'Site Daily'!$A$6:$A$98,"&lt;="&amp;$B13)/SUMIFS('Site Daily'!$G$6:$G$98,'Site Daily'!$A$6:$A$98,"&gt;="&amp;$A13,'Site Daily'!$A$6:$A$98,"&lt;="&amp;$B13),0)</f>
        <v>0</v>
      </c>
    </row>
    <row r="14" customFormat="false" ht="15" hidden="false" customHeight="false" outlineLevel="0" collapsed="false">
      <c r="A14" s="44" t="n">
        <v>46356</v>
      </c>
      <c r="B14" s="44" t="n">
        <f aca="false">A14+6</f>
        <v>46362</v>
      </c>
      <c r="C14" s="6" t="n">
        <f aca="false">SUMIFS('BYS Daily'!$F$6:$F$98,'BYS Daily'!$A$6:$A$98,"&gt;="&amp;$A14,'BYS Daily'!$A$6:$A$98,"&lt;="&amp;$B14)</f>
        <v>7511.46666666667</v>
      </c>
      <c r="D14" s="6" t="n">
        <f aca="false">SUMIFS('BYS Daily'!$G$6:$G$98,'BYS Daily'!$A$6:$A$98,"&gt;="&amp;$A14,'BYS Daily'!$A$6:$A$98,"&lt;="&amp;$B14)</f>
        <v>0</v>
      </c>
      <c r="E14" s="8" t="n">
        <f aca="false">SUMIFS('BYS Daily'!$U$6:$U$98,'BYS Daily'!$A$6:$A$98,"&gt;="&amp;$A14,'BYS Daily'!$A$6:$A$98,"&lt;="&amp;$B14)</f>
        <v>178819.537011266</v>
      </c>
      <c r="F14" s="8" t="n">
        <f aca="false">SUMIFS('BYS Daily'!$V$6:$V$98,'BYS Daily'!$A$6:$A$98,"&gt;="&amp;$A14,'BYS Daily'!$A$6:$A$98,"&lt;="&amp;$B14)</f>
        <v>0</v>
      </c>
      <c r="G14" s="6" t="n">
        <f aca="false">SUMIFS('CYP Daily'!$F$6:$F$98,'CYP Daily'!$A$6:$A$98,"&gt;="&amp;$A14,'CYP Daily'!$A$6:$A$98,"&lt;="&amp;$B14)</f>
        <v>2100</v>
      </c>
      <c r="H14" s="6" t="n">
        <f aca="false">SUMIFS('CYP Daily'!$G$6:$G$98,'CYP Daily'!$A$6:$A$98,"&gt;="&amp;$A14,'CYP Daily'!$A$6:$A$98,"&lt;="&amp;$B14)</f>
        <v>0</v>
      </c>
      <c r="I14" s="8" t="n">
        <f aca="false">SUMIFS('CYP Daily'!$U$6:$U$98,'CYP Daily'!$A$6:$A$98,"&gt;="&amp;$A14,'CYP Daily'!$A$6:$A$98,"&lt;="&amp;$B14)</f>
        <v>147000</v>
      </c>
      <c r="J14" s="8" t="n">
        <f aca="false">SUMIFS('CYP Daily'!$V$6:$V$98,'CYP Daily'!$A$6:$A$98,"&gt;="&amp;$A14,'CYP Daily'!$A$6:$A$98,"&lt;="&amp;$B14)</f>
        <v>0</v>
      </c>
      <c r="K14" s="6" t="n">
        <f aca="false">SUMIFS('YMAL Daily'!$F$6:$F$98,'YMAL Daily'!$A$6:$A$98,"&gt;="&amp;$A14,'YMAL Daily'!$A$6:$A$98,"&lt;="&amp;$B14)</f>
        <v>8652.58333333333</v>
      </c>
      <c r="L14" s="6" t="n">
        <f aca="false">SUMIFS('YMAL Daily'!$G$6:$G$98,'YMAL Daily'!$A$6:$A$98,"&gt;="&amp;$A14,'YMAL Daily'!$A$6:$A$98,"&lt;="&amp;$B14)</f>
        <v>0</v>
      </c>
      <c r="M14" s="8" t="n">
        <f aca="false">SUMIFS('YMAL Daily'!$U$6:$U$98,'YMAL Daily'!$A$6:$A$98,"&gt;="&amp;$A14,'YMAL Daily'!$A$6:$A$98,"&lt;="&amp;$B14)</f>
        <v>69204.8882776861</v>
      </c>
      <c r="N14" s="8" t="n">
        <f aca="false">SUMIFS('YMAL Daily'!$V$6:$V$98,'YMAL Daily'!$A$6:$A$98,"&gt;="&amp;$A14,'YMAL Daily'!$A$6:$A$98,"&lt;="&amp;$B14)</f>
        <v>0</v>
      </c>
      <c r="O14" s="8" t="n">
        <f aca="false">E14+I14+M14</f>
        <v>395024.425288952</v>
      </c>
      <c r="P14" s="8" t="n">
        <f aca="false">F14+J14+N14</f>
        <v>0</v>
      </c>
      <c r="Q14" s="8" t="n">
        <f aca="false">SUMIFS('Site Daily'!$H$6:$H$98,'Site Daily'!$A$6:$A$98,"&gt;="&amp;$A14,'Site Daily'!$A$6:$A$98,"&lt;="&amp;$B14)</f>
        <v>0</v>
      </c>
      <c r="R14" s="8" t="n">
        <f aca="false">IFERROR(SUMIFS('Site Daily'!$H$6:$H$98,'Site Daily'!$A$6:$A$98,"&gt;="&amp;$A14,'Site Daily'!$A$6:$A$98,"&lt;="&amp;$B14)/SUMIFS('Site Daily'!$G$6:$G$98,'Site Daily'!$A$6:$A$98,"&gt;="&amp;$A14,'Site Daily'!$A$6:$A$98,"&lt;="&amp;$B14),0)</f>
        <v>0</v>
      </c>
    </row>
    <row r="15" customFormat="false" ht="15" hidden="false" customHeight="false" outlineLevel="0" collapsed="false">
      <c r="A15" s="44" t="n">
        <v>46363</v>
      </c>
      <c r="B15" s="44" t="n">
        <f aca="false">A15+6</f>
        <v>46369</v>
      </c>
      <c r="C15" s="6" t="n">
        <f aca="false">SUMIFS('BYS Daily'!$F$6:$F$98,'BYS Daily'!$A$6:$A$98,"&gt;="&amp;$A15,'BYS Daily'!$A$6:$A$98,"&lt;="&amp;$B15)</f>
        <v>7511.46666666667</v>
      </c>
      <c r="D15" s="6" t="n">
        <f aca="false">SUMIFS('BYS Daily'!$G$6:$G$98,'BYS Daily'!$A$6:$A$98,"&gt;="&amp;$A15,'BYS Daily'!$A$6:$A$98,"&lt;="&amp;$B15)</f>
        <v>0</v>
      </c>
      <c r="E15" s="8" t="n">
        <f aca="false">SUMIFS('BYS Daily'!$U$6:$U$98,'BYS Daily'!$A$6:$A$98,"&gt;="&amp;$A15,'BYS Daily'!$A$6:$A$98,"&lt;="&amp;$B15)</f>
        <v>178819.537011266</v>
      </c>
      <c r="F15" s="8" t="n">
        <f aca="false">SUMIFS('BYS Daily'!$V$6:$V$98,'BYS Daily'!$A$6:$A$98,"&gt;="&amp;$A15,'BYS Daily'!$A$6:$A$98,"&lt;="&amp;$B15)</f>
        <v>0</v>
      </c>
      <c r="G15" s="6" t="n">
        <f aca="false">SUMIFS('CYP Daily'!$F$6:$F$98,'CYP Daily'!$A$6:$A$98,"&gt;="&amp;$A15,'CYP Daily'!$A$6:$A$98,"&lt;="&amp;$B15)</f>
        <v>2100</v>
      </c>
      <c r="H15" s="6" t="n">
        <f aca="false">SUMIFS('CYP Daily'!$G$6:$G$98,'CYP Daily'!$A$6:$A$98,"&gt;="&amp;$A15,'CYP Daily'!$A$6:$A$98,"&lt;="&amp;$B15)</f>
        <v>0</v>
      </c>
      <c r="I15" s="8" t="n">
        <f aca="false">SUMIFS('CYP Daily'!$U$6:$U$98,'CYP Daily'!$A$6:$A$98,"&gt;="&amp;$A15,'CYP Daily'!$A$6:$A$98,"&lt;="&amp;$B15)</f>
        <v>147000</v>
      </c>
      <c r="J15" s="8" t="n">
        <f aca="false">SUMIFS('CYP Daily'!$V$6:$V$98,'CYP Daily'!$A$6:$A$98,"&gt;="&amp;$A15,'CYP Daily'!$A$6:$A$98,"&lt;="&amp;$B15)</f>
        <v>0</v>
      </c>
      <c r="K15" s="6" t="n">
        <f aca="false">SUMIFS('YMAL Daily'!$F$6:$F$98,'YMAL Daily'!$A$6:$A$98,"&gt;="&amp;$A15,'YMAL Daily'!$A$6:$A$98,"&lt;="&amp;$B15)</f>
        <v>8652.58333333333</v>
      </c>
      <c r="L15" s="6" t="n">
        <f aca="false">SUMIFS('YMAL Daily'!$G$6:$G$98,'YMAL Daily'!$A$6:$A$98,"&gt;="&amp;$A15,'YMAL Daily'!$A$6:$A$98,"&lt;="&amp;$B15)</f>
        <v>0</v>
      </c>
      <c r="M15" s="8" t="n">
        <f aca="false">SUMIFS('YMAL Daily'!$U$6:$U$98,'YMAL Daily'!$A$6:$A$98,"&gt;="&amp;$A15,'YMAL Daily'!$A$6:$A$98,"&lt;="&amp;$B15)</f>
        <v>69204.8882776861</v>
      </c>
      <c r="N15" s="8" t="n">
        <f aca="false">SUMIFS('YMAL Daily'!$V$6:$V$98,'YMAL Daily'!$A$6:$A$98,"&gt;="&amp;$A15,'YMAL Daily'!$A$6:$A$98,"&lt;="&amp;$B15)</f>
        <v>0</v>
      </c>
      <c r="O15" s="8" t="n">
        <f aca="false">E15+I15+M15</f>
        <v>395024.425288952</v>
      </c>
      <c r="P15" s="8" t="n">
        <f aca="false">F15+J15+N15</f>
        <v>0</v>
      </c>
      <c r="Q15" s="8" t="n">
        <f aca="false">SUMIFS('Site Daily'!$H$6:$H$98,'Site Daily'!$A$6:$A$98,"&gt;="&amp;$A15,'Site Daily'!$A$6:$A$98,"&lt;="&amp;$B15)</f>
        <v>0</v>
      </c>
      <c r="R15" s="8" t="n">
        <f aca="false">IFERROR(SUMIFS('Site Daily'!$H$6:$H$98,'Site Daily'!$A$6:$A$98,"&gt;="&amp;$A15,'Site Daily'!$A$6:$A$98,"&lt;="&amp;$B15)/SUMIFS('Site Daily'!$G$6:$G$98,'Site Daily'!$A$6:$A$98,"&gt;="&amp;$A15,'Site Daily'!$A$6:$A$98,"&lt;="&amp;$B15),0)</f>
        <v>0</v>
      </c>
    </row>
    <row r="16" customFormat="false" ht="15" hidden="false" customHeight="false" outlineLevel="0" collapsed="false">
      <c r="A16" s="44" t="n">
        <v>46370</v>
      </c>
      <c r="B16" s="44" t="n">
        <f aca="false">A16+6</f>
        <v>46376</v>
      </c>
      <c r="C16" s="6" t="n">
        <f aca="false">SUMIFS('BYS Daily'!$F$6:$F$98,'BYS Daily'!$A$6:$A$98,"&gt;="&amp;$A16,'BYS Daily'!$A$6:$A$98,"&lt;="&amp;$B16)</f>
        <v>7511.46666666667</v>
      </c>
      <c r="D16" s="6" t="n">
        <f aca="false">SUMIFS('BYS Daily'!$G$6:$G$98,'BYS Daily'!$A$6:$A$98,"&gt;="&amp;$A16,'BYS Daily'!$A$6:$A$98,"&lt;="&amp;$B16)</f>
        <v>0</v>
      </c>
      <c r="E16" s="8" t="n">
        <f aca="false">SUMIFS('BYS Daily'!$U$6:$U$98,'BYS Daily'!$A$6:$A$98,"&gt;="&amp;$A16,'BYS Daily'!$A$6:$A$98,"&lt;="&amp;$B16)</f>
        <v>178819.537011266</v>
      </c>
      <c r="F16" s="8" t="n">
        <f aca="false">SUMIFS('BYS Daily'!$V$6:$V$98,'BYS Daily'!$A$6:$A$98,"&gt;="&amp;$A16,'BYS Daily'!$A$6:$A$98,"&lt;="&amp;$B16)</f>
        <v>0</v>
      </c>
      <c r="G16" s="6" t="n">
        <f aca="false">SUMIFS('CYP Daily'!$F$6:$F$98,'CYP Daily'!$A$6:$A$98,"&gt;="&amp;$A16,'CYP Daily'!$A$6:$A$98,"&lt;="&amp;$B16)</f>
        <v>2100</v>
      </c>
      <c r="H16" s="6" t="n">
        <f aca="false">SUMIFS('CYP Daily'!$G$6:$G$98,'CYP Daily'!$A$6:$A$98,"&gt;="&amp;$A16,'CYP Daily'!$A$6:$A$98,"&lt;="&amp;$B16)</f>
        <v>0</v>
      </c>
      <c r="I16" s="8" t="n">
        <f aca="false">SUMIFS('CYP Daily'!$U$6:$U$98,'CYP Daily'!$A$6:$A$98,"&gt;="&amp;$A16,'CYP Daily'!$A$6:$A$98,"&lt;="&amp;$B16)</f>
        <v>147000</v>
      </c>
      <c r="J16" s="8" t="n">
        <f aca="false">SUMIFS('CYP Daily'!$V$6:$V$98,'CYP Daily'!$A$6:$A$98,"&gt;="&amp;$A16,'CYP Daily'!$A$6:$A$98,"&lt;="&amp;$B16)</f>
        <v>0</v>
      </c>
      <c r="K16" s="6" t="n">
        <f aca="false">SUMIFS('YMAL Daily'!$F$6:$F$98,'YMAL Daily'!$A$6:$A$98,"&gt;="&amp;$A16,'YMAL Daily'!$A$6:$A$98,"&lt;="&amp;$B16)</f>
        <v>8652.58333333333</v>
      </c>
      <c r="L16" s="6" t="n">
        <f aca="false">SUMIFS('YMAL Daily'!$G$6:$G$98,'YMAL Daily'!$A$6:$A$98,"&gt;="&amp;$A16,'YMAL Daily'!$A$6:$A$98,"&lt;="&amp;$B16)</f>
        <v>0</v>
      </c>
      <c r="M16" s="8" t="n">
        <f aca="false">SUMIFS('YMAL Daily'!$U$6:$U$98,'YMAL Daily'!$A$6:$A$98,"&gt;="&amp;$A16,'YMAL Daily'!$A$6:$A$98,"&lt;="&amp;$B16)</f>
        <v>69204.8882776861</v>
      </c>
      <c r="N16" s="8" t="n">
        <f aca="false">SUMIFS('YMAL Daily'!$V$6:$V$98,'YMAL Daily'!$A$6:$A$98,"&gt;="&amp;$A16,'YMAL Daily'!$A$6:$A$98,"&lt;="&amp;$B16)</f>
        <v>0</v>
      </c>
      <c r="O16" s="8" t="n">
        <f aca="false">E16+I16+M16</f>
        <v>395024.425288952</v>
      </c>
      <c r="P16" s="8" t="n">
        <f aca="false">F16+J16+N16</f>
        <v>0</v>
      </c>
      <c r="Q16" s="8" t="n">
        <f aca="false">SUMIFS('Site Daily'!$H$6:$H$98,'Site Daily'!$A$6:$A$98,"&gt;="&amp;$A16,'Site Daily'!$A$6:$A$98,"&lt;="&amp;$B16)</f>
        <v>0</v>
      </c>
      <c r="R16" s="8" t="n">
        <f aca="false">IFERROR(SUMIFS('Site Daily'!$H$6:$H$98,'Site Daily'!$A$6:$A$98,"&gt;="&amp;$A16,'Site Daily'!$A$6:$A$98,"&lt;="&amp;$B16)/SUMIFS('Site Daily'!$G$6:$G$98,'Site Daily'!$A$6:$A$98,"&gt;="&amp;$A16,'Site Daily'!$A$6:$A$98,"&lt;="&amp;$B16),0)</f>
        <v>0</v>
      </c>
    </row>
    <row r="17" customFormat="false" ht="15" hidden="false" customHeight="false" outlineLevel="0" collapsed="false">
      <c r="A17" s="44" t="n">
        <v>46377</v>
      </c>
      <c r="B17" s="44" t="n">
        <f aca="false">A17+6</f>
        <v>46383</v>
      </c>
      <c r="C17" s="6" t="n">
        <f aca="false">SUMIFS('BYS Daily'!$F$6:$F$98,'BYS Daily'!$A$6:$A$98,"&gt;="&amp;$A17,'BYS Daily'!$A$6:$A$98,"&lt;="&amp;$B17)</f>
        <v>7511.46666666667</v>
      </c>
      <c r="D17" s="6" t="n">
        <f aca="false">SUMIFS('BYS Daily'!$G$6:$G$98,'BYS Daily'!$A$6:$A$98,"&gt;="&amp;$A17,'BYS Daily'!$A$6:$A$98,"&lt;="&amp;$B17)</f>
        <v>0</v>
      </c>
      <c r="E17" s="8" t="n">
        <f aca="false">SUMIFS('BYS Daily'!$U$6:$U$98,'BYS Daily'!$A$6:$A$98,"&gt;="&amp;$A17,'BYS Daily'!$A$6:$A$98,"&lt;="&amp;$B17)</f>
        <v>178819.537011266</v>
      </c>
      <c r="F17" s="8" t="n">
        <f aca="false">SUMIFS('BYS Daily'!$V$6:$V$98,'BYS Daily'!$A$6:$A$98,"&gt;="&amp;$A17,'BYS Daily'!$A$6:$A$98,"&lt;="&amp;$B17)</f>
        <v>0</v>
      </c>
      <c r="G17" s="6" t="n">
        <f aca="false">SUMIFS('CYP Daily'!$F$6:$F$98,'CYP Daily'!$A$6:$A$98,"&gt;="&amp;$A17,'CYP Daily'!$A$6:$A$98,"&lt;="&amp;$B17)</f>
        <v>2100</v>
      </c>
      <c r="H17" s="6" t="n">
        <f aca="false">SUMIFS('CYP Daily'!$G$6:$G$98,'CYP Daily'!$A$6:$A$98,"&gt;="&amp;$A17,'CYP Daily'!$A$6:$A$98,"&lt;="&amp;$B17)</f>
        <v>0</v>
      </c>
      <c r="I17" s="8" t="n">
        <f aca="false">SUMIFS('CYP Daily'!$U$6:$U$98,'CYP Daily'!$A$6:$A$98,"&gt;="&amp;$A17,'CYP Daily'!$A$6:$A$98,"&lt;="&amp;$B17)</f>
        <v>147000</v>
      </c>
      <c r="J17" s="8" t="n">
        <f aca="false">SUMIFS('CYP Daily'!$V$6:$V$98,'CYP Daily'!$A$6:$A$98,"&gt;="&amp;$A17,'CYP Daily'!$A$6:$A$98,"&lt;="&amp;$B17)</f>
        <v>0</v>
      </c>
      <c r="K17" s="6" t="n">
        <f aca="false">SUMIFS('YMAL Daily'!$F$6:$F$98,'YMAL Daily'!$A$6:$A$98,"&gt;="&amp;$A17,'YMAL Daily'!$A$6:$A$98,"&lt;="&amp;$B17)</f>
        <v>8652.58333333333</v>
      </c>
      <c r="L17" s="6" t="n">
        <f aca="false">SUMIFS('YMAL Daily'!$G$6:$G$98,'YMAL Daily'!$A$6:$A$98,"&gt;="&amp;$A17,'YMAL Daily'!$A$6:$A$98,"&lt;="&amp;$B17)</f>
        <v>0</v>
      </c>
      <c r="M17" s="8" t="n">
        <f aca="false">SUMIFS('YMAL Daily'!$U$6:$U$98,'YMAL Daily'!$A$6:$A$98,"&gt;="&amp;$A17,'YMAL Daily'!$A$6:$A$98,"&lt;="&amp;$B17)</f>
        <v>69204.8882776861</v>
      </c>
      <c r="N17" s="8" t="n">
        <f aca="false">SUMIFS('YMAL Daily'!$V$6:$V$98,'YMAL Daily'!$A$6:$A$98,"&gt;="&amp;$A17,'YMAL Daily'!$A$6:$A$98,"&lt;="&amp;$B17)</f>
        <v>0</v>
      </c>
      <c r="O17" s="8" t="n">
        <f aca="false">E17+I17+M17</f>
        <v>395024.425288952</v>
      </c>
      <c r="P17" s="8" t="n">
        <f aca="false">F17+J17+N17</f>
        <v>0</v>
      </c>
      <c r="Q17" s="8" t="n">
        <f aca="false">SUMIFS('Site Daily'!$H$6:$H$98,'Site Daily'!$A$6:$A$98,"&gt;="&amp;$A17,'Site Daily'!$A$6:$A$98,"&lt;="&amp;$B17)</f>
        <v>0</v>
      </c>
      <c r="R17" s="8" t="n">
        <f aca="false">IFERROR(SUMIFS('Site Daily'!$H$6:$H$98,'Site Daily'!$A$6:$A$98,"&gt;="&amp;$A17,'Site Daily'!$A$6:$A$98,"&lt;="&amp;$B17)/SUMIFS('Site Daily'!$G$6:$G$98,'Site Daily'!$A$6:$A$98,"&gt;="&amp;$A17,'Site Daily'!$A$6:$A$98,"&lt;="&amp;$B17),0)</f>
        <v>0</v>
      </c>
    </row>
    <row r="18" customFormat="false" ht="15" hidden="false" customHeight="false" outlineLevel="0" collapsed="false">
      <c r="A18" s="44" t="n">
        <v>46384</v>
      </c>
      <c r="B18" s="44" t="n">
        <f aca="false">A18+6</f>
        <v>46390</v>
      </c>
      <c r="C18" s="6" t="n">
        <f aca="false">SUMIFS('BYS Daily'!$F$6:$F$98,'BYS Daily'!$A$6:$A$98,"&gt;="&amp;$A18,'BYS Daily'!$A$6:$A$98,"&lt;="&amp;$B18)</f>
        <v>4292.26666666667</v>
      </c>
      <c r="D18" s="6" t="n">
        <f aca="false">SUMIFS('BYS Daily'!$G$6:$G$98,'BYS Daily'!$A$6:$A$98,"&gt;="&amp;$A18,'BYS Daily'!$A$6:$A$98,"&lt;="&amp;$B18)</f>
        <v>0</v>
      </c>
      <c r="E18" s="8" t="n">
        <f aca="false">SUMIFS('BYS Daily'!$U$6:$U$98,'BYS Daily'!$A$6:$A$98,"&gt;="&amp;$A18,'BYS Daily'!$A$6:$A$98,"&lt;="&amp;$B18)</f>
        <v>102182.592577866</v>
      </c>
      <c r="F18" s="8" t="n">
        <f aca="false">SUMIFS('BYS Daily'!$V$6:$V$98,'BYS Daily'!$A$6:$A$98,"&gt;="&amp;$A18,'BYS Daily'!$A$6:$A$98,"&lt;="&amp;$B18)</f>
        <v>0</v>
      </c>
      <c r="G18" s="6" t="n">
        <f aca="false">SUMIFS('CYP Daily'!$F$6:$F$98,'CYP Daily'!$A$6:$A$98,"&gt;="&amp;$A18,'CYP Daily'!$A$6:$A$98,"&lt;="&amp;$B18)</f>
        <v>1200</v>
      </c>
      <c r="H18" s="6" t="n">
        <f aca="false">SUMIFS('CYP Daily'!$G$6:$G$98,'CYP Daily'!$A$6:$A$98,"&gt;="&amp;$A18,'CYP Daily'!$A$6:$A$98,"&lt;="&amp;$B18)</f>
        <v>0</v>
      </c>
      <c r="I18" s="8" t="n">
        <f aca="false">SUMIFS('CYP Daily'!$U$6:$U$98,'CYP Daily'!$A$6:$A$98,"&gt;="&amp;$A18,'CYP Daily'!$A$6:$A$98,"&lt;="&amp;$B18)</f>
        <v>84000</v>
      </c>
      <c r="J18" s="8" t="n">
        <f aca="false">SUMIFS('CYP Daily'!$V$6:$V$98,'CYP Daily'!$A$6:$A$98,"&gt;="&amp;$A18,'CYP Daily'!$A$6:$A$98,"&lt;="&amp;$B18)</f>
        <v>0</v>
      </c>
      <c r="K18" s="6" t="n">
        <f aca="false">SUMIFS('YMAL Daily'!$F$6:$F$98,'YMAL Daily'!$A$6:$A$98,"&gt;="&amp;$A18,'YMAL Daily'!$A$6:$A$98,"&lt;="&amp;$B18)</f>
        <v>4944.33333333333</v>
      </c>
      <c r="L18" s="6" t="n">
        <f aca="false">SUMIFS('YMAL Daily'!$G$6:$G$98,'YMAL Daily'!$A$6:$A$98,"&gt;="&amp;$A18,'YMAL Daily'!$A$6:$A$98,"&lt;="&amp;$B18)</f>
        <v>0</v>
      </c>
      <c r="M18" s="8" t="n">
        <f aca="false">SUMIFS('YMAL Daily'!$U$6:$U$98,'YMAL Daily'!$A$6:$A$98,"&gt;="&amp;$A18,'YMAL Daily'!$A$6:$A$98,"&lt;="&amp;$B18)</f>
        <v>39545.650444392</v>
      </c>
      <c r="N18" s="8" t="n">
        <f aca="false">SUMIFS('YMAL Daily'!$V$6:$V$98,'YMAL Daily'!$A$6:$A$98,"&gt;="&amp;$A18,'YMAL Daily'!$A$6:$A$98,"&lt;="&amp;$B18)</f>
        <v>0</v>
      </c>
      <c r="O18" s="8" t="n">
        <f aca="false">E18+I18+M18</f>
        <v>225728.243022258</v>
      </c>
      <c r="P18" s="8" t="n">
        <f aca="false">F18+J18+N18</f>
        <v>0</v>
      </c>
      <c r="Q18" s="8" t="n">
        <f aca="false">SUMIFS('Site Daily'!$H$6:$H$98,'Site Daily'!$A$6:$A$98,"&gt;="&amp;$A18,'Site Daily'!$A$6:$A$98,"&lt;="&amp;$B18)</f>
        <v>0</v>
      </c>
      <c r="R18" s="8" t="n">
        <f aca="false">IFERROR(SUMIFS('Site Daily'!$H$6:$H$98,'Site Daily'!$A$6:$A$98,"&gt;="&amp;$A18,'Site Daily'!$A$6:$A$98,"&lt;="&amp;$B18)/SUMIFS('Site Daily'!$G$6:$G$98,'Site Daily'!$A$6:$A$98,"&gt;="&amp;$A18,'Site Daily'!$A$6:$A$98,"&lt;="&amp;$B18),0)</f>
        <v>0</v>
      </c>
    </row>
    <row r="19" customFormat="false" ht="15" hidden="false" customHeight="false" outlineLevel="0" collapsed="false">
      <c r="A19" s="15" t="s">
        <v>203</v>
      </c>
      <c r="C19" s="12" t="n">
        <f aca="false">SUM(C5:C18)</f>
        <v>96249.2333333334</v>
      </c>
      <c r="D19" s="12" t="n">
        <f aca="false">SUM(D5:D18)</f>
        <v>3399</v>
      </c>
      <c r="E19" s="14" t="n">
        <f aca="false">SUM(E5:E18)</f>
        <v>2196904.0791524</v>
      </c>
      <c r="F19" s="14" t="n">
        <f aca="false">SUM(F5:F18)</f>
        <v>0</v>
      </c>
      <c r="G19" s="12" t="n">
        <f aca="false">SUM(G5:G18)</f>
        <v>24900</v>
      </c>
      <c r="H19" s="12" t="n">
        <f aca="false">SUM(H5:H18)</f>
        <v>0</v>
      </c>
      <c r="I19" s="14" t="n">
        <f aca="false">SUM(I5:I18)</f>
        <v>1717800</v>
      </c>
      <c r="J19" s="14" t="n">
        <f aca="false">SUM(J5:J18)</f>
        <v>0</v>
      </c>
      <c r="K19" s="12" t="n">
        <f aca="false">SUM(K5:K18)</f>
        <v>109740.25</v>
      </c>
      <c r="L19" s="12" t="n">
        <f aca="false">SUM(L5:L18)</f>
        <v>5678</v>
      </c>
      <c r="M19" s="14" t="n">
        <f aca="false">SUM(M5:M18)</f>
        <v>740343.553919639</v>
      </c>
      <c r="N19" s="14" t="n">
        <f aca="false">SUM(N5:N18)</f>
        <v>0</v>
      </c>
      <c r="O19" s="14" t="n">
        <f aca="false">SUM(O5:O18)</f>
        <v>4655047.63307204</v>
      </c>
      <c r="P19" s="14" t="n">
        <f aca="false">SUM(P5:P18)</f>
        <v>0</v>
      </c>
      <c r="Q19" s="14" t="n">
        <f aca="false">SUM(Q5:Q18)</f>
        <v>16753737.93</v>
      </c>
      <c r="R19" s="14" t="n">
        <f aca="false">IFERROR(Q19/SUM('Site Daily'!G6:G98),0)</f>
        <v>2018.03636834498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5" min="4" style="0" width="50"/>
  </cols>
  <sheetData>
    <row r="1" customFormat="false" ht="17.35" hidden="false" customHeight="false" outlineLevel="0" collapsed="false">
      <c r="A1" s="1" t="s">
        <v>204</v>
      </c>
    </row>
    <row r="3" customFormat="false" ht="15" hidden="false" customHeight="false" outlineLevel="0" collapsed="false">
      <c r="A3" s="3" t="s">
        <v>205</v>
      </c>
      <c r="B3" s="3" t="s">
        <v>20</v>
      </c>
      <c r="C3" s="3" t="s">
        <v>206</v>
      </c>
      <c r="D3" s="3" t="s">
        <v>207</v>
      </c>
      <c r="E3" s="3" t="s">
        <v>208</v>
      </c>
    </row>
    <row r="4" customFormat="false" ht="15" hidden="false" customHeight="false" outlineLevel="0" collapsed="false">
      <c r="A4" s="54" t="s">
        <v>209</v>
      </c>
      <c r="B4" s="54" t="s">
        <v>162</v>
      </c>
      <c r="C4" s="54" t="s">
        <v>210</v>
      </c>
      <c r="D4" s="54" t="s">
        <v>211</v>
      </c>
      <c r="E4" s="54" t="s">
        <v>212</v>
      </c>
    </row>
    <row r="5" customFormat="false" ht="23.85" hidden="false" customHeight="false" outlineLevel="0" collapsed="false">
      <c r="A5" s="54" t="s">
        <v>209</v>
      </c>
      <c r="B5" s="54" t="s">
        <v>213</v>
      </c>
      <c r="C5" s="54" t="s">
        <v>214</v>
      </c>
      <c r="D5" s="54" t="s">
        <v>215</v>
      </c>
      <c r="E5" s="54" t="s">
        <v>216</v>
      </c>
    </row>
    <row r="6" customFormat="false" ht="15" hidden="false" customHeight="false" outlineLevel="0" collapsed="false">
      <c r="A6" s="54" t="s">
        <v>209</v>
      </c>
      <c r="B6" s="54" t="s">
        <v>217</v>
      </c>
      <c r="C6" s="54" t="s">
        <v>218</v>
      </c>
      <c r="D6" s="54" t="s">
        <v>219</v>
      </c>
      <c r="E6" s="54" t="s">
        <v>220</v>
      </c>
    </row>
    <row r="7" customFormat="false" ht="23.85" hidden="false" customHeight="false" outlineLevel="0" collapsed="false">
      <c r="A7" s="54" t="s">
        <v>209</v>
      </c>
      <c r="B7" s="54" t="s">
        <v>221</v>
      </c>
      <c r="C7" s="54" t="s">
        <v>222</v>
      </c>
      <c r="D7" s="54" t="s">
        <v>223</v>
      </c>
      <c r="E7" s="54" t="s">
        <v>224</v>
      </c>
    </row>
    <row r="8" customFormat="false" ht="15" hidden="false" customHeight="false" outlineLevel="0" collapsed="false">
      <c r="A8" s="54" t="s">
        <v>209</v>
      </c>
      <c r="B8" s="54" t="s">
        <v>225</v>
      </c>
      <c r="C8" s="54" t="s">
        <v>226</v>
      </c>
      <c r="D8" s="54" t="s">
        <v>227</v>
      </c>
      <c r="E8" s="54" t="s">
        <v>228</v>
      </c>
    </row>
    <row r="9" customFormat="false" ht="15" hidden="false" customHeight="false" outlineLevel="0" collapsed="false">
      <c r="A9" s="54" t="s">
        <v>209</v>
      </c>
      <c r="B9" s="54" t="s">
        <v>229</v>
      </c>
      <c r="C9" s="54" t="s">
        <v>230</v>
      </c>
      <c r="D9" s="54" t="s">
        <v>231</v>
      </c>
      <c r="E9" s="54" t="s">
        <v>232</v>
      </c>
    </row>
    <row r="10" customFormat="false" ht="15" hidden="false" customHeight="false" outlineLevel="0" collapsed="false">
      <c r="A10" s="54" t="s">
        <v>233</v>
      </c>
      <c r="B10" s="54" t="s">
        <v>171</v>
      </c>
      <c r="C10" s="54" t="s">
        <v>234</v>
      </c>
      <c r="D10" s="54" t="s">
        <v>227</v>
      </c>
      <c r="E10" s="54" t="s">
        <v>235</v>
      </c>
    </row>
    <row r="11" customFormat="false" ht="15" hidden="false" customHeight="false" outlineLevel="0" collapsed="false">
      <c r="A11" s="54" t="s">
        <v>233</v>
      </c>
      <c r="B11" s="54" t="s">
        <v>172</v>
      </c>
      <c r="C11" s="54" t="s">
        <v>236</v>
      </c>
      <c r="D11" s="54" t="s">
        <v>237</v>
      </c>
      <c r="E11" s="54" t="s">
        <v>238</v>
      </c>
    </row>
    <row r="12" customFormat="false" ht="15" hidden="false" customHeight="false" outlineLevel="0" collapsed="false">
      <c r="A12" s="54" t="s">
        <v>233</v>
      </c>
      <c r="B12" s="54" t="s">
        <v>239</v>
      </c>
      <c r="C12" s="54" t="s">
        <v>240</v>
      </c>
      <c r="D12" s="54" t="s">
        <v>241</v>
      </c>
      <c r="E12" s="54" t="s">
        <v>242</v>
      </c>
    </row>
    <row r="13" customFormat="false" ht="23.85" hidden="false" customHeight="false" outlineLevel="0" collapsed="false">
      <c r="A13" s="54" t="s">
        <v>233</v>
      </c>
      <c r="B13" s="54" t="s">
        <v>243</v>
      </c>
      <c r="C13" s="54" t="s">
        <v>244</v>
      </c>
      <c r="D13" s="54" t="s">
        <v>245</v>
      </c>
      <c r="E13" s="54" t="s">
        <v>246</v>
      </c>
    </row>
    <row r="14" customFormat="false" ht="23.85" hidden="false" customHeight="false" outlineLevel="0" collapsed="false">
      <c r="A14" s="54" t="s">
        <v>233</v>
      </c>
      <c r="B14" s="54" t="s">
        <v>247</v>
      </c>
      <c r="C14" s="54" t="s">
        <v>248</v>
      </c>
      <c r="D14" s="54" t="s">
        <v>249</v>
      </c>
      <c r="E14" s="54" t="s">
        <v>250</v>
      </c>
    </row>
    <row r="15" customFormat="false" ht="23.85" hidden="false" customHeight="false" outlineLevel="0" collapsed="false">
      <c r="A15" s="54" t="s">
        <v>251</v>
      </c>
      <c r="B15" s="54" t="s">
        <v>252</v>
      </c>
      <c r="C15" s="54" t="s">
        <v>253</v>
      </c>
      <c r="D15" s="54" t="s">
        <v>254</v>
      </c>
      <c r="E15" s="54" t="s">
        <v>255</v>
      </c>
    </row>
    <row r="16" customFormat="false" ht="15" hidden="false" customHeight="false" outlineLevel="0" collapsed="false">
      <c r="A16" s="54" t="s">
        <v>251</v>
      </c>
      <c r="B16" s="54" t="s">
        <v>256</v>
      </c>
      <c r="C16" s="54" t="s">
        <v>257</v>
      </c>
      <c r="D16" s="54" t="s">
        <v>258</v>
      </c>
      <c r="E16" s="54" t="s">
        <v>259</v>
      </c>
    </row>
    <row r="17" customFormat="false" ht="23.85" hidden="false" customHeight="false" outlineLevel="0" collapsed="false">
      <c r="A17" s="54" t="s">
        <v>251</v>
      </c>
      <c r="B17" s="54" t="s">
        <v>260</v>
      </c>
      <c r="C17" s="54" t="s">
        <v>261</v>
      </c>
      <c r="D17" s="54" t="s">
        <v>262</v>
      </c>
      <c r="E17" s="54" t="s">
        <v>263</v>
      </c>
    </row>
    <row r="18" customFormat="false" ht="15" hidden="false" customHeight="false" outlineLevel="0" collapsed="false">
      <c r="A18" s="54" t="s">
        <v>251</v>
      </c>
      <c r="B18" s="54" t="s">
        <v>264</v>
      </c>
      <c r="C18" s="54" t="s">
        <v>265</v>
      </c>
      <c r="D18" s="54" t="s">
        <v>266</v>
      </c>
      <c r="E18" s="54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2026-10-06T11:36:07Z</dcterms:created>
  <dc:creator>openpyxl</dc:creator>
  <dc:description/>
  <dc:language>en-US</dc:language>
  <cp:lastModifiedBy/>
  <dcterms:modified xsi:type="dcterms:W3CDTF">2026-10-06T11:36:07Z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