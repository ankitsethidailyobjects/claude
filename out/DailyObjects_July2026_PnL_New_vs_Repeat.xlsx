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 &amp; Sources" sheetId="1" state="visible" r:id="rId1"/>
    <sheet name="P&amp;L — New vs Repeat" sheetId="2" state="visible" r:id="rId2"/>
    <sheet name="COGS Reference" sheetId="3" state="visible" r:id="rId3"/>
    <sheet name="Method &amp;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666666"/>
      <sz val="9"/>
    </font>
    <font>
      <b val="1"/>
      <color rgb="00FFFFFF"/>
    </font>
    <font>
      <b val="1"/>
    </font>
    <font>
      <b val="1"/>
      <color rgb="001F3864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pivotButton="0" quotePrefix="0" xfId="0"/>
    <xf numFmtId="0" fontId="0" fillId="0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9" fontId="0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4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3" fontId="0" fillId="5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3" fontId="4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3" fontId="3" fillId="2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0" fillId="0" borderId="1" pivotButton="0" quotePrefix="0" xfId="0"/>
    <xf numFmtId="165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16" customWidth="1" min="4" max="4"/>
    <col width="16" customWidth="1" min="5" max="5"/>
    <col width="40" customWidth="1" min="6" max="6"/>
  </cols>
  <sheetData>
    <row r="2">
      <c r="B2" s="1" t="inlineStr">
        <is>
          <t>DailyObjects · July 2026 · D2C P&amp;L — New vs Repeat (CM2 model)</t>
        </is>
      </c>
    </row>
    <row r="3">
      <c r="B3" s="2" t="inlineStr">
        <is>
          <t>Driver-based model. Yellow cells are editable inputs — change them and the P&amp;L tab recalculates. Directional v1 (see notes).</t>
        </is>
      </c>
    </row>
    <row r="5">
      <c r="B5" s="3" t="inlineStr">
        <is>
          <t>KEY DRIVERS (editable)</t>
        </is>
      </c>
      <c r="C5" s="4" t="inlineStr">
        <is>
          <t>Value</t>
        </is>
      </c>
      <c r="D5" s="5" t="inlineStr"/>
      <c r="E5" s="5" t="inlineStr"/>
      <c r="F5" s="3" t="inlineStr">
        <is>
          <t>Source / logic</t>
        </is>
      </c>
    </row>
    <row r="6">
      <c r="B6" s="6" t="inlineStr">
        <is>
          <t>July TOTAL net revenue (ex-GST, post-returns) ₹</t>
        </is>
      </c>
      <c r="C6" s="7" t="n">
        <v>83000000</v>
      </c>
      <c r="D6" s="8" t="inlineStr"/>
      <c r="E6" s="8" t="inlineStr"/>
      <c r="F6" s="9" t="inlineStr">
        <is>
          <t>SCALE ANCHOR — estimate. Two methods converge ~₹8.3 Cr: (a) COGS grand-total ÷ ~3 months; (b) July paid media ₹3.53 Cr ÷ 43% ad-to-rev. REPLACE with DMR actual.</t>
        </is>
      </c>
    </row>
    <row r="7">
      <c r="B7" s="6" t="inlineStr">
        <is>
          <t>New-user share of net revenue %</t>
        </is>
      </c>
      <c r="C7" s="10" t="n">
        <v>0.506</v>
      </c>
      <c r="D7" s="8" t="inlineStr"/>
      <c r="E7" s="8" t="inlineStr"/>
      <c r="F7" s="9" t="inlineStr">
        <is>
          <t>July-31 DMR sample (realized orders). Repeat = 1 − this.</t>
        </is>
      </c>
    </row>
    <row r="8">
      <c r="B8" s="6" t="inlineStr">
        <is>
          <t>AOV — New user (gross ₹/order)</t>
        </is>
      </c>
      <c r="C8" s="7" t="n">
        <v>2602</v>
      </c>
      <c r="D8" s="8" t="inlineStr"/>
      <c r="E8" s="8" t="inlineStr"/>
      <c r="F8" s="9" t="inlineStr">
        <is>
          <t>July-31 DMR sample.</t>
        </is>
      </c>
    </row>
    <row r="9">
      <c r="B9" s="6" t="inlineStr">
        <is>
          <t>AOV — Repeat user (gross ₹/order)</t>
        </is>
      </c>
      <c r="C9" s="7" t="n">
        <v>3111</v>
      </c>
      <c r="D9" s="8" t="inlineStr"/>
      <c r="E9" s="8" t="inlineStr"/>
      <c r="F9" s="9" t="inlineStr">
        <is>
          <t>July-31 DMR sample.</t>
        </is>
      </c>
    </row>
    <row r="10">
      <c r="B10" s="6" t="inlineStr">
        <is>
          <t>Net Revenue ÷ Gross Revenue</t>
        </is>
      </c>
      <c r="C10" s="11" t="n">
        <v>0.7477</v>
      </c>
      <c r="D10" s="8" t="inlineStr"/>
      <c r="E10" s="8" t="inlineStr"/>
      <c r="F10" s="9" t="inlineStr">
        <is>
          <t>COGS file grand total: 247.9M/331.6M (removes ~13% returns + GST).</t>
        </is>
      </c>
    </row>
    <row r="11">
      <c r="B11" s="6" t="inlineStr">
        <is>
          <t>Net COGS % of net revenue</t>
        </is>
      </c>
      <c r="C11" s="10" t="n">
        <v>0.4483</v>
      </c>
      <c r="D11" s="8" t="inlineStr"/>
      <c r="E11" s="8" t="inlineStr"/>
      <c r="F11" s="9" t="inlineStr">
        <is>
          <t>COGS file grand total: 111.14M/247.9M.</t>
        </is>
      </c>
    </row>
    <row r="12">
      <c r="B12" s="6" t="inlineStr">
        <is>
          <t>Fulfilment cost % of net revenue</t>
        </is>
      </c>
      <c r="C12" s="10" t="n">
        <v>0.0914</v>
      </c>
      <c r="D12" s="8" t="inlineStr"/>
      <c r="E12" s="8" t="inlineStr"/>
      <c r="F12" s="9" t="inlineStr">
        <is>
          <t>COGS file grand total: 22.65M/247.9M.</t>
        </is>
      </c>
    </row>
    <row r="14">
      <c r="B14" s="3" t="inlineStr">
        <is>
          <t>MARKETING ACTUALS — July 2026 (₹)</t>
        </is>
      </c>
      <c r="C14" s="4" t="inlineStr">
        <is>
          <t>Total spend</t>
        </is>
      </c>
      <c r="D14" s="4" t="inlineStr">
        <is>
          <t>% to New</t>
        </is>
      </c>
      <c r="E14" s="4" t="inlineStr">
        <is>
          <t>% to Repeat</t>
        </is>
      </c>
      <c r="F14" s="3" t="inlineStr">
        <is>
          <t>Source / allocation logic</t>
        </is>
      </c>
    </row>
    <row r="15">
      <c r="B15" s="6" t="inlineStr">
        <is>
          <t>Meta — Prospecting / Category / Influencer</t>
        </is>
      </c>
      <c r="C15" s="7" t="n">
        <v>16956520</v>
      </c>
      <c r="D15" s="12" t="n">
        <v>1</v>
      </c>
      <c r="E15" s="12" t="n">
        <v>0</v>
      </c>
      <c r="F15" s="9" t="inlineStr">
        <is>
          <t>Windsor Meta; non-DPA/non-cross-sell campaigns. Pure acquisition → New.</t>
        </is>
      </c>
    </row>
    <row r="16">
      <c r="B16" s="6" t="inlineStr">
        <is>
          <t>Meta — Retargeting / DPA / Cross-sell</t>
        </is>
      </c>
      <c r="C16" s="7" t="n">
        <v>9703144</v>
      </c>
      <c r="D16" s="12" t="n">
        <v>0.2</v>
      </c>
      <c r="E16" s="12" t="n">
        <v>0.8</v>
      </c>
      <c r="F16" s="9" t="inlineStr">
        <is>
          <t>Windsor Meta; DPA_Max_Value, DPA_PDP_Views, Cross_Sell_*. Mostly returning audiences.</t>
        </is>
      </c>
    </row>
    <row r="17">
      <c r="B17" s="6" t="inlineStr">
        <is>
          <t>Google — PMax (Search+Display+Video)</t>
        </is>
      </c>
      <c r="C17" s="7" t="n">
        <v>8152672</v>
      </c>
      <c r="D17" s="12" t="n">
        <v>0.7</v>
      </c>
      <c r="E17" s="12" t="n">
        <v>0.3</v>
      </c>
      <c r="F17" s="9" t="inlineStr">
        <is>
          <t>Windsor Google Ads. Acquisition-heavy but captures some returning.</t>
        </is>
      </c>
    </row>
    <row r="18">
      <c r="B18" s="6" t="inlineStr">
        <is>
          <t>Google — Brand Search</t>
        </is>
      </c>
      <c r="C18" s="7" t="n">
        <v>489181</v>
      </c>
      <c r="D18" s="12" t="n">
        <v>0.4</v>
      </c>
      <c r="E18" s="12" t="n">
        <v>0.6</v>
      </c>
      <c r="F18" s="9" t="inlineStr">
        <is>
          <t>Windsor Google Ads. Brand keywords skew to existing-intent/returning.</t>
        </is>
      </c>
    </row>
    <row r="19">
      <c r="B19" s="6" t="inlineStr">
        <is>
          <t>CRM — Moengage (platform + comms)</t>
        </is>
      </c>
      <c r="C19" s="7" t="n">
        <v>500000</v>
      </c>
      <c r="D19" s="12" t="n">
        <v>0</v>
      </c>
      <c r="E19" s="12" t="n">
        <v>1</v>
      </c>
      <c r="F19" s="9" t="inlineStr">
        <is>
          <t>PLACEHOLDER — not in API (broadcast push ≈ free). Put actual Moengage invoice. → Repeat.</t>
        </is>
      </c>
    </row>
    <row r="20">
      <c r="B20" s="13" t="inlineStr">
        <is>
          <t>TOTAL paid media + CRM</t>
        </is>
      </c>
      <c r="C20" s="14">
        <f>SUM(C15:C19)</f>
        <v/>
      </c>
      <c r="D20" s="15" t="n"/>
      <c r="E20" s="15" t="n"/>
      <c r="F20" s="15" t="n"/>
    </row>
  </sheetData>
  <mergeCells count="2">
    <mergeCell ref="B2:F2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1" customWidth="1" min="6" max="6"/>
  </cols>
  <sheetData>
    <row r="2">
      <c r="B2" s="1" t="inlineStr">
        <is>
          <t>July 2026 — D2C P&amp;L to CM2 · New vs Repeat User</t>
        </is>
      </c>
    </row>
    <row r="3">
      <c r="B3" s="2" t="inlineStr">
        <is>
          <t>₹, unless noted. Structural margins from COGS file; segment mix from July-31 DMR sample; media = July actuals.</t>
        </is>
      </c>
    </row>
    <row r="5">
      <c r="B5" s="3" t="inlineStr">
        <is>
          <t>P&amp;L line</t>
        </is>
      </c>
      <c r="C5" s="4" t="inlineStr">
        <is>
          <t>New user</t>
        </is>
      </c>
      <c r="D5" s="4" t="inlineStr">
        <is>
          <t>Repeat user</t>
        </is>
      </c>
      <c r="E5" s="4" t="inlineStr">
        <is>
          <t>Total</t>
        </is>
      </c>
      <c r="F5" s="4" t="inlineStr">
        <is>
          <t>% net rev</t>
        </is>
      </c>
    </row>
    <row r="6">
      <c r="B6" s="13" t="inlineStr">
        <is>
          <t>Net Revenue (ex-GST, post-returns)</t>
        </is>
      </c>
      <c r="C6" s="16">
        <f>'Drivers &amp; Sources'!C6*'Drivers &amp; Sources'!C7</f>
        <v/>
      </c>
      <c r="D6" s="16">
        <f>'Drivers &amp; Sources'!C6*(1-'Drivers &amp; Sources'!C7)</f>
        <v/>
      </c>
      <c r="E6" s="16">
        <f>C6+D6</f>
        <v/>
      </c>
      <c r="F6" s="17" t="inlineStr">
        <is>
          <t>100%</t>
        </is>
      </c>
    </row>
    <row r="7">
      <c r="B7" s="18" t="inlineStr">
        <is>
          <t xml:space="preserve">   Gross revenue (memo, incl GST+returns)</t>
        </is>
      </c>
      <c r="C7" s="19">
        <f>C6/'Drivers &amp; Sources'!C10</f>
        <v/>
      </c>
      <c r="D7" s="19">
        <f>D6/'Drivers &amp; Sources'!C10</f>
        <v/>
      </c>
      <c r="E7" s="19">
        <f>C7+D7</f>
        <v/>
      </c>
      <c r="F7" s="20">
        <f>IFERROR(E7/$E$6,"")</f>
        <v/>
      </c>
    </row>
    <row r="8">
      <c r="B8" s="18" t="inlineStr">
        <is>
          <t xml:space="preserve">   Orders (derived = gross ÷ AOV)</t>
        </is>
      </c>
      <c r="C8" s="19">
        <f>C7/'Drivers &amp; Sources'!C8</f>
        <v/>
      </c>
      <c r="D8" s="19">
        <f>D7/'Drivers &amp; Sources'!C9</f>
        <v/>
      </c>
      <c r="E8" s="19">
        <f>C8+D8</f>
        <v/>
      </c>
      <c r="F8" s="8" t="inlineStr"/>
    </row>
    <row r="9">
      <c r="B9" s="6" t="inlineStr">
        <is>
          <t xml:space="preserve">   Less: Net COGS</t>
        </is>
      </c>
      <c r="C9" s="21">
        <f>-C6*'Drivers &amp; Sources'!C11</f>
        <v/>
      </c>
      <c r="D9" s="21">
        <f>-D6*'Drivers &amp; Sources'!C11</f>
        <v/>
      </c>
      <c r="E9" s="21">
        <f>C9+D9</f>
        <v/>
      </c>
      <c r="F9" s="22">
        <f>IFERROR(E9/$E$6,"")</f>
        <v/>
      </c>
    </row>
    <row r="10">
      <c r="B10" s="23">
        <f> Product Margin</f>
        <v/>
      </c>
      <c r="C10" s="24">
        <f>C6+C9</f>
        <v/>
      </c>
      <c r="D10" s="24">
        <f>D6+D9</f>
        <v/>
      </c>
      <c r="E10" s="24">
        <f>C10+D10</f>
        <v/>
      </c>
      <c r="F10" s="25">
        <f>E10/E6</f>
        <v/>
      </c>
    </row>
    <row r="11">
      <c r="B11" s="6" t="inlineStr">
        <is>
          <t xml:space="preserve">   Less: Fulfilment / logistics</t>
        </is>
      </c>
      <c r="C11" s="21">
        <f>-C6*'Drivers &amp; Sources'!C12</f>
        <v/>
      </c>
      <c r="D11" s="21">
        <f>-D6*'Drivers &amp; Sources'!C12</f>
        <v/>
      </c>
      <c r="E11" s="21">
        <f>C11+D11</f>
        <v/>
      </c>
      <c r="F11" s="22">
        <f>IFERROR(E11/$E$6,"")</f>
        <v/>
      </c>
    </row>
    <row r="12">
      <c r="B12" s="23">
        <f> CM1 (post-fulfilment)</f>
        <v/>
      </c>
      <c r="C12" s="24">
        <f>C10+C11</f>
        <v/>
      </c>
      <c r="D12" s="24">
        <f>D10+D11</f>
        <v/>
      </c>
      <c r="E12" s="24">
        <f>C12+D12</f>
        <v/>
      </c>
      <c r="F12" s="25">
        <f>E12/E6</f>
        <v/>
      </c>
    </row>
    <row r="13">
      <c r="B13" s="6" t="inlineStr">
        <is>
          <t xml:space="preserve">   Less: Performance media (Meta+Google)</t>
        </is>
      </c>
      <c r="C13" s="21">
        <f>-(SUMPRODUCT('Drivers &amp; Sources'!C15:C19,'Drivers &amp; Sources'!D15:D19)-'Drivers &amp; Sources'!C19*'Drivers &amp; Sources'!D19)</f>
        <v/>
      </c>
      <c r="D13" s="21">
        <f>-(SUMPRODUCT('Drivers &amp; Sources'!C15:C19,'Drivers &amp; Sources'!E15:E19)-'Drivers &amp; Sources'!C19*'Drivers &amp; Sources'!E19)</f>
        <v/>
      </c>
      <c r="E13" s="21">
        <f>C13+D13</f>
        <v/>
      </c>
      <c r="F13" s="22">
        <f>IFERROR(E13/$E$6,"")</f>
        <v/>
      </c>
    </row>
    <row r="14">
      <c r="B14" s="6" t="inlineStr">
        <is>
          <t xml:space="preserve">   Less: CRM (Moengage)</t>
        </is>
      </c>
      <c r="C14" s="21">
        <f>-'Drivers &amp; Sources'!C19*'Drivers &amp; Sources'!D19</f>
        <v/>
      </c>
      <c r="D14" s="21">
        <f>-'Drivers &amp; Sources'!C19*'Drivers &amp; Sources'!E19</f>
        <v/>
      </c>
      <c r="E14" s="21">
        <f>C14+D14</f>
        <v/>
      </c>
      <c r="F14" s="22">
        <f>IFERROR(E14/$E$6,"")</f>
        <v/>
      </c>
    </row>
    <row r="15">
      <c r="B15" s="26">
        <f> CM2 (post-marketing)</f>
        <v/>
      </c>
      <c r="C15" s="27">
        <f>C12+C13+C14</f>
        <v/>
      </c>
      <c r="D15" s="27">
        <f>D12+D13+D14</f>
        <v/>
      </c>
      <c r="E15" s="27">
        <f>C15+D15</f>
        <v/>
      </c>
      <c r="F15" s="28">
        <f>E15/E6</f>
        <v/>
      </c>
    </row>
    <row r="17">
      <c r="B17" s="3" t="inlineStr">
        <is>
          <t>MEMO — unit economics</t>
        </is>
      </c>
      <c r="C17" s="4" t="inlineStr">
        <is>
          <t>New</t>
        </is>
      </c>
      <c r="D17" s="4" t="inlineStr">
        <is>
          <t>Repeat</t>
        </is>
      </c>
      <c r="E17" s="4" t="inlineStr">
        <is>
          <t>Blended</t>
        </is>
      </c>
      <c r="F17" s="5" t="inlineStr"/>
    </row>
    <row r="18">
      <c r="B18" s="6" t="inlineStr">
        <is>
          <t>Marketing per order (CAC / retention ₹)</t>
        </is>
      </c>
      <c r="C18" s="21">
        <f>-(C13+C14)/C8</f>
        <v/>
      </c>
      <c r="D18" s="21">
        <f>-(D13+D14)/D8</f>
        <v/>
      </c>
      <c r="E18" s="21">
        <f>-(E13+E14)/E8</f>
        <v/>
      </c>
      <c r="F18" t="inlineStr"/>
    </row>
    <row r="19">
      <c r="B19" s="6" t="inlineStr">
        <is>
          <t>CM1 per order ₹</t>
        </is>
      </c>
      <c r="C19" s="21">
        <f>C12/C8</f>
        <v/>
      </c>
      <c r="D19" s="21">
        <f>D12/D8</f>
        <v/>
      </c>
      <c r="E19" s="21">
        <f>E12/E8</f>
        <v/>
      </c>
      <c r="F19" t="inlineStr"/>
    </row>
    <row r="20">
      <c r="B20" s="29" t="inlineStr">
        <is>
          <t>CM2 per order ₹</t>
        </is>
      </c>
      <c r="C20" s="30">
        <f>C15/C8</f>
        <v/>
      </c>
      <c r="D20" s="30">
        <f>D15/D8</f>
        <v/>
      </c>
      <c r="E20" s="30">
        <f>E15/E8</f>
        <v/>
      </c>
      <c r="F20" t="inlineStr"/>
    </row>
    <row r="22">
      <c r="B22" s="2" t="inlineStr">
        <is>
          <t>Read: New users are typically CM2-negative (acquisition cost &gt; first-order contribution); repeat users</t>
        </is>
      </c>
    </row>
    <row r="23">
      <c r="B23" s="2" t="inlineStr">
        <is>
          <t>are strongly CM2-positive. Blended CM2 should tie to the COGS file's ~2.6%. LTV justifies new-user loss.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5" customWidth="1" min="3" max="3"/>
    <col width="15" customWidth="1" min="4" max="4"/>
    <col width="13" customWidth="1" min="5" max="5"/>
    <col width="13" customWidth="1" min="6" max="6"/>
  </cols>
  <sheetData>
    <row r="2">
      <c r="B2" s="31" t="inlineStr">
        <is>
          <t>COGS / CM file — grand total (all months, all platforms)</t>
        </is>
      </c>
    </row>
    <row r="3">
      <c r="B3" s="2" t="inlineStr">
        <is>
          <t>Source: Web_Updated_cogs_CMFile.xlsx · Sheet2 pivot (Grand Total row). Ratios drive the P&amp;L.</t>
        </is>
      </c>
    </row>
    <row r="5">
      <c r="B5" s="3" t="inlineStr">
        <is>
          <t>Metric</t>
        </is>
      </c>
      <c r="C5" s="4" t="inlineStr">
        <is>
          <t>Value ₹</t>
        </is>
      </c>
      <c r="D5" s="4" t="inlineStr">
        <is>
          <t>% of Net Rev</t>
        </is>
      </c>
    </row>
    <row r="6">
      <c r="B6" s="6" t="inlineStr">
        <is>
          <t>Revenue</t>
        </is>
      </c>
      <c r="C6" s="21" t="n">
        <v>331557725</v>
      </c>
      <c r="D6" s="22" t="n">
        <v>1.337468475981286</v>
      </c>
    </row>
    <row r="7">
      <c r="B7" s="6" t="inlineStr">
        <is>
          <t>Return Sales</t>
        </is>
      </c>
      <c r="C7" s="21" t="n">
        <v>43246094</v>
      </c>
      <c r="D7" s="22" t="n">
        <v>0.1744501276039442</v>
      </c>
    </row>
    <row r="8">
      <c r="B8" s="6" t="inlineStr">
        <is>
          <t>Net Sales</t>
        </is>
      </c>
      <c r="C8" s="21" t="n">
        <v>288311631</v>
      </c>
      <c r="D8" s="22" t="n">
        <v>1.163018348377342</v>
      </c>
    </row>
    <row r="9">
      <c r="B9" s="6" t="inlineStr">
        <is>
          <t>Net Revenue</t>
        </is>
      </c>
      <c r="C9" s="21" t="n">
        <v>247899469</v>
      </c>
      <c r="D9" s="22" t="n">
        <v>1</v>
      </c>
    </row>
    <row r="10">
      <c r="B10" s="6" t="inlineStr">
        <is>
          <t>Net COGS</t>
        </is>
      </c>
      <c r="C10" s="21" t="n">
        <v>111138979</v>
      </c>
      <c r="D10" s="22" t="n">
        <v>0.4483227795861072</v>
      </c>
    </row>
    <row r="11">
      <c r="B11" s="6" t="inlineStr">
        <is>
          <t>Product Margin</t>
        </is>
      </c>
      <c r="C11" s="21" t="n">
        <v>136760490</v>
      </c>
      <c r="D11" s="22" t="n">
        <v>0.5516772204138929</v>
      </c>
    </row>
    <row r="12">
      <c r="B12" s="6" t="inlineStr">
        <is>
          <t>Est. fulfilment cost</t>
        </is>
      </c>
      <c r="C12" s="21" t="n">
        <v>22651338</v>
      </c>
      <c r="D12" s="22" t="n">
        <v>0.09137307994798488</v>
      </c>
    </row>
    <row r="13">
      <c r="B13" s="6" t="inlineStr">
        <is>
          <t>CM1</t>
        </is>
      </c>
      <c r="C13" s="21" t="n">
        <v>114109152</v>
      </c>
      <c r="D13" s="22" t="n">
        <v>0.460304140465908</v>
      </c>
    </row>
    <row r="14">
      <c r="B14" s="6" t="inlineStr">
        <is>
          <t>CM2</t>
        </is>
      </c>
      <c r="C14" s="21" t="n">
        <v>6509793</v>
      </c>
      <c r="D14" s="22" t="n">
        <v>0.02625981018136025</v>
      </c>
    </row>
    <row r="15">
      <c r="B15" s="6" t="inlineStr">
        <is>
          <t>Ad Spends</t>
        </is>
      </c>
      <c r="C15" s="21" t="n">
        <v>107599359</v>
      </c>
      <c r="D15" s="22" t="n">
        <v>0.4340443302845478</v>
      </c>
    </row>
    <row r="16">
      <c r="B16" s="6" t="inlineStr">
        <is>
          <t>QTY</t>
        </is>
      </c>
      <c r="C16" s="21" t="n">
        <v>207715</v>
      </c>
      <c r="D16" s="32" t="inlineStr"/>
    </row>
    <row r="18">
      <c r="B18" s="31" t="inlineStr">
        <is>
          <t>Derived ratios used in model</t>
        </is>
      </c>
    </row>
    <row r="19">
      <c r="B19" s="6" t="inlineStr">
        <is>
          <t>Net Rev ÷ Gross Rev</t>
        </is>
      </c>
      <c r="C19" s="33" t="n">
        <v>0.7477</v>
      </c>
    </row>
    <row r="20">
      <c r="B20" s="6" t="inlineStr">
        <is>
          <t>Net COGS % of Net Rev</t>
        </is>
      </c>
      <c r="C20" s="34" t="n">
        <v>0.4483</v>
      </c>
    </row>
    <row r="21">
      <c r="B21" s="6" t="inlineStr">
        <is>
          <t>Product Margin % of Net Rev</t>
        </is>
      </c>
      <c r="C21" s="34" t="n">
        <v>0.5517</v>
      </c>
    </row>
    <row r="22">
      <c r="B22" s="6" t="inlineStr">
        <is>
          <t>Fulfilment % of Net Rev</t>
        </is>
      </c>
      <c r="C22" s="34" t="n">
        <v>0.0914</v>
      </c>
    </row>
    <row r="23">
      <c r="B23" s="6" t="inlineStr">
        <is>
          <t>CM1 % of Net Rev</t>
        </is>
      </c>
      <c r="C23" s="34" t="n">
        <v>0.4603</v>
      </c>
    </row>
    <row r="24">
      <c r="B24" s="6" t="inlineStr">
        <is>
          <t>CM2 % of Net Rev (blended actual)</t>
        </is>
      </c>
      <c r="C24" s="34" t="n">
        <v>0.0263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2">
      <c r="B2" s="1" t="inlineStr">
        <is>
          <t>Method, sources &amp; caveats</t>
        </is>
      </c>
    </row>
    <row r="4">
      <c r="B4" s="35" t="inlineStr">
        <is>
          <t>PURPOSE — July 2026 D2C P&amp;L to CM2, split New vs Repeat users. Built as a driver model so actuals can be dropped in.</t>
        </is>
      </c>
    </row>
    <row r="5">
      <c r="B5" s="2" t="inlineStr"/>
    </row>
    <row r="6">
      <c r="B6" s="35" t="inlineStr">
        <is>
          <t>DATA SOURCES</t>
        </is>
      </c>
    </row>
    <row r="7">
      <c r="B7" s="2" t="inlineStr">
        <is>
          <t>• Structural margins (COGS%, Product Margin%, Fulfilment%, CM1/CM2%) — Web_Updated_cogs_CMFile.xlsx, Sheet2 grand total (all-month blend).</t>
        </is>
      </c>
    </row>
    <row r="8">
      <c r="B8" s="2" t="inlineStr">
        <is>
          <t>• New-vs-Repeat mix (rev share, AOV, coupon rate, category mix) — july_DMR_unmasked.csv, 'New User' flag (TRUE=new / FALSE=repeat).</t>
        </is>
      </c>
    </row>
    <row r="9">
      <c r="B9" s="2" t="inlineStr">
        <is>
          <t>• Meta &amp; Google spend — Windsor.ai (facebook + google_ads), July 2026 actuals, by campaign.</t>
        </is>
      </c>
    </row>
    <row r="10">
      <c r="B10" s="2" t="inlineStr">
        <is>
          <t>• CRM — Moengage (broadcast push ≈ zero marginal cost; platform fee is an input, not API-exposed).</t>
        </is>
      </c>
    </row>
    <row r="11">
      <c r="B11" s="2" t="inlineStr"/>
    </row>
    <row r="12">
      <c r="B12" s="35" t="inlineStr">
        <is>
          <t>KEY CAVEAT — the July DMR is 47MB and cannot be fully aggregated through available tools (10MB download cap; text</t>
        </is>
      </c>
    </row>
    <row r="13">
      <c r="B13" s="2" t="inlineStr">
        <is>
          <t>extraction truncates to only July-31 rows as the file is date-sorted). So the new/repeat SPLIT ratios (rev share 50.6/49.4,</t>
        </is>
      </c>
    </row>
    <row r="14">
      <c r="B14" s="2" t="inlineStr">
        <is>
          <t>AOV ₹2,602/₹3,111, coupon rates) come from the JULY-31 SAMPLE (816 realized orders) — directionally sound but 1 day,</t>
        </is>
      </c>
    </row>
    <row r="15">
      <c r="B15" s="2" t="inlineStr">
        <is>
          <t>month-end. The TOTAL SCALE (₹8.3 Cr net rev) is an estimate. Both are yellow inputs — replace with full-month DMR actuals.</t>
        </is>
      </c>
    </row>
    <row r="16">
      <c r="B16" s="2" t="inlineStr"/>
    </row>
    <row r="17">
      <c r="B17" s="35" t="inlineStr">
        <is>
          <t>TO FINALISE (makes every number exact): a July DMR pivot — Rows: New User × Category; Values: Sum of Product Grand</t>
        </is>
      </c>
    </row>
    <row r="18">
      <c r="B18" s="2" t="inlineStr">
        <is>
          <t>Total(FF), Sum of Order Discount + Product Discount, Sum of Qty, Distinct Order No. — split by Last Status (to separate</t>
        </is>
      </c>
    </row>
    <row r="19">
      <c r="B19" s="2" t="inlineStr">
        <is>
          <t>delivered / returned / cancelled). Drop that in and the model is final.</t>
        </is>
      </c>
    </row>
    <row r="20">
      <c r="B20" s="2" t="inlineStr"/>
    </row>
    <row r="21">
      <c r="B21" s="35" t="inlineStr">
        <is>
          <t>MARKETING TRIANGULATION — Meta split into prospecting (→New) vs DPA/retargeting/cross-sell (→mostly Repeat);</t>
        </is>
      </c>
    </row>
    <row r="22">
      <c r="B22" s="2" t="inlineStr">
        <is>
          <t>Google PMax mostly acquisition, Brand Search mostly returning; CRM → Repeat. All allocation %s are editable inputs.</t>
        </is>
      </c>
    </row>
    <row r="23">
      <c r="B23" s="2" t="inlineStr"/>
    </row>
    <row r="24">
      <c r="B24" s="35" t="inlineStr">
        <is>
          <t>COUPONS — Product Grand Total(FF) is already net of coupon, so discounts are captured ABOVE CM1 (in net revenue).</t>
        </is>
      </c>
    </row>
    <row r="25">
      <c r="B25" s="2" t="inlineStr">
        <is>
          <t>They are NOT re-subtracted in CM2. Sample discount intensity: New ~19% / Repeat ~26% of realized revenue.</t>
        </is>
      </c>
    </row>
    <row r="26">
      <c r="B26" s="2" t="inlineStr"/>
    </row>
    <row r="27">
      <c r="B27" s="35" t="inlineStr">
        <is>
          <t>VALIDATION — bottom-up blended CM2 (~2–3% of net rev) ties to the COGS file's blended CM2 of 2.6%, a good cross-check.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2026-08-17T18:18:25Z</dcterms:created>
  <dcterms:modified xsi:type="dcterms:W3CDTF">2026-08-17T18:18:25Z</dcterms:modified>
</cp:coreProperties>
</file>