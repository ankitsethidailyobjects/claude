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— New vs Repeat" sheetId="1" state="visible" r:id="rId1"/>
    <sheet name="Drivers &amp; Sources" sheetId="2" state="visible" r:id="rId2"/>
    <sheet name="COGS Reference" sheetId="3" state="visible" r:id="rId3"/>
    <sheet name="GA4 Attribution" sheetId="4" state="visible" r:id="rId4"/>
    <sheet name="Method &amp; Cave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</font>
    <font>
      <b val="1"/>
    </font>
    <font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0" fillId="3" borderId="1" pivotButton="0" quotePrefix="0" xfId="0"/>
    <xf numFmtId="3" fontId="4" fillId="8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2">
      <c r="B2" s="1" t="inlineStr">
        <is>
          <t>DailyObjects · July 2026 · D2C P&amp;L to CM2 — New vs Repeat</t>
        </is>
      </c>
    </row>
    <row r="3">
      <c r="B3" s="2" t="inlineStr">
        <is>
          <t>₹. Margins from COGS file; segment mix from July-31 DMR sample; media = July actuals. CM2 shown under BOTH attribution lenses.</t>
        </is>
      </c>
    </row>
    <row r="5">
      <c r="B5" s="3" t="inlineStr">
        <is>
          <t>P&amp;L line</t>
        </is>
      </c>
      <c r="C5" s="4" t="inlineStr">
        <is>
          <t>New user</t>
        </is>
      </c>
      <c r="D5" s="4" t="inlineStr">
        <is>
          <t>Repeat user</t>
        </is>
      </c>
      <c r="E5" s="4" t="inlineStr">
        <is>
          <t>Total</t>
        </is>
      </c>
      <c r="F5" s="4" t="inlineStr">
        <is>
          <t>% NR</t>
        </is>
      </c>
    </row>
    <row r="6">
      <c r="B6" s="5" t="inlineStr">
        <is>
          <t xml:space="preserve">   Net Revenue (ex-GST, post-returns)</t>
        </is>
      </c>
      <c r="C6" s="6" t="n">
        <v>41998000</v>
      </c>
      <c r="D6" s="6" t="n">
        <v>41002000</v>
      </c>
      <c r="E6" s="6" t="n">
        <v>83000000</v>
      </c>
      <c r="F6" s="7" t="n">
        <v>1</v>
      </c>
    </row>
    <row r="7">
      <c r="B7" s="8" t="inlineStr">
        <is>
          <t xml:space="preserve">   Gross revenue (memo, incl GST+returns)</t>
        </is>
      </c>
      <c r="C7" s="9" t="n">
        <v>56169587</v>
      </c>
      <c r="D7" s="9" t="n">
        <v>54837502</v>
      </c>
      <c r="E7" s="9" t="n">
        <v>111007088</v>
      </c>
      <c r="F7" s="10" t="n">
        <v>1.337434800053497</v>
      </c>
    </row>
    <row r="8">
      <c r="B8" s="8" t="inlineStr">
        <is>
          <t xml:space="preserve">   Orders (derived = gross ÷ AOV)</t>
        </is>
      </c>
      <c r="C8" s="9" t="n">
        <v>21587</v>
      </c>
      <c r="D8" s="9" t="n">
        <v>17627</v>
      </c>
      <c r="E8" s="9" t="n">
        <v>39214</v>
      </c>
      <c r="F8" s="11" t="n"/>
    </row>
    <row r="9">
      <c r="B9" s="12" t="inlineStr">
        <is>
          <t xml:space="preserve">   Less: Net COGS (44.8%)</t>
        </is>
      </c>
      <c r="C9" s="13" t="n">
        <v>-18827703</v>
      </c>
      <c r="D9" s="13" t="n">
        <v>-18381197</v>
      </c>
      <c r="E9" s="13" t="n">
        <v>-37208900</v>
      </c>
      <c r="F9" s="14" t="n">
        <v>-0.4483</v>
      </c>
    </row>
    <row r="10">
      <c r="B10" s="15" t="inlineStr">
        <is>
          <t xml:space="preserve">   = Product Margin</t>
        </is>
      </c>
      <c r="C10" s="16" t="n">
        <v>23170297</v>
      </c>
      <c r="D10" s="16" t="n">
        <v>22620803</v>
      </c>
      <c r="E10" s="16" t="n">
        <v>45791100</v>
      </c>
      <c r="F10" s="17" t="n">
        <v>0.5517</v>
      </c>
    </row>
    <row r="11">
      <c r="B11" s="12" t="inlineStr">
        <is>
          <t xml:space="preserve">   Less: Fulfilment / logistics (9.1%)</t>
        </is>
      </c>
      <c r="C11" s="13" t="n">
        <v>-3838617</v>
      </c>
      <c r="D11" s="13" t="n">
        <v>-3747583</v>
      </c>
      <c r="E11" s="13" t="n">
        <v>-7586200</v>
      </c>
      <c r="F11" s="14" t="n">
        <v>-0.0914</v>
      </c>
    </row>
    <row r="12">
      <c r="B12" s="15" t="inlineStr">
        <is>
          <t xml:space="preserve">   = CM1 (post-fulfilment)</t>
        </is>
      </c>
      <c r="C12" s="16" t="n">
        <v>19331679</v>
      </c>
      <c r="D12" s="16" t="n">
        <v>18873221</v>
      </c>
      <c r="E12" s="16" t="n">
        <v>38204900</v>
      </c>
      <c r="F12" s="17" t="n">
        <v>0.4603000000000002</v>
      </c>
    </row>
    <row r="14">
      <c r="B14" s="3" t="inlineStr">
        <is>
          <t>CM2 — by marketing-attribution lens</t>
        </is>
      </c>
      <c r="C14" s="4" t="inlineStr">
        <is>
          <t>New</t>
        </is>
      </c>
      <c r="D14" s="4" t="inlineStr">
        <is>
          <t>Repeat</t>
        </is>
      </c>
      <c r="E14" s="4" t="inlineStr">
        <is>
          <t>Total</t>
        </is>
      </c>
      <c r="F14" s="4" t="inlineStr">
        <is>
          <t>% NR</t>
        </is>
      </c>
    </row>
    <row r="15">
      <c r="B15" s="12" t="inlineStr">
        <is>
          <t xml:space="preserve">   Marketing (Meta+Google+CRM) — Intent-based (Meta prospecting = New)</t>
        </is>
      </c>
      <c r="C15" s="13" t="n">
        <v>-24799692</v>
      </c>
      <c r="D15" s="13" t="n">
        <v>-11001825</v>
      </c>
      <c r="E15" s="13" t="n">
        <v>-35801517</v>
      </c>
      <c r="F15" s="18" t="n"/>
    </row>
    <row r="16">
      <c r="B16" s="19" t="inlineStr">
        <is>
          <t xml:space="preserve">   = CM2 — Intent</t>
        </is>
      </c>
      <c r="C16" s="20" t="n">
        <v>-5468012</v>
      </c>
      <c r="D16" s="20" t="n">
        <v>7871395</v>
      </c>
      <c r="E16" s="20" t="n">
        <v>2403383</v>
      </c>
      <c r="F16" s="21" t="n">
        <v>0.02895642168674714</v>
      </c>
    </row>
    <row r="17">
      <c r="B17" s="22" t="inlineStr">
        <is>
          <t xml:space="preserve">      CM2 % of net revenue</t>
        </is>
      </c>
      <c r="C17" s="23" t="n">
        <v>-0.1301969665222152</v>
      </c>
      <c r="D17" s="23" t="n">
        <v>0.1919758841032146</v>
      </c>
      <c r="E17" s="23" t="n">
        <v>0.02895642168674714</v>
      </c>
      <c r="F17" s="18" t="n"/>
    </row>
    <row r="18">
      <c r="B18" s="12" t="inlineStr">
        <is>
          <t xml:space="preserve">   Marketing (Meta+Google+CRM) — GA4 last-click (observed)</t>
        </is>
      </c>
      <c r="C18" s="13" t="n">
        <v>-16994042</v>
      </c>
      <c r="D18" s="13" t="n">
        <v>-18807474</v>
      </c>
      <c r="E18" s="13" t="n">
        <v>-35801516</v>
      </c>
      <c r="F18" s="18" t="n"/>
    </row>
    <row r="19">
      <c r="B19" s="15" t="inlineStr">
        <is>
          <t xml:space="preserve">   = CM2 — GA4</t>
        </is>
      </c>
      <c r="C19" s="16" t="n">
        <v>2337638</v>
      </c>
      <c r="D19" s="16" t="n">
        <v>65746</v>
      </c>
      <c r="E19" s="16" t="n">
        <v>2403384</v>
      </c>
      <c r="F19" s="17" t="n">
        <v>0.02895643373493989</v>
      </c>
    </row>
    <row r="20">
      <c r="B20" s="22" t="inlineStr">
        <is>
          <t xml:space="preserve">      CM2 % of net revenue</t>
        </is>
      </c>
      <c r="C20" s="23" t="n">
        <v>0.05566069384256403</v>
      </c>
      <c r="D20" s="23" t="n">
        <v>0.001603487146968615</v>
      </c>
      <c r="E20" s="23" t="n">
        <v>0.02895643373493989</v>
      </c>
      <c r="F20" s="18" t="n"/>
    </row>
    <row r="22">
      <c r="B22" s="3" t="inlineStr">
        <is>
          <t>MEMO — per order (₹)</t>
        </is>
      </c>
      <c r="C22" s="4" t="inlineStr">
        <is>
          <t>New</t>
        </is>
      </c>
      <c r="D22" s="4" t="inlineStr">
        <is>
          <t>Repeat</t>
        </is>
      </c>
      <c r="E22" s="4" t="inlineStr">
        <is>
          <t>Blended</t>
        </is>
      </c>
      <c r="F22" s="24" t="inlineStr"/>
    </row>
    <row r="23">
      <c r="B23" s="12" t="inlineStr">
        <is>
          <t xml:space="preserve">   Net revenue / order</t>
        </is>
      </c>
      <c r="C23" s="13" t="n">
        <v>1946</v>
      </c>
      <c r="D23" s="13" t="n">
        <v>2326</v>
      </c>
      <c r="E23" s="13" t="n">
        <v>2117</v>
      </c>
      <c r="F23" t="inlineStr"/>
    </row>
    <row r="24">
      <c r="B24" s="12" t="inlineStr">
        <is>
          <t xml:space="preserve">   CM1 / order</t>
        </is>
      </c>
      <c r="C24" s="13" t="n">
        <v>896</v>
      </c>
      <c r="D24" s="13" t="n">
        <v>1071</v>
      </c>
      <c r="E24" s="13" t="n">
        <v>974</v>
      </c>
      <c r="F24" t="inlineStr"/>
    </row>
    <row r="25">
      <c r="B25" s="12" t="inlineStr">
        <is>
          <t xml:space="preserve">   Marketing / order — Intent</t>
        </is>
      </c>
      <c r="C25" s="13" t="n">
        <v>1149</v>
      </c>
      <c r="D25" s="13" t="n">
        <v>624</v>
      </c>
      <c r="E25" s="13" t="n">
        <v>913</v>
      </c>
      <c r="F25" t="inlineStr"/>
    </row>
    <row r="26">
      <c r="B26" s="25" t="inlineStr">
        <is>
          <t xml:space="preserve">   CM2 / order — Intent</t>
        </is>
      </c>
      <c r="C26" s="26" t="n">
        <v>-253</v>
      </c>
      <c r="D26" s="26" t="n">
        <v>447</v>
      </c>
      <c r="E26" s="26" t="n">
        <v>61</v>
      </c>
      <c r="F26" t="inlineStr"/>
    </row>
    <row r="27">
      <c r="B27" s="12" t="inlineStr">
        <is>
          <t xml:space="preserve">   Marketing / order — GA4</t>
        </is>
      </c>
      <c r="C27" s="13" t="n">
        <v>787</v>
      </c>
      <c r="D27" s="13" t="n">
        <v>1067</v>
      </c>
      <c r="E27" s="13" t="n">
        <v>913</v>
      </c>
      <c r="F27" t="inlineStr"/>
    </row>
    <row r="28">
      <c r="B28" s="25" t="inlineStr">
        <is>
          <t xml:space="preserve">   CM2 / order — GA4</t>
        </is>
      </c>
      <c r="C28" s="26" t="n">
        <v>108</v>
      </c>
      <c r="D28" s="26" t="n">
        <v>4</v>
      </c>
      <c r="E28" s="26" t="n">
        <v>61</v>
      </c>
      <c r="F28" t="inlineStr"/>
    </row>
    <row r="30">
      <c r="B30" s="27" t="inlineStr">
        <is>
          <t>Same margins &amp; spend; only how media splits New/Repeat differs. Blended CM2 identical (~+2.9%).</t>
        </is>
      </c>
    </row>
    <row r="31">
      <c r="B31" s="27" t="inlineStr">
        <is>
          <t>Intent-based ≈ ceiling on new-media (Meta=acquisition); GA4 last-click ≈ floor (credits final click). Truth between.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46" customWidth="1" min="4" max="4"/>
  </cols>
  <sheetData>
    <row r="2">
      <c r="B2" s="1" t="inlineStr">
        <is>
          <t>Drivers &amp; sources (edit these, then recompute)</t>
        </is>
      </c>
    </row>
    <row r="4">
      <c r="B4" s="3" t="inlineStr">
        <is>
          <t>KEY DRIVERS</t>
        </is>
      </c>
      <c r="C4" s="28" t="inlineStr"/>
      <c r="D4" s="3" t="inlineStr"/>
    </row>
    <row r="5">
      <c r="B5" s="12" t="inlineStr">
        <is>
          <t>July TOTAL net revenue ₹</t>
        </is>
      </c>
      <c r="C5" s="29" t="n">
        <v>83000000</v>
      </c>
      <c r="D5" s="30" t="inlineStr">
        <is>
          <t>SCALE ANCHOR (estimate). COGS grand-total ÷ ~3 mo AND July media ÷ 43% both ≈ ₹8.3 Cr. Replace with DMR actual.</t>
        </is>
      </c>
    </row>
    <row r="6">
      <c r="B6" s="12" t="inlineStr">
        <is>
          <t>New-user share of net revenue</t>
        </is>
      </c>
      <c r="C6" s="31" t="n">
        <v>0.506</v>
      </c>
      <c r="D6" s="30" t="inlineStr">
        <is>
          <t>July-31 DMR sample (realized orders).</t>
        </is>
      </c>
    </row>
    <row r="7">
      <c r="B7" s="12" t="inlineStr">
        <is>
          <t>AOV New ₹</t>
        </is>
      </c>
      <c r="C7" s="29" t="n">
        <v>2602</v>
      </c>
      <c r="D7" s="30" t="inlineStr">
        <is>
          <t>July-31 DMR sample.</t>
        </is>
      </c>
    </row>
    <row r="8">
      <c r="B8" s="12" t="inlineStr">
        <is>
          <t>AOV Repeat ₹</t>
        </is>
      </c>
      <c r="C8" s="29" t="n">
        <v>3111</v>
      </c>
      <c r="D8" s="30" t="inlineStr">
        <is>
          <t>July-31 DMR sample.</t>
        </is>
      </c>
    </row>
    <row r="9">
      <c r="B9" s="12" t="inlineStr">
        <is>
          <t>Net Rev ÷ Gross Rev</t>
        </is>
      </c>
      <c r="C9" s="31" t="n">
        <v>0.7477</v>
      </c>
      <c r="D9" s="30" t="inlineStr">
        <is>
          <t>COGS file grand total 247.9M/331.6M.</t>
        </is>
      </c>
    </row>
    <row r="10">
      <c r="B10" s="12" t="inlineStr">
        <is>
          <t>Net COGS % of Net Rev</t>
        </is>
      </c>
      <c r="C10" s="31" t="n">
        <v>0.4483</v>
      </c>
      <c r="D10" s="30" t="inlineStr">
        <is>
          <t>COGS file 111.14M/247.9M.</t>
        </is>
      </c>
    </row>
    <row r="11">
      <c r="B11" s="12" t="inlineStr">
        <is>
          <t>Fulfilment % of Net Rev</t>
        </is>
      </c>
      <c r="C11" s="31" t="n">
        <v>0.0914</v>
      </c>
      <c r="D11" s="30" t="inlineStr">
        <is>
          <t>COGS file 22.65M/247.9M.</t>
        </is>
      </c>
    </row>
    <row r="12">
      <c r="B12" s="12" t="inlineStr">
        <is>
          <t>CM1 % of Net Rev (derived)</t>
        </is>
      </c>
      <c r="C12" s="31" t="n">
        <v>0.4603000000000001</v>
      </c>
      <c r="D12" s="30">
        <f> 1 − COGS% − Fulfilment%.</f>
        <v/>
      </c>
    </row>
    <row r="13">
      <c r="B13" s="3" t="inlineStr">
        <is>
          <t>MARKETING ACTUALS (July)</t>
        </is>
      </c>
      <c r="C13" s="28" t="inlineStr"/>
      <c r="D13" s="3" t="inlineStr"/>
    </row>
    <row r="14">
      <c r="B14" s="12" t="inlineStr">
        <is>
          <t>Meta total ₹</t>
        </is>
      </c>
      <c r="C14" s="29" t="n">
        <v>26659664</v>
      </c>
      <c r="D14" s="30" t="inlineStr">
        <is>
          <t>Windsor facebook. Prospecting ₹1.70 Cr + DPA/retarget ₹0.97 Cr.</t>
        </is>
      </c>
    </row>
    <row r="15">
      <c r="B15" s="12" t="inlineStr">
        <is>
          <t>Google total ₹</t>
        </is>
      </c>
      <c r="C15" s="29" t="n">
        <v>8641852</v>
      </c>
      <c r="D15" s="30" t="inlineStr">
        <is>
          <t>Windsor google_ads. PMax ₹0.82 Cr + Brand ₹0.05 Cr.</t>
        </is>
      </c>
    </row>
    <row r="16">
      <c r="B16" s="12" t="inlineStr">
        <is>
          <t>CRM (Moengage) ₹</t>
        </is>
      </c>
      <c r="C16" s="29" t="n">
        <v>500000</v>
      </c>
      <c r="D16" s="30" t="inlineStr">
        <is>
          <t>PLACEHOLDER — no rupee API (broadcast push≈free). Use invoice. →Repeat.</t>
        </is>
      </c>
    </row>
    <row r="17">
      <c r="B17" s="3" t="inlineStr">
        <is>
          <t>ATTRIBUTION SPLITS</t>
        </is>
      </c>
      <c r="C17" s="28" t="inlineStr"/>
      <c r="D17" s="3" t="inlineStr"/>
    </row>
    <row r="18">
      <c r="B18" s="12" t="inlineStr">
        <is>
          <t>Meta new% — GA4 observed</t>
        </is>
      </c>
      <c r="C18" s="31" t="n">
        <v>0.453</v>
      </c>
      <c r="D18" s="30" t="inlineStr">
        <is>
          <t>GA4 facebook instagram/paid: 45% new / 55% ret.</t>
        </is>
      </c>
    </row>
    <row r="19">
      <c r="B19" s="12" t="inlineStr">
        <is>
          <t>Google new% — GA4 observed</t>
        </is>
      </c>
      <c r="C19" s="31" t="n">
        <v>0.569</v>
      </c>
      <c r="D19" s="30" t="inlineStr">
        <is>
          <t>GA4 google/cpc: 57% new / 43% ret.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4" customWidth="1" min="4" max="4"/>
  </cols>
  <sheetData>
    <row r="2">
      <c r="B2" s="32" t="inlineStr">
        <is>
          <t>COGS/CM file — grand total (all months, all platforms)</t>
        </is>
      </c>
    </row>
    <row r="3">
      <c r="B3" s="27" t="inlineStr">
        <is>
          <t>Source: Web_Updated_cogs_CMFile.xlsx · Sheet2 pivot. Ratios drive the P&amp;L.</t>
        </is>
      </c>
    </row>
    <row r="5">
      <c r="B5" s="3" t="inlineStr">
        <is>
          <t>Metric</t>
        </is>
      </c>
      <c r="C5" s="4" t="inlineStr">
        <is>
          <t>Value ₹</t>
        </is>
      </c>
      <c r="D5" s="4" t="inlineStr">
        <is>
          <t>% Net Rev</t>
        </is>
      </c>
    </row>
    <row r="6">
      <c r="B6" s="12" t="inlineStr">
        <is>
          <t>Revenue</t>
        </is>
      </c>
      <c r="C6" s="13" t="n">
        <v>331557725</v>
      </c>
      <c r="D6" s="14" t="n">
        <v>1.337468475981286</v>
      </c>
    </row>
    <row r="7">
      <c r="B7" s="12" t="inlineStr">
        <is>
          <t>Return Sales</t>
        </is>
      </c>
      <c r="C7" s="13" t="n">
        <v>43246094</v>
      </c>
      <c r="D7" s="14" t="n">
        <v>0.1744501276039442</v>
      </c>
    </row>
    <row r="8">
      <c r="B8" s="12" t="inlineStr">
        <is>
          <t>Net Sales</t>
        </is>
      </c>
      <c r="C8" s="13" t="n">
        <v>288311631</v>
      </c>
      <c r="D8" s="14" t="n">
        <v>1.163018348377342</v>
      </c>
    </row>
    <row r="9">
      <c r="B9" s="12" t="inlineStr">
        <is>
          <t>Net Revenue</t>
        </is>
      </c>
      <c r="C9" s="13" t="n">
        <v>247899469</v>
      </c>
      <c r="D9" s="14" t="n">
        <v>1</v>
      </c>
    </row>
    <row r="10">
      <c r="B10" s="12" t="inlineStr">
        <is>
          <t>Net COGS</t>
        </is>
      </c>
      <c r="C10" s="13" t="n">
        <v>111138979</v>
      </c>
      <c r="D10" s="14" t="n">
        <v>0.4483227795861072</v>
      </c>
    </row>
    <row r="11">
      <c r="B11" s="12" t="inlineStr">
        <is>
          <t>Product Margin</t>
        </is>
      </c>
      <c r="C11" s="13" t="n">
        <v>136760490</v>
      </c>
      <c r="D11" s="14" t="n">
        <v>0.5516772204138929</v>
      </c>
    </row>
    <row r="12">
      <c r="B12" s="12" t="inlineStr">
        <is>
          <t>Fulfilment cost</t>
        </is>
      </c>
      <c r="C12" s="13" t="n">
        <v>22651338</v>
      </c>
      <c r="D12" s="14" t="n">
        <v>0.09137307994798488</v>
      </c>
    </row>
    <row r="13">
      <c r="B13" s="12" t="inlineStr">
        <is>
          <t>CM1</t>
        </is>
      </c>
      <c r="C13" s="13" t="n">
        <v>114109152</v>
      </c>
      <c r="D13" s="14" t="n">
        <v>0.460304140465908</v>
      </c>
    </row>
    <row r="14">
      <c r="B14" s="12" t="inlineStr">
        <is>
          <t>CM2</t>
        </is>
      </c>
      <c r="C14" s="13" t="n">
        <v>6509793</v>
      </c>
      <c r="D14" s="14" t="n">
        <v>0.02625981018136025</v>
      </c>
    </row>
    <row r="15">
      <c r="B15" s="12" t="inlineStr">
        <is>
          <t>Ad Spends</t>
        </is>
      </c>
      <c r="C15" s="13" t="n">
        <v>107599359</v>
      </c>
      <c r="D15" s="14" t="n">
        <v>0.4340443302845478</v>
      </c>
    </row>
    <row r="16">
      <c r="B16" s="12" t="inlineStr">
        <is>
          <t>QTY</t>
        </is>
      </c>
      <c r="C16" s="13" t="n">
        <v>207715</v>
      </c>
      <c r="D16" s="3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6" customWidth="1" min="5" max="5"/>
  </cols>
  <sheetData>
    <row r="2">
      <c r="B2" s="32" t="inlineStr">
        <is>
          <t>GA4 July — new vs returning (India acct 273672074)</t>
        </is>
      </c>
    </row>
    <row r="3">
      <c r="B3" s="27" t="inlineStr">
        <is>
          <t>Session/last-click attribution. 'Returning'=visited before (NOT first-purchase). Windsor GA4.</t>
        </is>
      </c>
    </row>
    <row r="5">
      <c r="B5" s="3" t="inlineStr">
        <is>
          <t>Site-wide</t>
        </is>
      </c>
      <c r="C5" s="4" t="inlineStr">
        <is>
          <t>Purch. rev ₹</t>
        </is>
      </c>
      <c r="D5" s="4" t="inlineStr">
        <is>
          <t>Transactions</t>
        </is>
      </c>
      <c r="E5" s="4" t="inlineStr">
        <is>
          <t>% of rev</t>
        </is>
      </c>
    </row>
    <row r="6">
      <c r="B6" s="12" t="inlineStr">
        <is>
          <t>New</t>
        </is>
      </c>
      <c r="C6" s="13" t="n">
        <v>44232456</v>
      </c>
      <c r="D6" s="13" t="n">
        <v>19035</v>
      </c>
      <c r="E6" s="14" t="n">
        <v>0.413745530208561</v>
      </c>
    </row>
    <row r="7">
      <c r="B7" s="12" t="inlineStr">
        <is>
          <t>Returning</t>
        </is>
      </c>
      <c r="C7" s="13" t="n">
        <v>62674937</v>
      </c>
      <c r="D7" s="13" t="n">
        <v>23288</v>
      </c>
      <c r="E7" s="14" t="n">
        <v>0.586254469791439</v>
      </c>
    </row>
    <row r="9">
      <c r="B9" s="3" t="inlineStr">
        <is>
          <t>Paid channel mix (revenue)</t>
        </is>
      </c>
      <c r="C9" s="4" t="inlineStr">
        <is>
          <t>New</t>
        </is>
      </c>
      <c r="D9" s="4" t="inlineStr">
        <is>
          <t>Returning</t>
        </is>
      </c>
      <c r="E9" s="24" t="inlineStr"/>
    </row>
    <row r="10">
      <c r="B10" s="12" t="inlineStr">
        <is>
          <t>Meta — facebook instagram/paid</t>
        </is>
      </c>
      <c r="C10" s="10" t="n">
        <v>0.4528854361894407</v>
      </c>
      <c r="D10" s="10" t="n">
        <v>0.5471145638105593</v>
      </c>
      <c r="E10" t="inlineStr"/>
    </row>
    <row r="11">
      <c r="B11" s="12" t="inlineStr">
        <is>
          <t>Google — google/cpc</t>
        </is>
      </c>
      <c r="C11" s="10" t="n">
        <v>0.5693837715283633</v>
      </c>
      <c r="D11" s="10" t="n">
        <v>0.4306162284716367</v>
      </c>
      <c r="E11" t="inlineStr"/>
    </row>
    <row r="13">
      <c r="B13" s="27" t="inlineStr">
        <is>
          <t>→ Meta spend splits 45/55; Google splits 57/43 → these feed the GA4 scenario in the P&amp;L tab.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B20"/>
  <sheetViews>
    <sheetView showGridLines="0" workbookViewId="0">
      <selection activeCell="A1" sqref="A1"/>
    </sheetView>
  </sheetViews>
  <sheetFormatPr baseColWidth="8" defaultRowHeight="15"/>
  <cols>
    <col width="112" customWidth="1" min="2" max="2"/>
  </cols>
  <sheetData>
    <row r="3">
      <c r="B3" s="34" t="inlineStr">
        <is>
          <t>METHOD &amp; CAVEATS</t>
        </is>
      </c>
    </row>
    <row r="4">
      <c r="B4" s="27" t="inlineStr"/>
    </row>
    <row r="5">
      <c r="B5" s="27" t="inlineStr">
        <is>
          <t>Structural margins (COGS%, PM%, Fulfilment%, CM1/CM2%) — COGS file Sheet2 grand total (all-month blend).</t>
        </is>
      </c>
    </row>
    <row r="6">
      <c r="B6" s="27" t="inlineStr">
        <is>
          <t>New-vs-Repeat mix (rev share, AOV) — july_DMR_unmasked.csv 'New User' flag, JULY-31 SAMPLE (816 realized orders).</t>
        </is>
      </c>
    </row>
    <row r="7">
      <c r="B7" s="27" t="inlineStr">
        <is>
          <t>Meta &amp; Google spend — Windsor.ai actuals, July. CRM — Moengage (no rupee API; placeholder).</t>
        </is>
      </c>
    </row>
    <row r="8">
      <c r="B8" s="27" t="inlineStr"/>
    </row>
    <row r="9">
      <c r="B9" s="35" t="inlineStr">
        <is>
          <t>CONSTRAINT: 47MB DMR can't be fully aggregated (10MB download cap; text read truncates to July-31). So split ratios</t>
        </is>
      </c>
    </row>
    <row r="10">
      <c r="B10" s="27" t="inlineStr">
        <is>
          <t>and the ₹8.3 Cr scale are directional. Replace with a full-month DMR pivot (New User × Category × Last Status →</t>
        </is>
      </c>
    </row>
    <row r="11">
      <c r="B11" s="27" t="inlineStr">
        <is>
          <t>Σ Product Grand Total(FF), Σ discount, Σ Qty, distinct Order No.) to finalise exact numbers.</t>
        </is>
      </c>
    </row>
    <row r="12">
      <c r="B12" s="27" t="inlineStr"/>
    </row>
    <row r="13">
      <c r="B13" s="35" t="inlineStr">
        <is>
          <t>ATTRIBUTION: New-vs-repeat SPEND split shown two ways. Intent-based = campaign type (prospecting→New, DPA→Repeat).</t>
        </is>
      </c>
    </row>
    <row r="14">
      <c r="B14" s="27" t="inlineStr">
        <is>
          <t>GA4 last-click = each paid channel's observed new/returning purchase mix. They disagree on who's profitable because</t>
        </is>
      </c>
    </row>
    <row r="15">
      <c r="B15" s="27" t="inlineStr">
        <is>
          <t>GA4 credits the final click (understating Meta's upper-funnel new-user role). Intent≈ceiling, GA4≈floor; truth between.</t>
        </is>
      </c>
    </row>
    <row r="16">
      <c r="B16" s="27" t="inlineStr"/>
    </row>
    <row r="17">
      <c r="B17" s="27" t="inlineStr">
        <is>
          <t>COUPONS: Product Grand Total(FF) is already net of coupon → discounts sit ABOVE CM1 (in net revenue), NOT re-subtracted</t>
        </is>
      </c>
    </row>
    <row r="18">
      <c r="B18" s="27" t="inlineStr">
        <is>
          <t>at CM2. Sample discount intensity: New ~19% / Repeat ~26% of realized revenue.</t>
        </is>
      </c>
    </row>
    <row r="19">
      <c r="B19" s="27" t="inlineStr"/>
    </row>
    <row r="20">
      <c r="B20" s="35" t="inlineStr">
        <is>
          <t>VALIDATION: bottom-up blended CM2 (~+2.9%) ties to COGS file blended CM2 (2.6%).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2026-08-18T04:40:13Z</dcterms:created>
  <dcterms:modified xsi:type="dcterms:W3CDTF">2026-08-18T04:40:13Z</dcterms:modified>
</cp:coreProperties>
</file>