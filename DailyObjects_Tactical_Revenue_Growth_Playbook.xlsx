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Executive Dashboard" sheetId="1" state="visible" r:id="rId1"/>
    <sheet name="2. Master Opportunity List" sheetId="2" state="visible" r:id="rId2"/>
    <sheet name="3. Launch This Week" sheetId="3" state="visible" r:id="rId3"/>
    <sheet name="4. D2C Brand Tactic DB" sheetId="4" state="visible" r:id="rId4"/>
    <sheet name="5. Category Opportunity Map" sheetId="5" state="visible" r:id="rId5"/>
    <sheet name="6. Basket Affinity" sheetId="6" state="visible" r:id="rId6"/>
    <sheet name="7. Cart Threshold Analysis" sheetId="7" state="visible" r:id="rId7"/>
    <sheet name="8. Customer x Offer Engine" sheetId="8" state="visible" r:id="rId8"/>
    <sheet name="9. Revenue Leakages" sheetId="9" state="visible" r:id="rId9"/>
    <sheet name="10. Experiment Backlog" sheetId="10" state="visible" r:id="rId10"/>
    <sheet name="11. Financial Model" sheetId="11" state="visible" r:id="rId11"/>
    <sheet name="12. 30-Day Action Plan" sheetId="12" state="visible" r:id="rId12"/>
    <sheet name="13. Research Sources" sheetId="13" state="visible" r:id="rId13"/>
    <sheet name="14. GA4 Data Snapshot" sheetId="14" state="visible" r:id="rId14"/>
  </sheets>
  <definedNames>
    <definedName name="_xlnm._FilterDatabase" localSheetId="1" hidden="1">'2. Master Opportunity List'!$A$3:$AS$60</definedName>
    <definedName name="_xlnm._FilterDatabase" localSheetId="2" hidden="1">'3. Launch This Week'!$A$3:$O$18</definedName>
    <definedName name="_xlnm._FilterDatabase" localSheetId="3" hidden="1">'4. D2C Brand Tactic DB'!$A$3:$L$54</definedName>
    <definedName name="_xlnm._FilterDatabase" localSheetId="4" hidden="1">'5. Category Opportunity Map'!$A$3:$T$38</definedName>
    <definedName name="_xlnm._FilterDatabase" localSheetId="5" hidden="1">'6. Basket Affinity'!$A$3:$P$23</definedName>
    <definedName name="_xlnm._FilterDatabase" localSheetId="7" hidden="1">'8. Customer x Offer Engine'!$A$3:$Q$17</definedName>
    <definedName name="_xlnm._FilterDatabase" localSheetId="8" hidden="1">'9. Revenue Leakages'!$A$3:$O$17</definedName>
    <definedName name="_xlnm._FilterDatabase" localSheetId="9" hidden="1">'10. Experiment Backlog'!$A$3:$Y$27</definedName>
    <definedName name="_xlnm._FilterDatabase" localSheetId="11" hidden="1">'12. 30-Day Action Plan'!$A$3:$L$33</definedName>
    <definedName name="_xlnm._FilterDatabase" localSheetId="12" hidden="1">'13. Research Sources'!$A$3:$I$23</definedName>
  </definedNames>
  <calcPr calcId="124519" fullCalcOnLoad="1"/>
</workbook>
</file>

<file path=xl/styles.xml><?xml version="1.0" encoding="utf-8"?>
<styleSheet xmlns="http://schemas.openxmlformats.org/spreadsheetml/2006/main">
  <numFmts count="4">
    <numFmt numFmtId="164" formatCode="0.0"/>
    <numFmt numFmtId="165" formatCode="₹#,##0"/>
    <numFmt numFmtId="166" formatCode="0.0%"/>
    <numFmt numFmtId="167" formatCode="0.0x"/>
  </numFmts>
  <fonts count="20">
    <font>
      <name val="Calibri"/>
      <family val="2"/>
      <color theme="1"/>
      <sz val="11"/>
      <scheme val="minor"/>
    </font>
    <font>
      <name val="Arial"/>
      <b val="1"/>
      <color rgb="00FFFFFF"/>
      <sz val="16"/>
    </font>
    <font>
      <name val="Arial"/>
      <i val="1"/>
      <color rgb="00333333"/>
      <sz val="9"/>
    </font>
    <font>
      <name val="Arial"/>
      <b val="1"/>
      <color rgb="00FFFFFF"/>
      <sz val="8"/>
    </font>
    <font>
      <name val="Arial"/>
      <color rgb="00000000"/>
      <sz val="8"/>
    </font>
    <font>
      <name val="Arial"/>
      <b val="1"/>
      <color rgb="00000000"/>
      <sz val="8"/>
    </font>
    <font>
      <name val="Arial"/>
      <b val="1"/>
      <color rgb="00000000"/>
      <sz val="9"/>
    </font>
    <font>
      <name val="Arial"/>
      <i val="1"/>
      <color rgb="00000000"/>
      <sz val="8"/>
    </font>
    <font>
      <name val="Arial"/>
      <b val="1"/>
      <color rgb="002E5A87"/>
      <sz val="9"/>
    </font>
    <font>
      <name val="Arial"/>
      <b val="1"/>
      <color rgb="002E5A87"/>
      <sz val="10"/>
    </font>
    <font>
      <name val="Arial"/>
      <b val="1"/>
      <color rgb="000000FF"/>
      <sz val="9"/>
    </font>
    <font>
      <name val="Arial"/>
      <b val="1"/>
      <color rgb="00FFFFFF"/>
      <sz val="7"/>
    </font>
    <font>
      <name val="Arial"/>
      <color rgb="000000FF"/>
      <sz val="8"/>
    </font>
    <font>
      <name val="Arial"/>
      <i val="1"/>
      <color rgb="00666666"/>
      <sz val="7"/>
    </font>
    <font>
      <name val="Arial"/>
      <b val="1"/>
      <color rgb="00FFFFFF"/>
      <sz val="18"/>
    </font>
    <font>
      <name val="Arial"/>
      <b val="1"/>
      <color rgb="00FFFFFF"/>
      <sz val="13"/>
    </font>
    <font>
      <name val="Arial"/>
      <b val="1"/>
      <color rgb="00FFFFFF"/>
      <sz val="9"/>
    </font>
    <font>
      <name val="Arial"/>
      <b val="1"/>
      <color rgb="00FFFFFF"/>
      <sz val="12"/>
    </font>
    <font>
      <name val="Arial"/>
      <b val="1"/>
      <color rgb="001F3B57"/>
      <sz val="22"/>
    </font>
    <font>
      <name val="Arial"/>
      <b val="1"/>
      <color rgb="00555555"/>
      <sz val="9"/>
    </font>
  </fonts>
  <fills count="7">
    <fill>
      <patternFill/>
    </fill>
    <fill>
      <patternFill patternType="gray125"/>
    </fill>
    <fill>
      <patternFill patternType="solid">
        <fgColor rgb="001F3B57"/>
      </patternFill>
    </fill>
    <fill>
      <patternFill patternType="solid">
        <fgColor rgb="00E4E8EE"/>
      </patternFill>
    </fill>
    <fill>
      <patternFill patternType="solid">
        <fgColor rgb="00F2F4F7"/>
      </patternFill>
    </fill>
    <fill>
      <patternFill patternType="solid">
        <fgColor rgb="00FFF2CC"/>
      </patternFill>
    </fill>
    <fill>
      <patternFill patternType="solid">
        <fgColor rgb="002E5A87"/>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76">
    <xf numFmtId="0" fontId="0" fillId="0" borderId="0" pivotButton="0" quotePrefix="0" xfId="0"/>
    <xf numFmtId="0" fontId="14" fillId="2" borderId="0" applyAlignment="1" pivotButton="0" quotePrefix="0" xfId="0">
      <alignment horizontal="left" vertical="center" indent="1"/>
    </xf>
    <xf numFmtId="0" fontId="2" fillId="3" borderId="0" applyAlignment="1" pivotButton="0" quotePrefix="0" xfId="0">
      <alignment horizontal="left" vertical="center" indent="1"/>
    </xf>
    <xf numFmtId="0" fontId="15" fillId="6" borderId="0" applyAlignment="1" pivotButton="0" quotePrefix="0" xfId="0">
      <alignment horizontal="left" vertical="center" indent="1"/>
    </xf>
    <xf numFmtId="0" fontId="8" fillId="0" borderId="0" pivotButton="0" quotePrefix="0" xfId="0"/>
    <xf numFmtId="0" fontId="16" fillId="2" borderId="1" applyAlignment="1" pivotButton="0" quotePrefix="0" xfId="0">
      <alignment horizontal="center" vertical="center" wrapText="1"/>
    </xf>
    <xf numFmtId="0" fontId="4" fillId="0" borderId="0" pivotButton="0" quotePrefix="0" xfId="0"/>
    <xf numFmtId="0" fontId="6" fillId="0" borderId="1" applyAlignment="1" pivotButton="0" quotePrefix="0" xfId="0">
      <alignment horizontal="center" vertical="center" wrapText="1"/>
    </xf>
    <xf numFmtId="0" fontId="6" fillId="4"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17" fillId="6" borderId="0" applyAlignment="1" pivotButton="0" quotePrefix="0" xfId="0">
      <alignment horizontal="left" vertical="center" indent="1"/>
    </xf>
    <xf numFmtId="0" fontId="18" fillId="4" borderId="1" applyAlignment="1" pivotButton="0" quotePrefix="0" xfId="0">
      <alignment horizontal="center" vertical="center" wrapText="1"/>
    </xf>
    <xf numFmtId="0" fontId="19" fillId="4"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1" pivotButton="0" quotePrefix="0" xfId="0"/>
    <xf numFmtId="0" fontId="4" fillId="0" borderId="1" applyAlignment="1" pivotButton="0" quotePrefix="0" xfId="0">
      <alignment horizontal="left" vertical="center" wrapText="1"/>
    </xf>
    <xf numFmtId="164" fontId="4" fillId="0" borderId="1" applyAlignment="1" pivotButton="0" quotePrefix="0" xfId="0">
      <alignment horizontal="center" vertical="center" wrapText="1"/>
    </xf>
    <xf numFmtId="0" fontId="4" fillId="4" borderId="1" pivotButton="0" quotePrefix="0" xfId="0"/>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1" fillId="2" borderId="0" applyAlignment="1" pivotButton="0" quotePrefix="0" xfId="0">
      <alignment horizontal="left" vertical="center" indent="1"/>
    </xf>
    <xf numFmtId="9" fontId="4"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4" fillId="4" borderId="1" applyAlignment="1" pivotButton="0" quotePrefix="0" xfId="0">
      <alignment horizontal="left" vertical="top" wrapText="1"/>
    </xf>
    <xf numFmtId="9" fontId="4" fillId="4" borderId="1" applyAlignment="1" pivotButton="0" quotePrefix="0" xfId="0">
      <alignment horizontal="left" vertical="center" wrapText="1"/>
    </xf>
    <xf numFmtId="164" fontId="5" fillId="4" borderId="1" applyAlignment="1" pivotButton="0" quotePrefix="0" xfId="0">
      <alignment horizontal="center" vertical="center" wrapText="1"/>
    </xf>
    <xf numFmtId="165" fontId="4" fillId="0" borderId="1" applyAlignment="1" pivotButton="0" quotePrefix="0" xfId="0">
      <alignment horizontal="center" vertical="center" wrapText="1"/>
    </xf>
    <xf numFmtId="3"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165" fontId="4" fillId="4" borderId="1" applyAlignment="1" pivotButton="0" quotePrefix="0" xfId="0">
      <alignment horizontal="center" vertical="center" wrapText="1"/>
    </xf>
    <xf numFmtId="3" fontId="4" fillId="4" borderId="1" applyAlignment="1" pivotButton="0" quotePrefix="0" xfId="0">
      <alignment horizontal="center" vertical="center" wrapText="1"/>
    </xf>
    <xf numFmtId="10" fontId="4" fillId="4" borderId="1" applyAlignment="1" pivotButton="0" quotePrefix="0" xfId="0">
      <alignment horizontal="center" vertical="center" wrapText="1"/>
    </xf>
    <xf numFmtId="0" fontId="0" fillId="3" borderId="0" pivotButton="0" quotePrefix="0" xfId="0"/>
    <xf numFmtId="0" fontId="6" fillId="3" borderId="0" pivotButton="0" quotePrefix="0" xfId="0"/>
    <xf numFmtId="165" fontId="6" fillId="3" borderId="0" pivotButton="0" quotePrefix="0" xfId="0"/>
    <xf numFmtId="3" fontId="6" fillId="3" borderId="0" pivotButton="0" quotePrefix="0" xfId="0"/>
    <xf numFmtId="166" fontId="4" fillId="0" borderId="1" applyAlignment="1" pivotButton="0" quotePrefix="0" xfId="0">
      <alignment horizontal="center" vertical="center" wrapText="1"/>
    </xf>
    <xf numFmtId="166" fontId="4" fillId="4" borderId="1" applyAlignment="1" pivotButton="0" quotePrefix="0" xfId="0">
      <alignment horizontal="center" vertical="center" wrapText="1"/>
    </xf>
    <xf numFmtId="166" fontId="4" fillId="5" borderId="1" applyAlignment="1" pivotButton="0" quotePrefix="0" xfId="0">
      <alignment horizontal="center" vertical="center" wrapText="1"/>
    </xf>
    <xf numFmtId="165" fontId="4" fillId="0" borderId="1" applyAlignment="1" pivotButton="0" quotePrefix="0" xfId="0">
      <alignment horizontal="left" vertical="center" wrapText="1"/>
    </xf>
    <xf numFmtId="165" fontId="4" fillId="4" borderId="1" applyAlignment="1" pivotButton="0" quotePrefix="0" xfId="0">
      <alignment horizontal="left" vertical="center" wrapText="1"/>
    </xf>
    <xf numFmtId="166" fontId="6" fillId="3" borderId="0" pivotButton="0" quotePrefix="0" xfId="0"/>
    <xf numFmtId="0" fontId="7" fillId="0" borderId="0" pivotButton="0" quotePrefix="0" xfId="0"/>
    <xf numFmtId="3" fontId="6" fillId="5" borderId="1" pivotButton="0" quotePrefix="0" xfId="0"/>
    <xf numFmtId="0" fontId="0" fillId="4" borderId="0" pivotButton="0" quotePrefix="0" xfId="0"/>
    <xf numFmtId="0" fontId="9" fillId="0" borderId="0" pivotButton="0" quotePrefix="0" xfId="0"/>
    <xf numFmtId="166" fontId="10" fillId="5" borderId="1" pivotButton="0" quotePrefix="0" xfId="0"/>
    <xf numFmtId="165" fontId="10" fillId="5" borderId="1" pivotButton="0" quotePrefix="0" xfId="0"/>
    <xf numFmtId="167" fontId="10" fillId="5" borderId="1" pivotButton="0" quotePrefix="0" xfId="0"/>
    <xf numFmtId="0" fontId="11" fillId="2" borderId="1" applyAlignment="1" pivotButton="0" quotePrefix="0" xfId="0">
      <alignment horizontal="center" vertical="center" wrapText="1"/>
    </xf>
    <xf numFmtId="0" fontId="4" fillId="0" borderId="0" applyAlignment="1" pivotButton="0" quotePrefix="0" xfId="0">
      <alignment horizontal="left" vertical="center" wrapText="1"/>
    </xf>
    <xf numFmtId="3" fontId="12" fillId="5" borderId="1" applyAlignment="1" pivotButton="0" quotePrefix="0" xfId="0">
      <alignment horizontal="center" vertical="center" wrapText="1"/>
    </xf>
    <xf numFmtId="10" fontId="12" fillId="5" borderId="1" applyAlignment="1" pivotButton="0" quotePrefix="0" xfId="0">
      <alignment horizontal="center" vertical="center" wrapText="1"/>
    </xf>
    <xf numFmtId="165" fontId="12" fillId="5" borderId="1" applyAlignment="1" pivotButton="0" quotePrefix="0" xfId="0">
      <alignment horizontal="center" vertical="center" wrapText="1"/>
    </xf>
    <xf numFmtId="166" fontId="12" fillId="5" borderId="1" applyAlignment="1" pivotButton="0" quotePrefix="0" xfId="0">
      <alignment horizontal="center" vertical="center" wrapText="1"/>
    </xf>
    <xf numFmtId="167" fontId="4" fillId="0" borderId="1" applyAlignment="1" pivotButton="0" quotePrefix="0" xfId="0">
      <alignment horizontal="center" vertical="center" wrapText="1"/>
    </xf>
    <xf numFmtId="0" fontId="4" fillId="4" borderId="0" applyAlignment="1" pivotButton="0" quotePrefix="0" xfId="0">
      <alignment horizontal="left" vertical="center" wrapText="1"/>
    </xf>
    <xf numFmtId="3" fontId="12" fillId="4" borderId="1" applyAlignment="1" pivotButton="0" quotePrefix="0" xfId="0">
      <alignment horizontal="center" vertical="center" wrapText="1"/>
    </xf>
    <xf numFmtId="10" fontId="12" fillId="4" borderId="1" applyAlignment="1" pivotButton="0" quotePrefix="0" xfId="0">
      <alignment horizontal="center" vertical="center" wrapText="1"/>
    </xf>
    <xf numFmtId="165" fontId="12" fillId="4" borderId="1" applyAlignment="1" pivotButton="0" quotePrefix="0" xfId="0">
      <alignment horizontal="center" vertical="center" wrapText="1"/>
    </xf>
    <xf numFmtId="166" fontId="12" fillId="4" borderId="1" applyAlignment="1" pivotButton="0" quotePrefix="0" xfId="0">
      <alignment horizontal="center" vertical="center" wrapText="1"/>
    </xf>
    <xf numFmtId="167" fontId="4" fillId="4" borderId="1" applyAlignment="1" pivotButton="0" quotePrefix="0" xfId="0">
      <alignment horizontal="center" vertical="center" wrapText="1"/>
    </xf>
    <xf numFmtId="0" fontId="6" fillId="3" borderId="1" pivotButton="0" quotePrefix="0" xfId="0"/>
    <xf numFmtId="0" fontId="0" fillId="3" borderId="1" pivotButton="0" quotePrefix="0" xfId="0"/>
    <xf numFmtId="3" fontId="6" fillId="3" borderId="1" pivotButton="0" quotePrefix="0" xfId="0"/>
    <xf numFmtId="165" fontId="6" fillId="3" borderId="1" pivotButton="0" quotePrefix="0" xfId="0"/>
    <xf numFmtId="0" fontId="13" fillId="0" borderId="0" pivotButton="0" quotePrefix="0" xfId="0"/>
    <xf numFmtId="3" fontId="4" fillId="0" borderId="1" applyAlignment="1" pivotButton="0" quotePrefix="0" xfId="0">
      <alignment horizontal="right" vertical="center"/>
    </xf>
    <xf numFmtId="165" fontId="4" fillId="0" borderId="1" applyAlignment="1" pivotButton="0" quotePrefix="0" xfId="0">
      <alignment horizontal="right" vertical="center"/>
    </xf>
    <xf numFmtId="10" fontId="4" fillId="0" borderId="1" applyAlignment="1" pivotButton="0" quotePrefix="0" xfId="0">
      <alignment horizontal="right" vertical="center"/>
    </xf>
    <xf numFmtId="10" fontId="6" fillId="3" borderId="1" pivotButton="0" quotePrefix="0" xfId="0"/>
    <xf numFmtId="3" fontId="4" fillId="0" borderId="1" pivotButton="0" quotePrefix="0" xfId="0"/>
    <xf numFmtId="10" fontId="0" fillId="0" borderId="1" pivotButton="0" quotePrefix="0" xfId="0"/>
    <xf numFmtId="0" fontId="0" fillId="0" borderId="1" pivotButton="0" quotePrefix="0" xfId="0"/>
  </cellXfs>
  <cellStyles count="1">
    <cellStyle name="Normal" xfId="0" builtinId="0" hidden="0"/>
  </cellStyles>
  <dxfs count="8">
    <dxf>
      <font>
        <name val="Arial"/>
        <color rgb="009C0006"/>
        <sz val="8"/>
      </font>
      <fill>
        <patternFill patternType="solid">
          <fgColor rgb="00FFC7CE"/>
        </patternFill>
      </fill>
    </dxf>
    <dxf>
      <font>
        <name val="Arial"/>
        <color rgb="00006100"/>
        <sz val="8"/>
      </font>
      <fill>
        <patternFill patternType="solid">
          <fgColor rgb="00C6EFCE"/>
        </patternFill>
      </fill>
    </dxf>
    <dxf>
      <fill>
        <patternFill patternType="solid">
          <fgColor rgb="00C6EFCE"/>
        </patternFill>
      </fill>
    </dxf>
    <dxf>
      <font>
        <name val="Arial"/>
        <color rgb="009C6500"/>
        <sz val="8"/>
      </font>
      <fill>
        <patternFill patternType="solid">
          <fgColor rgb="00FFEB9C"/>
        </patternFill>
      </fill>
    </dxf>
    <dxf>
      <font>
        <name val="Arial"/>
        <color rgb="00606060"/>
        <sz val="8"/>
      </font>
      <fill>
        <patternFill patternType="solid">
          <fgColor rgb="00D9D9D9"/>
        </patternFill>
      </fill>
    </dxf>
    <dxf>
      <fill>
        <patternFill patternType="solid">
          <fgColor rgb="00D9EAD3"/>
        </patternFill>
      </fill>
    </dxf>
    <dxf>
      <fill>
        <patternFill patternType="solid">
          <fgColor rgb="00FFF2CC"/>
        </patternFill>
      </fill>
    </dxf>
    <dxf>
      <fill>
        <patternFill patternType="solid">
          <fgColor rgb="00FCE5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Ideas by Revenue Lever</a:t>
            </a:r>
          </a:p>
        </rich>
      </tx>
    </title>
    <plotArea>
      <barChart>
        <barDir val="bar"/>
        <grouping val="clustered"/>
        <ser>
          <idx val="0"/>
          <order val="0"/>
          <tx>
            <strRef>
              <f>'1. Executive Dashboard'!Q4</f>
            </strRef>
          </tx>
          <spPr>
            <a:ln>
              <a:prstDash val="solid"/>
            </a:ln>
          </spPr>
          <cat>
            <numRef>
              <f>'1. Executive Dashboard'!$P$5:$P$15</f>
            </numRef>
          </cat>
          <val>
            <numRef>
              <f>'1. Executive Dashboard'!$Q$5:$Q$15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Ideas by Time to Launch</a:t>
            </a:r>
          </a:p>
        </rich>
      </tx>
    </title>
    <plotArea>
      <barChart>
        <barDir val="col"/>
        <grouping val="clustered"/>
        <ser>
          <idx val="0"/>
          <order val="0"/>
          <tx>
            <strRef>
              <f>'1. Executive Dashboard'!Q18</f>
            </strRef>
          </tx>
          <spPr>
            <a:ln>
              <a:prstDash val="solid"/>
            </a:ln>
          </spPr>
          <cat>
            <numRef>
              <f>'1. Executive Dashboard'!$P$19:$P$23</f>
            </numRef>
          </cat>
          <val>
            <numRef>
              <f>'1. Executive Dashboard'!$Q$19:$Q$23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Ideas by Category</a:t>
            </a:r>
          </a:p>
        </rich>
      </tx>
    </title>
    <plotArea>
      <barChart>
        <barDir val="bar"/>
        <grouping val="clustered"/>
        <ser>
          <idx val="0"/>
          <order val="0"/>
          <tx>
            <strRef>
              <f>'1. Executive Dashboard'!Q26</f>
            </strRef>
          </tx>
          <spPr>
            <a:ln>
              <a:prstDash val="solid"/>
            </a:ln>
          </spPr>
          <cat>
            <numRef>
              <f>'1. Executive Dashboard'!$P$27:$P$36</f>
            </numRef>
          </cat>
          <val>
            <numRef>
              <f>'1. Executive Dashboard'!$Q$27:$Q$36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Impact (y) vs Ease (x)  — top-right = do first</a:t>
            </a:r>
          </a:p>
        </rich>
      </tx>
    </title>
    <plotArea>
      <scatterChart>
        <ser>
          <idx val="0"/>
          <order val="0"/>
          <tx>
            <v>Ideas</v>
          </tx>
          <spPr>
            <a:ln>
              <a:prstDash val="solid"/>
            </a:ln>
          </spPr>
          <marker>
            <symbol val="none"/>
            <spPr>
              <a:ln>
                <a:prstDash val="solid"/>
              </a:ln>
            </spPr>
          </marker>
          <xVal>
            <numRef>
              <f>'2. Master Opportunity List'!$AJ$4:$AJ$60</f>
            </numRef>
          </xVal>
          <yVal>
            <numRef>
              <f>'2. Master Opportunity List'!$AH$4:$AH$60</f>
            </numRef>
          </yVal>
        </ser>
        <axId val="10"/>
        <axId val="20"/>
      </scatterChart>
      <valAx>
        <axId val="10"/>
        <scaling>
          <orientation val="minMax"/>
          <max val="6"/>
          <min val="0"/>
        </scaling>
        <axPos val="l"/>
        <majorGridlines/>
        <title>
          <tx>
            <rich>
              <a:bodyPr/>
              <a:p>
                <a:pPr>
                  <a:defRPr/>
                </a:pPr>
                <a:r>
                  <a:t>Ease (1-5)</a:t>
                </a:r>
              </a:p>
            </rich>
          </tx>
        </title>
        <majorTickMark val="none"/>
        <minorTickMark val="none"/>
        <crossAx val="20"/>
      </valAx>
      <valAx>
        <axId val="20"/>
        <scaling>
          <orientation val="minMax"/>
          <max val="6"/>
          <min val="0"/>
        </scaling>
        <axPos val="l"/>
        <majorGridlines/>
        <title>
          <tx>
            <rich>
              <a:bodyPr/>
              <a:p>
                <a:pPr>
                  <a:defRPr/>
                </a:pPr>
                <a:r>
                  <a:t>Revenue Impact (1-5)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34</row>
      <rowOff>0</rowOff>
    </from>
    <ext cx="4680000" cy="27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34</row>
      <rowOff>0</rowOff>
    </from>
    <ext cx="3960000" cy="27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50</row>
      <rowOff>0</rowOff>
    </from>
    <ext cx="4680000" cy="324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50</row>
      <rowOff>0</rowOff>
    </from>
    <ext cx="3960000" cy="324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Q36"/>
  <sheetViews>
    <sheetView showGridLines="0" workbookViewId="0">
      <selection activeCell="A1" sqref="A1"/>
    </sheetView>
  </sheetViews>
  <sheetFormatPr baseColWidth="8" defaultRowHeight="15"/>
  <cols>
    <col width="6" customWidth="1" min="1" max="1"/>
    <col width="34" customWidth="1" min="2" max="2"/>
    <col width="18" customWidth="1" min="3" max="3"/>
    <col width="16" customWidth="1" min="4" max="4"/>
    <col width="18" customWidth="1" min="5" max="5"/>
    <col width="10" customWidth="1" min="6" max="6"/>
    <col width="12" customWidth="1" min="7" max="7"/>
    <col width="10" customWidth="1" min="8" max="8"/>
    <col width="14" customWidth="1" min="9" max="9"/>
    <col width="12" customWidth="1" min="10" max="10"/>
    <col width="12" customWidth="1" min="11" max="11"/>
    <col width="3" customWidth="1" min="12" max="12"/>
    <col width="3" customWidth="1" min="13" max="13"/>
    <col width="3" customWidth="1" min="14" max="14"/>
    <col width="2" customWidth="1" min="15" max="15"/>
    <col width="26" customWidth="1" min="16" max="16"/>
    <col width="8" customWidth="1" min="17" max="17"/>
  </cols>
  <sheetData>
    <row r="1" ht="34" customHeight="1">
      <c r="A1" s="1" t="inlineStr">
        <is>
          <t>DAILYOBJECTS  |  TACTICAL REVENUE GROWTH PLAYBOOK</t>
        </is>
      </c>
    </row>
    <row r="2" ht="20" customHeight="1">
      <c r="A2" s="2" t="inlineStr">
        <is>
          <t>Executive Dashboard  ·  57 tactical ideas  ·  evidence: GA4 (India web+app) 2025-08-01 to 2026-07-31 + internal files + 52 D2C brand tactics  ·  Priority = RevImpact x Confidence x Ease x Speed x MarginFriendly (/100)</t>
        </is>
      </c>
    </row>
    <row r="4" ht="26" customHeight="1">
      <c r="A4" s="3" t="inlineStr">
        <is>
          <t>TOP 5 BETS  —  what we would launch immediately</t>
        </is>
      </c>
      <c r="P4" s="4" t="inlineStr">
        <is>
          <t>Ideas by Revenue Lever</t>
        </is>
      </c>
    </row>
    <row r="5" ht="26" customHeight="1">
      <c r="A5" s="5" t="inlineStr">
        <is>
          <t>#</t>
        </is>
      </c>
      <c r="B5" s="5" t="inlineStr">
        <is>
          <t>Bet</t>
        </is>
      </c>
      <c r="C5" s="5" t="inlineStr">
        <is>
          <t>Target customer</t>
        </is>
      </c>
      <c r="D5" s="5" t="inlineStr">
        <is>
          <t>Category / SKUs</t>
        </is>
      </c>
      <c r="E5" s="5" t="inlineStr">
        <is>
          <t>Revenue mechanism</t>
        </is>
      </c>
      <c r="F5" s="5" t="inlineStr">
        <is>
          <t>Expected impact</t>
        </is>
      </c>
      <c r="G5" s="5" t="inlineStr">
        <is>
          <t>Margin</t>
        </is>
      </c>
      <c r="H5" s="5" t="inlineStr">
        <is>
          <t>Time to launch</t>
        </is>
      </c>
      <c r="P5" s="6" t="inlineStr">
        <is>
          <t>CVR</t>
        </is>
      </c>
      <c r="Q5" s="6">
        <f>COUNTIF('2. Master Opportunity List'!$E$4:$E$60,"CVR")</f>
        <v/>
      </c>
    </row>
    <row r="6" ht="54" customHeight="1">
      <c r="A6" s="7" t="inlineStr">
        <is>
          <t>1</t>
        </is>
      </c>
      <c r="B6" s="8" t="inlineStr">
        <is>
          <t>Close the mobile &amp; payment conversion gap (ID11+ID12+ID47)</t>
        </is>
      </c>
      <c r="C6" s="9" t="inlineStr">
        <is>
          <t>91% of traffic (mobile) + all checkout, esp. payment-stage droppers</t>
        </is>
      </c>
      <c r="D6" s="9" t="inlineStr">
        <is>
          <t>Cross-category / checkout</t>
        </is>
      </c>
      <c r="E6" s="9" t="inlineStr">
        <is>
          <t>Mobile is 49M sessions at 0.95% CVR vs 1.96% desktop; 42% drop after add-payment-info. Fix mobile PDP/checkout + UPI express + failed-payment retry.</t>
        </is>
      </c>
      <c r="F6" s="9" t="inlineStr">
        <is>
          <t>Very High - largest single prize; +0.3-0.5pp mobile CVR = ~₹150-400M</t>
        </is>
      </c>
      <c r="G6" s="10" t="inlineStr">
        <is>
          <t>Accretive (RTO down)</t>
        </is>
      </c>
      <c r="H6" s="10" t="inlineStr">
        <is>
          <t>&lt;14-30 days</t>
        </is>
      </c>
      <c r="P6" s="6" t="inlineStr">
        <is>
          <t>AOV</t>
        </is>
      </c>
      <c r="Q6" s="6">
        <f>COUNTIF('2. Master Opportunity List'!$E$4:$E$60,"AOV")</f>
        <v/>
      </c>
    </row>
    <row r="7" ht="54" customHeight="1">
      <c r="A7" s="7" t="inlineStr">
        <is>
          <t>2</t>
        </is>
      </c>
      <c r="B7" s="8" t="inlineStr">
        <is>
          <t>Phone-case attach engine + FBT (ID01+ID13)</t>
        </is>
      </c>
      <c r="C7" s="9" t="inlineStr">
        <is>
          <t>Every case buyer (57% of all product views)</t>
        </is>
      </c>
      <c r="D7" s="9" t="inlineStr">
        <is>
          <t>Phone Cases + screen guard/grip/charm (1101,1103,1815,1812)</t>
        </is>
      </c>
      <c r="E7" s="9" t="inlineStr">
        <is>
          <t>Cases draw 31M views at ASP ~₹1,068; attach a 30-50%-off screen guard/grip in PDP+cart. High-margin accessory attach.</t>
        </is>
      </c>
      <c r="F7" s="9" t="inlineStr">
        <is>
          <t>High - +8-15% AOV on the biggest-traffic category</t>
        </is>
      </c>
      <c r="G7" s="10" t="inlineStr">
        <is>
          <t>Accretive</t>
        </is>
      </c>
      <c r="H7" s="10" t="inlineStr">
        <is>
          <t>&lt;7 days</t>
        </is>
      </c>
      <c r="P7" s="6" t="inlineStr">
        <is>
          <t>Frequency</t>
        </is>
      </c>
      <c r="Q7" s="6">
        <f>COUNTIF('2. Master Opportunity List'!$E$4:$E$60,"Frequency")</f>
        <v/>
      </c>
    </row>
    <row r="8" ht="54" customHeight="1">
      <c r="A8" s="7" t="inlineStr">
        <is>
          <t>3</t>
        </is>
      </c>
      <c r="B8" s="8" t="inlineStr">
        <is>
          <t>Turn on lifecycle CRM (abandonment, browse, O1-&gt;O2, SMS/WhatsApp) (ID19,20,24,47,18)</t>
        </is>
      </c>
      <c r="C8" s="9" t="inlineStr">
        <is>
          <t>Abandoners, browsers, first-order buyers, owned base</t>
        </is>
      </c>
      <c r="D8" s="9" t="inlineStr">
        <is>
          <t>Cross-category</t>
        </is>
      </c>
      <c r="E8" s="9" t="inlineStr">
        <is>
          <t>Owned channels are ~0.55% of revenue today despite SMS converting at 4.2%. 1.5M checkout-abandoners/yr. Build flows + scale SMS/WA.</t>
        </is>
      </c>
      <c r="F8" s="9" t="inlineStr">
        <is>
          <t>High - recover lost demand; ₹50-150M owned-channel upside</t>
        </is>
      </c>
      <c r="G8" s="10" t="inlineStr">
        <is>
          <t>Accretive</t>
        </is>
      </c>
      <c r="H8" s="10" t="inlineStr">
        <is>
          <t>&lt;7-14 days</t>
        </is>
      </c>
      <c r="P8" s="6" t="inlineStr">
        <is>
          <t>Traffic Monetisation</t>
        </is>
      </c>
      <c r="Q8" s="6">
        <f>COUNTIF('2. Master Opportunity List'!$E$4:$E$60,"Traffic Monetisation")</f>
        <v/>
      </c>
    </row>
    <row r="9" ht="54" customHeight="1">
      <c r="A9" s="7" t="inlineStr">
        <is>
          <t>4</t>
        </is>
      </c>
      <c r="B9" s="8" t="inlineStr">
        <is>
          <t>Cart free-gift ladder + threshold architecture (ID06+ID49+ID07)</t>
        </is>
      </c>
      <c r="C9" s="9" t="inlineStr">
        <is>
          <t>All carts near threshold; new users at ₹2,299</t>
        </is>
      </c>
      <c r="D9" s="9" t="inlineStr">
        <is>
          <t>Cross-category / GWP</t>
        </is>
      </c>
      <c r="E9" s="9" t="inlineStr">
        <is>
          <t>Anchor a gift ladder at ₹1,999/₹2,999 (high perceived value, low COGS) + align WELCOME300 + prepaid free-ship. Pull baskets up without % discounts.</t>
        </is>
      </c>
      <c r="F9" s="9" t="inlineStr">
        <is>
          <t>High - +6-12% AOV</t>
        </is>
      </c>
      <c r="G9" s="10" t="inlineStr">
        <is>
          <t>Neutral (gift COGS &lt; uplift)</t>
        </is>
      </c>
      <c r="H9" s="10" t="inlineStr">
        <is>
          <t>&lt;7-14 days</t>
        </is>
      </c>
      <c r="P9" s="6" t="inlineStr">
        <is>
          <t>Cross-category Purchase</t>
        </is>
      </c>
      <c r="Q9" s="6">
        <f>COUNTIF('2. Master Opportunity List'!$E$4:$E$60,"Cross-category Purchase")</f>
        <v/>
      </c>
    </row>
    <row r="10" ht="54" customHeight="1">
      <c r="A10" s="7" t="inlineStr">
        <is>
          <t>5</t>
        </is>
      </c>
      <c r="B10" s="8" t="inlineStr">
        <is>
          <t>Ecosystem bundles: power-bank+case &amp; bag carry-system (ID02+ID03+ID04)</t>
        </is>
      </c>
      <c r="C10" s="9" t="inlineStr">
        <is>
          <t>Power-bank, bag &amp; watch-band shoppers</t>
        </is>
      </c>
      <c r="D10" s="9" t="inlineStr">
        <is>
          <t>Power banks (1809), Bags (1201-04), Watch bands (1801)</t>
        </is>
      </c>
      <c r="E10" s="9" t="inlineStr">
        <is>
          <t>Highest-revenue + high-consideration categories; MagSafe/carry interoperability makes bundles natural. Power bank+case, bag+sleeve+organiser, multi-band.</t>
        </is>
      </c>
      <c r="F10" s="9" t="inlineStr">
        <is>
          <t>High - +10-25% AOV on premium baskets</t>
        </is>
      </c>
      <c r="G10" s="10" t="inlineStr">
        <is>
          <t>Accretive/Neutral</t>
        </is>
      </c>
      <c r="H10" s="10" t="inlineStr">
        <is>
          <t>&lt;7-14 days</t>
        </is>
      </c>
      <c r="P10" s="6" t="inlineStr">
        <is>
          <t>Category Penetration</t>
        </is>
      </c>
      <c r="Q10" s="6">
        <f>COUNTIF('2. Master Opportunity List'!$E$4:$E$60,"Category Penetration")</f>
        <v/>
      </c>
    </row>
    <row r="11">
      <c r="P11" s="6" t="inlineStr">
        <is>
          <t>Revenue from CRM audiences</t>
        </is>
      </c>
      <c r="Q11" s="6">
        <f>COUNTIF('2. Master Opportunity List'!$E$4:$E$60,"Revenue from CRM audiences")</f>
        <v/>
      </c>
    </row>
    <row r="12" ht="24" customHeight="1">
      <c r="A12" s="11" t="inlineStr">
        <is>
          <t>PORTFOLIO AT A GLANCE</t>
        </is>
      </c>
      <c r="P12" s="6" t="inlineStr">
        <is>
          <t>New User Conversion</t>
        </is>
      </c>
      <c r="Q12" s="6">
        <f>COUNTIF('2. Master Opportunity List'!$E$4:$E$60,"New User Conversion")</f>
        <v/>
      </c>
    </row>
    <row r="13" ht="30" customHeight="1">
      <c r="A13" s="12">
        <f>COUNTA('2. Master Opportunity List'!$A$4:$A$60)</f>
        <v/>
      </c>
      <c r="D13" s="12">
        <f>COUNTIF('2. Master Opportunity List'!$AH$4:$AH$60,"&gt;=4")</f>
        <v/>
      </c>
      <c r="G13" s="12">
        <f>COUNTIF('2. Master Opportunity List'!$AG$4:$AG$60,"Same Day")+COUNTIF('2. Master Opportunity List'!$AG$4:$AG$60,"1-3 Days")+COUNTIF('2. Master Opportunity List'!$AG$4:$AG$60,"4-7 Days")</f>
        <v/>
      </c>
      <c r="J13" s="12">
        <f>COUNTIF('2. Master Opportunity List'!$AB$4:$AB$60,"N")</f>
        <v/>
      </c>
      <c r="P13" s="6" t="inlineStr">
        <is>
          <t>Checkout Completion</t>
        </is>
      </c>
      <c r="Q13" s="6">
        <f>COUNTIF('2. Master Opportunity List'!$E$4:$E$60,"Checkout Completion")</f>
        <v/>
      </c>
    </row>
    <row r="14">
      <c r="A14" s="13" t="inlineStr">
        <is>
          <t>Total ideas</t>
        </is>
      </c>
      <c r="D14" s="13" t="inlineStr">
        <is>
          <t>High-impact (RevImpact&gt;=4)</t>
        </is>
      </c>
      <c r="G14" s="13" t="inlineStr">
        <is>
          <t>Launchable &lt;=7 days</t>
        </is>
      </c>
      <c r="J14" s="13" t="inlineStr">
        <is>
          <t>Require NO discount</t>
        </is>
      </c>
      <c r="P14" s="6" t="inlineStr">
        <is>
          <t>Revenue from existing traffic</t>
        </is>
      </c>
      <c r="Q14" s="6">
        <f>COUNTIF('2. Master Opportunity List'!$E$4:$E$60,"Revenue from existing traffic")</f>
        <v/>
      </c>
    </row>
    <row r="15">
      <c r="P15" s="6" t="inlineStr">
        <is>
          <t>Contribution margin</t>
        </is>
      </c>
      <c r="Q15" s="6">
        <f>COUNTIF('2. Master Opportunity List'!$E$4:$E$60,"Contribution margin")</f>
        <v/>
      </c>
    </row>
    <row r="16" ht="30" customHeight="1">
      <c r="A16" s="12">
        <f>COUNTIF('2. Master Opportunity List'!$E$4:$E$60,"AOV")</f>
        <v/>
      </c>
      <c r="D16" s="12">
        <f>COUNTIF('2. Master Opportunity List'!$E$4:$E$60,"CVR")</f>
        <v/>
      </c>
      <c r="G16" s="12">
        <f>COUNTIF('2. Master Opportunity List'!$E$4:$E$60,"Frequency")+COUNTIF('2. Master Opportunity List'!$E$4:$E$60,"Revenue from CRM audiences")</f>
        <v/>
      </c>
      <c r="J16" s="12">
        <f>COUNTIF('2. Master Opportunity List'!$E$4:$E$60,"Cross-category Purchase")+COUNTIF('2. Master Opportunity List'!$E$4:$E$60,"Category Penetration")</f>
        <v/>
      </c>
    </row>
    <row r="17">
      <c r="A17" s="13" t="inlineStr">
        <is>
          <t>AOV-focused</t>
        </is>
      </c>
      <c r="D17" s="13" t="inlineStr">
        <is>
          <t>CVR-focused</t>
        </is>
      </c>
      <c r="G17" s="13" t="inlineStr">
        <is>
          <t>Retention/CRM-focused</t>
        </is>
      </c>
      <c r="J17" s="13" t="inlineStr">
        <is>
          <t>Cross-sell / category</t>
        </is>
      </c>
    </row>
    <row r="18">
      <c r="P18" s="4" t="inlineStr">
        <is>
          <t>Ideas by Time to Launch</t>
        </is>
      </c>
    </row>
    <row r="19">
      <c r="P19" s="6" t="inlineStr">
        <is>
          <t>Same Day</t>
        </is>
      </c>
      <c r="Q19" s="6">
        <f>COUNTIF('2. Master Opportunity List'!$AG$4:$AG$60,"Same Day")</f>
        <v/>
      </c>
    </row>
    <row r="20">
      <c r="P20" s="6" t="inlineStr">
        <is>
          <t>1-3 Days</t>
        </is>
      </c>
      <c r="Q20" s="6">
        <f>COUNTIF('2. Master Opportunity List'!$AG$4:$AG$60,"1-3 Days")</f>
        <v/>
      </c>
    </row>
    <row r="21" ht="24" customHeight="1">
      <c r="A21" s="11" t="inlineStr">
        <is>
          <t>TOP 10 REVENUE OPPORTUNITIES  (live-linked to Master list, ranked by Priority)</t>
        </is>
      </c>
      <c r="P21" s="6" t="inlineStr">
        <is>
          <t>4-7 Days</t>
        </is>
      </c>
      <c r="Q21" s="6">
        <f>COUNTIF('2. Master Opportunity List'!$AG$4:$AG$60,"4-7 Days")</f>
        <v/>
      </c>
    </row>
    <row r="22" ht="26" customHeight="1">
      <c r="A22" s="14" t="inlineStr">
        <is>
          <t>Rank</t>
        </is>
      </c>
      <c r="B22" s="14" t="inlineStr">
        <is>
          <t>Initiative</t>
        </is>
      </c>
      <c r="C22" s="14" t="inlineStr">
        <is>
          <t>Category</t>
        </is>
      </c>
      <c r="D22" s="14" t="inlineStr">
        <is>
          <t>Segment</t>
        </is>
      </c>
      <c r="E22" s="14" t="inlineStr">
        <is>
          <t>Revenue Lever</t>
        </is>
      </c>
      <c r="F22" s="14" t="inlineStr">
        <is>
          <t>Impact</t>
        </is>
      </c>
      <c r="G22" s="14" t="inlineStr">
        <is>
          <t>Confidence(1-5)</t>
        </is>
      </c>
      <c r="H22" s="14" t="inlineStr">
        <is>
          <t>Effort</t>
        </is>
      </c>
      <c r="I22" s="14" t="inlineStr">
        <is>
          <t>Time to Launch</t>
        </is>
      </c>
      <c r="J22" s="14" t="inlineStr">
        <is>
          <t>Margin</t>
        </is>
      </c>
      <c r="K22" s="14" t="inlineStr">
        <is>
          <t>Priority(/100)</t>
        </is>
      </c>
      <c r="P22" s="6" t="inlineStr">
        <is>
          <t>8-14 Days</t>
        </is>
      </c>
      <c r="Q22" s="6">
        <f>COUNTIF('2. Master Opportunity List'!$AG$4:$AG$60,"8-14 Days")</f>
        <v/>
      </c>
    </row>
    <row r="23">
      <c r="A23" s="15" t="n">
        <v>1</v>
      </c>
      <c r="B23" s="16">
        <f>'2. Master Opportunity List'!C4</f>
        <v/>
      </c>
      <c r="C23" s="16">
        <f>'2. Master Opportunity List'!J4</f>
        <v/>
      </c>
      <c r="D23" s="16">
        <f>'2. Master Opportunity List'!I4</f>
        <v/>
      </c>
      <c r="E23" s="16">
        <f>'2. Master Opportunity List'!E4</f>
        <v/>
      </c>
      <c r="F23" s="10">
        <f>'2. Master Opportunity List'!Z4</f>
        <v/>
      </c>
      <c r="G23" s="10">
        <f>'2. Master Opportunity List'!AI4</f>
        <v/>
      </c>
      <c r="H23" s="10">
        <f>'2. Master Opportunity List'!AF4</f>
        <v/>
      </c>
      <c r="I23" s="10">
        <f>'2. Master Opportunity List'!AG4</f>
        <v/>
      </c>
      <c r="J23" s="16">
        <f>'2. Master Opportunity List'!AA4</f>
        <v/>
      </c>
      <c r="K23" s="17">
        <f>'2. Master Opportunity List'!AM4</f>
        <v/>
      </c>
      <c r="P23" s="6" t="inlineStr">
        <is>
          <t>15-30 Days</t>
        </is>
      </c>
      <c r="Q23" s="6">
        <f>COUNTIF('2. Master Opportunity List'!$AG$4:$AG$60,"15-30 Days")</f>
        <v/>
      </c>
    </row>
    <row r="24">
      <c r="A24" s="18" t="n">
        <v>2</v>
      </c>
      <c r="B24" s="19">
        <f>'2. Master Opportunity List'!C5</f>
        <v/>
      </c>
      <c r="C24" s="19">
        <f>'2. Master Opportunity List'!J5</f>
        <v/>
      </c>
      <c r="D24" s="19">
        <f>'2. Master Opportunity List'!I5</f>
        <v/>
      </c>
      <c r="E24" s="19">
        <f>'2. Master Opportunity List'!E5</f>
        <v/>
      </c>
      <c r="F24" s="20">
        <f>'2. Master Opportunity List'!Z5</f>
        <v/>
      </c>
      <c r="G24" s="20">
        <f>'2. Master Opportunity List'!AI5</f>
        <v/>
      </c>
      <c r="H24" s="20">
        <f>'2. Master Opportunity List'!AF5</f>
        <v/>
      </c>
      <c r="I24" s="20">
        <f>'2. Master Opportunity List'!AG5</f>
        <v/>
      </c>
      <c r="J24" s="19">
        <f>'2. Master Opportunity List'!AA5</f>
        <v/>
      </c>
      <c r="K24" s="21">
        <f>'2. Master Opportunity List'!AM5</f>
        <v/>
      </c>
    </row>
    <row r="25">
      <c r="A25" s="15" t="n">
        <v>3</v>
      </c>
      <c r="B25" s="16">
        <f>'2. Master Opportunity List'!C6</f>
        <v/>
      </c>
      <c r="C25" s="16">
        <f>'2. Master Opportunity List'!J6</f>
        <v/>
      </c>
      <c r="D25" s="16">
        <f>'2. Master Opportunity List'!I6</f>
        <v/>
      </c>
      <c r="E25" s="16">
        <f>'2. Master Opportunity List'!E6</f>
        <v/>
      </c>
      <c r="F25" s="10">
        <f>'2. Master Opportunity List'!Z6</f>
        <v/>
      </c>
      <c r="G25" s="10">
        <f>'2. Master Opportunity List'!AI6</f>
        <v/>
      </c>
      <c r="H25" s="10">
        <f>'2. Master Opportunity List'!AF6</f>
        <v/>
      </c>
      <c r="I25" s="10">
        <f>'2. Master Opportunity List'!AG6</f>
        <v/>
      </c>
      <c r="J25" s="16">
        <f>'2. Master Opportunity List'!AA6</f>
        <v/>
      </c>
      <c r="K25" s="17">
        <f>'2. Master Opportunity List'!AM6</f>
        <v/>
      </c>
    </row>
    <row r="26">
      <c r="A26" s="18" t="n">
        <v>4</v>
      </c>
      <c r="B26" s="19">
        <f>'2. Master Opportunity List'!C7</f>
        <v/>
      </c>
      <c r="C26" s="19">
        <f>'2. Master Opportunity List'!J7</f>
        <v/>
      </c>
      <c r="D26" s="19">
        <f>'2. Master Opportunity List'!I7</f>
        <v/>
      </c>
      <c r="E26" s="19">
        <f>'2. Master Opportunity List'!E7</f>
        <v/>
      </c>
      <c r="F26" s="20">
        <f>'2. Master Opportunity List'!Z7</f>
        <v/>
      </c>
      <c r="G26" s="20">
        <f>'2. Master Opportunity List'!AI7</f>
        <v/>
      </c>
      <c r="H26" s="20">
        <f>'2. Master Opportunity List'!AF7</f>
        <v/>
      </c>
      <c r="I26" s="20">
        <f>'2. Master Opportunity List'!AG7</f>
        <v/>
      </c>
      <c r="J26" s="19">
        <f>'2. Master Opportunity List'!AA7</f>
        <v/>
      </c>
      <c r="K26" s="21">
        <f>'2. Master Opportunity List'!AM7</f>
        <v/>
      </c>
      <c r="P26" s="4" t="inlineStr">
        <is>
          <t>Ideas by Category</t>
        </is>
      </c>
    </row>
    <row r="27">
      <c r="A27" s="15" t="n">
        <v>5</v>
      </c>
      <c r="B27" s="16">
        <f>'2. Master Opportunity List'!C8</f>
        <v/>
      </c>
      <c r="C27" s="16">
        <f>'2. Master Opportunity List'!J8</f>
        <v/>
      </c>
      <c r="D27" s="16">
        <f>'2. Master Opportunity List'!I8</f>
        <v/>
      </c>
      <c r="E27" s="16">
        <f>'2. Master Opportunity List'!E8</f>
        <v/>
      </c>
      <c r="F27" s="10">
        <f>'2. Master Opportunity List'!Z8</f>
        <v/>
      </c>
      <c r="G27" s="10">
        <f>'2. Master Opportunity List'!AI8</f>
        <v/>
      </c>
      <c r="H27" s="10">
        <f>'2. Master Opportunity List'!AF8</f>
        <v/>
      </c>
      <c r="I27" s="10">
        <f>'2. Master Opportunity List'!AG8</f>
        <v/>
      </c>
      <c r="J27" s="16">
        <f>'2. Master Opportunity List'!AA8</f>
        <v/>
      </c>
      <c r="K27" s="17">
        <f>'2. Master Opportunity List'!AM8</f>
        <v/>
      </c>
      <c r="P27" s="6" t="inlineStr">
        <is>
          <t>Apple Watch Bands</t>
        </is>
      </c>
      <c r="Q27" s="6">
        <f>COUNTIF('2. Master Opportunity List'!$J$4:$J$60,"Apple Watch Bands")</f>
        <v/>
      </c>
    </row>
    <row r="28">
      <c r="A28" s="18" t="n">
        <v>6</v>
      </c>
      <c r="B28" s="19">
        <f>'2. Master Opportunity List'!C9</f>
        <v/>
      </c>
      <c r="C28" s="19">
        <f>'2. Master Opportunity List'!J9</f>
        <v/>
      </c>
      <c r="D28" s="19">
        <f>'2. Master Opportunity List'!I9</f>
        <v/>
      </c>
      <c r="E28" s="19">
        <f>'2. Master Opportunity List'!E9</f>
        <v/>
      </c>
      <c r="F28" s="20">
        <f>'2. Master Opportunity List'!Z9</f>
        <v/>
      </c>
      <c r="G28" s="20">
        <f>'2. Master Opportunity List'!AI9</f>
        <v/>
      </c>
      <c r="H28" s="20">
        <f>'2. Master Opportunity List'!AF9</f>
        <v/>
      </c>
      <c r="I28" s="20">
        <f>'2. Master Opportunity List'!AG9</f>
        <v/>
      </c>
      <c r="J28" s="19">
        <f>'2. Master Opportunity List'!AA9</f>
        <v/>
      </c>
      <c r="K28" s="21">
        <f>'2. Master Opportunity List'!AM9</f>
        <v/>
      </c>
      <c r="P28" s="6" t="inlineStr">
        <is>
          <t>Backpacks</t>
        </is>
      </c>
      <c r="Q28" s="6">
        <f>COUNTIF('2. Master Opportunity List'!$J$4:$J$60,"Backpacks")</f>
        <v/>
      </c>
    </row>
    <row r="29">
      <c r="A29" s="15" t="n">
        <v>7</v>
      </c>
      <c r="B29" s="16">
        <f>'2. Master Opportunity List'!C10</f>
        <v/>
      </c>
      <c r="C29" s="16">
        <f>'2. Master Opportunity List'!J10</f>
        <v/>
      </c>
      <c r="D29" s="16">
        <f>'2. Master Opportunity List'!I10</f>
        <v/>
      </c>
      <c r="E29" s="16">
        <f>'2. Master Opportunity List'!E10</f>
        <v/>
      </c>
      <c r="F29" s="10">
        <f>'2. Master Opportunity List'!Z10</f>
        <v/>
      </c>
      <c r="G29" s="10">
        <f>'2. Master Opportunity List'!AI10</f>
        <v/>
      </c>
      <c r="H29" s="10">
        <f>'2. Master Opportunity List'!AF10</f>
        <v/>
      </c>
      <c r="I29" s="10">
        <f>'2. Master Opportunity List'!AG10</f>
        <v/>
      </c>
      <c r="J29" s="16">
        <f>'2. Master Opportunity List'!AA10</f>
        <v/>
      </c>
      <c r="K29" s="17">
        <f>'2. Master Opportunity List'!AM10</f>
        <v/>
      </c>
      <c r="P29" s="6" t="inlineStr">
        <is>
          <t>Cross-category</t>
        </is>
      </c>
      <c r="Q29" s="6">
        <f>COUNTIF('2. Master Opportunity List'!$J$4:$J$60,"Cross-category")</f>
        <v/>
      </c>
    </row>
    <row r="30">
      <c r="A30" s="18" t="n">
        <v>8</v>
      </c>
      <c r="B30" s="19">
        <f>'2. Master Opportunity List'!C11</f>
        <v/>
      </c>
      <c r="C30" s="19">
        <f>'2. Master Opportunity List'!J11</f>
        <v/>
      </c>
      <c r="D30" s="19">
        <f>'2. Master Opportunity List'!I11</f>
        <v/>
      </c>
      <c r="E30" s="19">
        <f>'2. Master Opportunity List'!E11</f>
        <v/>
      </c>
      <c r="F30" s="20">
        <f>'2. Master Opportunity List'!Z11</f>
        <v/>
      </c>
      <c r="G30" s="20">
        <f>'2. Master Opportunity List'!AI11</f>
        <v/>
      </c>
      <c r="H30" s="20">
        <f>'2. Master Opportunity List'!AF11</f>
        <v/>
      </c>
      <c r="I30" s="20">
        <f>'2. Master Opportunity List'!AG11</f>
        <v/>
      </c>
      <c r="J30" s="19">
        <f>'2. Master Opportunity List'!AA11</f>
        <v/>
      </c>
      <c r="K30" s="21">
        <f>'2. Master Opportunity List'!AM11</f>
        <v/>
      </c>
      <c r="P30" s="6" t="inlineStr">
        <is>
          <t>Desk Organisers</t>
        </is>
      </c>
      <c r="Q30" s="6">
        <f>COUNTIF('2. Master Opportunity List'!$J$4:$J$60,"Desk Organisers")</f>
        <v/>
      </c>
    </row>
    <row r="31">
      <c r="A31" s="15" t="n">
        <v>9</v>
      </c>
      <c r="B31" s="16">
        <f>'2. Master Opportunity List'!C12</f>
        <v/>
      </c>
      <c r="C31" s="16">
        <f>'2. Master Opportunity List'!J12</f>
        <v/>
      </c>
      <c r="D31" s="16">
        <f>'2. Master Opportunity List'!I12</f>
        <v/>
      </c>
      <c r="E31" s="16">
        <f>'2. Master Opportunity List'!E12</f>
        <v/>
      </c>
      <c r="F31" s="10">
        <f>'2. Master Opportunity List'!Z12</f>
        <v/>
      </c>
      <c r="G31" s="10">
        <f>'2. Master Opportunity List'!AI12</f>
        <v/>
      </c>
      <c r="H31" s="10">
        <f>'2. Master Opportunity List'!AF12</f>
        <v/>
      </c>
      <c r="I31" s="10">
        <f>'2. Master Opportunity List'!AG12</f>
        <v/>
      </c>
      <c r="J31" s="16">
        <f>'2. Master Opportunity List'!AA12</f>
        <v/>
      </c>
      <c r="K31" s="17">
        <f>'2. Master Opportunity List'!AM12</f>
        <v/>
      </c>
      <c r="P31" s="6" t="inlineStr">
        <is>
          <t>Gifting</t>
        </is>
      </c>
      <c r="Q31" s="6">
        <f>COUNTIF('2. Master Opportunity List'!$J$4:$J$60,"Gifting")</f>
        <v/>
      </c>
    </row>
    <row r="32">
      <c r="A32" s="18" t="n">
        <v>10</v>
      </c>
      <c r="B32" s="19">
        <f>'2. Master Opportunity List'!C13</f>
        <v/>
      </c>
      <c r="C32" s="19">
        <f>'2. Master Opportunity List'!J13</f>
        <v/>
      </c>
      <c r="D32" s="19">
        <f>'2. Master Opportunity List'!I13</f>
        <v/>
      </c>
      <c r="E32" s="19">
        <f>'2. Master Opportunity List'!E13</f>
        <v/>
      </c>
      <c r="F32" s="20">
        <f>'2. Master Opportunity List'!Z13</f>
        <v/>
      </c>
      <c r="G32" s="20">
        <f>'2. Master Opportunity List'!AI13</f>
        <v/>
      </c>
      <c r="H32" s="20">
        <f>'2. Master Opportunity List'!AF13</f>
        <v/>
      </c>
      <c r="I32" s="20">
        <f>'2. Master Opportunity List'!AG13</f>
        <v/>
      </c>
      <c r="J32" s="19">
        <f>'2. Master Opportunity List'!AA13</f>
        <v/>
      </c>
      <c r="K32" s="21">
        <f>'2. Master Opportunity List'!AM13</f>
        <v/>
      </c>
      <c r="P32" s="6" t="inlineStr">
        <is>
          <t>Impulse tech</t>
        </is>
      </c>
      <c r="Q32" s="6">
        <f>COUNTIF('2. Master Opportunity List'!$J$4:$J$60,"Impulse tech")</f>
        <v/>
      </c>
    </row>
    <row r="33">
      <c r="P33" s="6" t="inlineStr">
        <is>
          <t>Phone Cases</t>
        </is>
      </c>
      <c r="Q33" s="6">
        <f>COUNTIF('2. Master Opportunity List'!$J$4:$J$60,"Phone Cases")</f>
        <v/>
      </c>
    </row>
    <row r="34">
      <c r="P34" s="6" t="inlineStr">
        <is>
          <t>Power Banks</t>
        </is>
      </c>
      <c r="Q34" s="6">
        <f>COUNTIF('2. Master Opportunity List'!$J$4:$J$60,"Power Banks")</f>
        <v/>
      </c>
    </row>
    <row r="35">
      <c r="P35" s="6" t="inlineStr">
        <is>
          <t>Tech Organisers</t>
        </is>
      </c>
      <c r="Q35" s="6">
        <f>COUNTIF('2. Master Opportunity List'!$J$4:$J$60,"Tech Organisers")</f>
        <v/>
      </c>
    </row>
    <row r="36">
      <c r="P36" s="6" t="inlineStr">
        <is>
          <t>Wallets</t>
        </is>
      </c>
      <c r="Q36" s="6">
        <f>COUNTIF('2. Master Opportunity List'!$J$4:$J$60,"Wallets")</f>
        <v/>
      </c>
    </row>
  </sheetData>
  <mergeCells count="26">
    <mergeCell ref="D13:F13"/>
    <mergeCell ref="G13:I13"/>
    <mergeCell ref="E7"/>
    <mergeCell ref="D17:F17"/>
    <mergeCell ref="D16:F16"/>
    <mergeCell ref="A1:N1"/>
    <mergeCell ref="J16:L16"/>
    <mergeCell ref="G14:I14"/>
    <mergeCell ref="A14:C14"/>
    <mergeCell ref="A17:C17"/>
    <mergeCell ref="G16:I16"/>
    <mergeCell ref="E8"/>
    <mergeCell ref="A13:C13"/>
    <mergeCell ref="D14:F14"/>
    <mergeCell ref="A12:N12"/>
    <mergeCell ref="A21:N21"/>
    <mergeCell ref="A2:N2"/>
    <mergeCell ref="E10"/>
    <mergeCell ref="J17:L17"/>
    <mergeCell ref="E9"/>
    <mergeCell ref="J14:L14"/>
    <mergeCell ref="A4:N4"/>
    <mergeCell ref="J13:L13"/>
    <mergeCell ref="E6"/>
    <mergeCell ref="G17:I17"/>
    <mergeCell ref="A16:C16"/>
  </mergeCells>
  <conditionalFormatting sqref="K23:K32">
    <cfRule type="colorScale" priority="1">
      <colorScale>
        <cfvo type="num" val="0"/>
        <cfvo type="num" val="70"/>
        <color rgb="00FFEB84"/>
        <color rgb="0063BE7B"/>
      </colorScale>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S6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0" customWidth="1" min="3" max="3"/>
    <col width="52" customWidth="1" min="4" max="4"/>
    <col width="16" customWidth="1" min="5" max="5"/>
    <col width="16" customWidth="1" min="6" max="6"/>
    <col width="16" customWidth="1" min="7" max="7"/>
    <col width="18" customWidth="1" min="8" max="8"/>
    <col width="12" customWidth="1" min="9" max="9"/>
    <col width="18" customWidth="1" min="10" max="10"/>
    <col width="20" customWidth="1" min="11" max="11"/>
    <col width="14" customWidth="1" min="12" max="12"/>
    <col width="18" customWidth="1" min="13" max="13"/>
    <col width="26" customWidth="1" min="14" max="14"/>
    <col width="20" customWidth="1" min="15" max="15"/>
    <col width="12" customWidth="1" min="16" max="16"/>
    <col width="16" customWidth="1" min="17" max="17"/>
    <col width="24" customWidth="1" min="18" max="18"/>
    <col width="22" customWidth="1" min="19" max="19"/>
    <col width="26" customWidth="1" min="20" max="20"/>
    <col width="46" customWidth="1" min="21" max="21"/>
    <col width="40" customWidth="1" min="22" max="22"/>
    <col width="30" customWidth="1" min="23" max="23"/>
    <col width="12" customWidth="1" min="24" max="24"/>
    <col width="12" customWidth="1" min="25" max="25"/>
    <col width="12" customWidth="1" min="26" max="26"/>
    <col width="22" customWidth="1" min="27" max="27"/>
    <col width="9" customWidth="1" min="28" max="28"/>
    <col width="9" customWidth="1" min="29" max="29"/>
    <col width="7" customWidth="1" min="30" max="30"/>
    <col width="22" customWidth="1" min="31" max="31"/>
    <col width="12" customWidth="1" min="32" max="32"/>
    <col width="13" customWidth="1" min="33" max="33"/>
    <col width="8" customWidth="1" min="34" max="34"/>
    <col width="8" customWidth="1" min="35" max="35"/>
    <col width="7" customWidth="1" min="36" max="36"/>
    <col width="7" customWidth="1" min="37" max="37"/>
    <col width="9" customWidth="1" min="38" max="38"/>
    <col width="9" customWidth="1" min="39" max="39"/>
    <col width="40" customWidth="1" min="40" max="40"/>
    <col width="24" customWidth="1" min="41" max="41"/>
    <col width="22" customWidth="1" min="42" max="42"/>
    <col width="12" customWidth="1" min="43" max="43"/>
    <col width="13" customWidth="1" min="44" max="44"/>
    <col width="24" customWidth="1" min="45" max="45"/>
  </cols>
  <sheetData>
    <row r="1" ht="30" customHeight="1">
      <c r="A1" s="22" t="inlineStr">
        <is>
          <t>MASTER REVENUE OPPORTUNITY LIST</t>
        </is>
      </c>
    </row>
    <row r="2" ht="22" customHeight="1">
      <c r="A2" s="2" t="inlineStr">
        <is>
          <t>Every idea = one row. Filterable. Priority = RevImpact x Confidence x Ease x Speed x MarginFriendly, normalised /100.  Evidence source: GA4 'DO - GA4' (273672074), via Windsor.ai, pulled 2026-08-10</t>
        </is>
      </c>
    </row>
    <row r="3" ht="34" customHeight="1">
      <c r="A3" s="14" t="inlineStr">
        <is>
          <t>Idea ID</t>
        </is>
      </c>
      <c r="B3" s="14" t="inlineStr">
        <is>
          <t>Rank</t>
        </is>
      </c>
      <c r="C3" s="14" t="inlineStr">
        <is>
          <t>Initiative Name</t>
        </is>
      </c>
      <c r="D3" s="14" t="inlineStr">
        <is>
          <t>Detailed Mechanic</t>
        </is>
      </c>
      <c r="E3" s="14" t="inlineStr">
        <is>
          <t>Revenue Lever</t>
        </is>
      </c>
      <c r="F3" s="14" t="inlineStr">
        <is>
          <t>Primary KPI</t>
        </is>
      </c>
      <c r="G3" s="14" t="inlineStr">
        <is>
          <t>Secondary KPI</t>
        </is>
      </c>
      <c r="H3" s="14" t="inlineStr">
        <is>
          <t>Target Customer</t>
        </is>
      </c>
      <c r="I3" s="14" t="inlineStr">
        <is>
          <t>Cohort</t>
        </is>
      </c>
      <c r="J3" s="14" t="inlineStr">
        <is>
          <t>Category</t>
        </is>
      </c>
      <c r="K3" s="14" t="inlineStr">
        <is>
          <t>Subcategory</t>
        </is>
      </c>
      <c r="L3" s="14" t="inlineStr">
        <is>
          <t>Specific SKU(s)</t>
        </is>
      </c>
      <c r="M3" s="14" t="inlineStr">
        <is>
          <t>Trigger</t>
        </is>
      </c>
      <c r="N3" s="14" t="inlineStr">
        <is>
          <t>Offer / Proposition</t>
        </is>
      </c>
      <c r="O3" s="14" t="inlineStr">
        <is>
          <t>Website Placement</t>
        </is>
      </c>
      <c r="P3" s="14" t="inlineStr">
        <is>
          <t>Channel</t>
        </is>
      </c>
      <c r="Q3" s="14" t="inlineStr">
        <is>
          <t>Journey Stage</t>
        </is>
      </c>
      <c r="R3" s="14" t="inlineStr">
        <is>
          <t>External Brand Example</t>
        </is>
      </c>
      <c r="S3" s="14" t="inlineStr">
        <is>
          <t>Benchmark Mechanic</t>
        </is>
      </c>
      <c r="T3" s="14" t="inlineStr">
        <is>
          <t>Source URL</t>
        </is>
      </c>
      <c r="U3" s="14" t="inlineStr">
        <is>
          <t>DailyObjects Evidence (OBS/INF/HYP)</t>
        </is>
      </c>
      <c r="V3" s="14" t="inlineStr">
        <is>
          <t>Why It Should Work</t>
        </is>
      </c>
      <c r="W3" s="14" t="inlineStr">
        <is>
          <t>Expected Behaviour Change</t>
        </is>
      </c>
      <c r="X3" s="14" t="inlineStr">
        <is>
          <t>Exp. CVR Impact</t>
        </is>
      </c>
      <c r="Y3" s="14" t="inlineStr">
        <is>
          <t>Exp. AOV Impact</t>
        </is>
      </c>
      <c r="Z3" s="14" t="inlineStr">
        <is>
          <t>Exp. Revenue Impact</t>
        </is>
      </c>
      <c r="AA3" s="14" t="inlineStr">
        <is>
          <t>Exp. Margin Impact</t>
        </is>
      </c>
      <c r="AB3" s="14" t="inlineStr">
        <is>
          <t>Discount?</t>
        </is>
      </c>
      <c r="AC3" s="14" t="inlineStr">
        <is>
          <t>Est. Disc %</t>
        </is>
      </c>
      <c r="AD3" s="14" t="inlineStr">
        <is>
          <t>Gift?</t>
        </is>
      </c>
      <c r="AE3" s="14" t="inlineStr">
        <is>
          <t>Technology Dependency</t>
        </is>
      </c>
      <c r="AF3" s="14" t="inlineStr">
        <is>
          <t>Implementation Effort</t>
        </is>
      </c>
      <c r="AG3" s="14" t="inlineStr">
        <is>
          <t>Time to Launch</t>
        </is>
      </c>
      <c r="AH3" s="14" t="inlineStr">
        <is>
          <t>Rev Impact (1-5)</t>
        </is>
      </c>
      <c r="AI3" s="14" t="inlineStr">
        <is>
          <t>Confidence (1-5)</t>
        </is>
      </c>
      <c r="AJ3" s="14" t="inlineStr">
        <is>
          <t>Ease (1-5)</t>
        </is>
      </c>
      <c r="AK3" s="14" t="inlineStr">
        <is>
          <t>Speed (1-5)</t>
        </is>
      </c>
      <c r="AL3" s="14" t="inlineStr">
        <is>
          <t>Margin-Friendly (1-5)</t>
        </is>
      </c>
      <c r="AM3" s="14" t="inlineStr">
        <is>
          <t>Priority (/100)</t>
        </is>
      </c>
      <c r="AN3" s="14" t="inlineStr">
        <is>
          <t>Recommended Test</t>
        </is>
      </c>
      <c r="AO3" s="14" t="inlineStr">
        <is>
          <t>Success Metric</t>
        </is>
      </c>
      <c r="AP3" s="14" t="inlineStr">
        <is>
          <t>Guardrail Metric</t>
        </is>
      </c>
      <c r="AQ3" s="14" t="inlineStr">
        <is>
          <t>Owner</t>
        </is>
      </c>
      <c r="AR3" s="14" t="inlineStr">
        <is>
          <t>Status</t>
        </is>
      </c>
      <c r="AS3" s="14" t="inlineStr">
        <is>
          <t>Notes</t>
        </is>
      </c>
    </row>
    <row r="4">
      <c r="A4" s="10" t="inlineStr">
        <is>
          <t>ID01</t>
        </is>
      </c>
      <c r="B4" s="10" t="n">
        <v>1</v>
      </c>
      <c r="C4" s="16" t="inlineStr">
        <is>
          <t>Phone Case Attach Engine (screen guard + charm + strap)</t>
        </is>
      </c>
      <c r="D4" s="9" t="inlineStr">
        <is>
          <t>On every phone-case PDP + cart, show a 'Complete your case' rail: matching tempered-glass screen guard, MagSafe charm/grip and lanyard at 30-50% off ONLY when added with the case. Auto-apply in cart.</t>
        </is>
      </c>
      <c r="E4" s="16" t="inlineStr">
        <is>
          <t>AOV</t>
        </is>
      </c>
      <c r="F4" s="16" t="inlineStr">
        <is>
          <t>Units per Transaction</t>
        </is>
      </c>
      <c r="G4" s="16" t="inlineStr">
        <is>
          <t>AOV</t>
        </is>
      </c>
      <c r="H4" s="16" t="inlineStr">
        <is>
          <t>All case buyers</t>
        </is>
      </c>
      <c r="I4" s="16" t="inlineStr">
        <is>
          <t>New &amp; Repeat</t>
        </is>
      </c>
      <c r="J4" s="16" t="inlineStr">
        <is>
          <t>Phone Cases</t>
        </is>
      </c>
      <c r="K4" s="16" t="inlineStr">
        <is>
          <t>Screen guards / grips / straps</t>
        </is>
      </c>
      <c r="L4" s="16" t="inlineStr">
        <is>
          <t>1101,1103,1815,1812</t>
        </is>
      </c>
      <c r="M4" s="16" t="inlineStr">
        <is>
          <t>View/ATC of any phone case</t>
        </is>
      </c>
      <c r="N4" s="16" t="inlineStr">
        <is>
          <t>30-50% off attach items with a case</t>
        </is>
      </c>
      <c r="O4" s="16" t="inlineStr">
        <is>
          <t>PDP below CTA + Cart FBT rail</t>
        </is>
      </c>
      <c r="P4" s="16" t="inlineStr">
        <is>
          <t>Website/App</t>
        </is>
      </c>
      <c r="Q4" s="16" t="inlineStr">
        <is>
          <t>Consideration/Cart</t>
        </is>
      </c>
      <c r="R4" s="16" t="inlineStr">
        <is>
          <t>Casetify (up to 50% off accy with case); dbrand Grip+Prism; Nomad 15% off 2</t>
        </is>
      </c>
      <c r="S4" s="16" t="inlineStr">
        <is>
          <t>Accessory-attach discount on hero product</t>
        </is>
      </c>
      <c r="T4" s="16" t="inlineStr">
        <is>
          <t>couponfollow.com/site/casetify.com</t>
        </is>
      </c>
      <c r="U4" s="9" t="inlineStr">
        <is>
          <t>OBS: Phone cases = 31.1M item views (57% of all views) but ASP only ~Rs1,068 &amp; view-&gt;purchase 1.2%; screen guards(1815)/grips(1812) already sell at high ATC rates. Massive under-monetised traffic.</t>
        </is>
      </c>
      <c r="V4" s="9" t="inlineStr">
        <is>
          <t>The case is the wedge; a discounted, compatible attach is the single most proven case-AOV lever across every accessory peer.</t>
        </is>
      </c>
      <c r="W4" s="9" t="inlineStr">
        <is>
          <t>Case-only buyers add 1-2 low-cost high-margin accessories.</t>
        </is>
      </c>
      <c r="X4" s="16" t="inlineStr">
        <is>
          <t>Neutral</t>
        </is>
      </c>
      <c r="Y4" s="16" t="inlineStr">
        <is>
          <t>+8-15%</t>
        </is>
      </c>
      <c r="Z4" s="16" t="inlineStr">
        <is>
          <t>High</t>
        </is>
      </c>
      <c r="AA4" s="16" t="inlineStr">
        <is>
          <t>Accretive (accy high margin even at 40% off)</t>
        </is>
      </c>
      <c r="AB4" s="10" t="inlineStr">
        <is>
          <t>Y</t>
        </is>
      </c>
      <c r="AC4" s="23" t="n">
        <v>0.4</v>
      </c>
      <c r="AD4" s="10" t="inlineStr">
        <is>
          <t>N</t>
        </is>
      </c>
      <c r="AE4" s="16" t="inlineStr">
        <is>
          <t>Merch rule / FBT widget</t>
        </is>
      </c>
      <c r="AF4" s="16" t="inlineStr">
        <is>
          <t>Easy</t>
        </is>
      </c>
      <c r="AG4" s="16" t="inlineStr">
        <is>
          <t>4-7 Days</t>
        </is>
      </c>
      <c r="AH4" s="10" t="n">
        <v>5</v>
      </c>
      <c r="AI4" s="10" t="n">
        <v>5</v>
      </c>
      <c r="AJ4" s="10" t="n">
        <v>4</v>
      </c>
      <c r="AK4" s="10" t="n">
        <v>4</v>
      </c>
      <c r="AL4" s="10" t="n">
        <v>4</v>
      </c>
      <c r="AM4" s="24">
        <f>ROUND(AH4*AI4*AJ4*AK4*AL4/3125*100,1)</f>
        <v/>
      </c>
      <c r="AN4" s="9" t="inlineStr">
        <is>
          <t>A/B PDP+cart attach rail vs control on iPhone case PDPs</t>
        </is>
      </c>
      <c r="AO4" s="16" t="inlineStr">
        <is>
          <t>+Rs AOV &amp; UPT on case orders</t>
        </is>
      </c>
      <c r="AP4" s="16" t="inlineStr">
        <is>
          <t>Case CVR, return rate</t>
        </is>
      </c>
      <c r="AQ4" s="16" t="inlineStr">
        <is>
          <t>Unassigned</t>
        </is>
      </c>
      <c r="AR4" s="16" t="inlineStr">
        <is>
          <t>Backlog</t>
        </is>
      </c>
      <c r="AS4" s="16" t="inlineStr"/>
    </row>
    <row r="5">
      <c r="A5" s="20" t="inlineStr">
        <is>
          <t>ID19</t>
        </is>
      </c>
      <c r="B5" s="20" t="n">
        <v>2</v>
      </c>
      <c r="C5" s="19" t="inlineStr">
        <is>
          <t>Cart &amp; checkout abandonment flow (email+SMS+push)</t>
        </is>
      </c>
      <c r="D5" s="25" t="inlineStr">
        <is>
          <t>3-step abandonment series: 30min reminder, 24h with social proof, 48h with a modest incentive/free-ship reminder. Trigger separately for ATC-abandon vs checkout-abandon.</t>
        </is>
      </c>
      <c r="E5" s="19" t="inlineStr">
        <is>
          <t>CVR</t>
        </is>
      </c>
      <c r="F5" s="19" t="inlineStr">
        <is>
          <t>Revenue from CRM audiences</t>
        </is>
      </c>
      <c r="G5" s="19" t="inlineStr">
        <is>
          <t>Checkout Completion</t>
        </is>
      </c>
      <c r="H5" s="19" t="inlineStr">
        <is>
          <t>Abandoners</t>
        </is>
      </c>
      <c r="I5" s="19" t="inlineStr">
        <is>
          <t>High-intent non-purchasers</t>
        </is>
      </c>
      <c r="J5" s="19" t="inlineStr">
        <is>
          <t>Cross-category</t>
        </is>
      </c>
      <c r="K5" s="19" t="inlineStr">
        <is>
          <t>Abandonment</t>
        </is>
      </c>
      <c r="L5" s="19" t="inlineStr">
        <is>
          <t>all</t>
        </is>
      </c>
      <c r="M5" s="19" t="inlineStr">
        <is>
          <t>ATC/checkout without purchase</t>
        </is>
      </c>
      <c r="N5" s="19" t="inlineStr">
        <is>
          <t>Reminder; light incentive on step 3</t>
        </is>
      </c>
      <c r="O5" s="19" t="inlineStr">
        <is>
          <t>Email/SMS/Push</t>
        </is>
      </c>
      <c r="P5" s="19" t="inlineStr">
        <is>
          <t>CRM</t>
        </is>
      </c>
      <c r="Q5" s="19" t="inlineStr">
        <is>
          <t>Recovery</t>
        </is>
      </c>
      <c r="R5" s="19" t="inlineStr">
        <is>
          <t>Standard Klaviyo flows; boAt/Mamaearth CRM</t>
        </is>
      </c>
      <c r="S5" s="19" t="inlineStr"/>
      <c r="T5" s="19" t="inlineStr">
        <is>
          <t>internal best practice</t>
        </is>
      </c>
      <c r="U5" s="25" t="inlineStr">
        <is>
          <t>OBS: 5.99M add-to-cart vs 623k purchase; begin_checkout 1.55M -&gt; purchase 623k. Email+SMS+Push together only ~0.55% of revenue (Rs7.35M) - flows are under-built.</t>
        </is>
      </c>
      <c r="V5" s="25" t="inlineStr">
        <is>
          <t>Recovering even a small % of the 1.5M checkout-abandoners is large; owned channels are near-free and currently dormant.</t>
        </is>
      </c>
      <c r="W5" s="25" t="inlineStr">
        <is>
          <t>Returns to complete purchase.</t>
        </is>
      </c>
      <c r="X5" s="19" t="inlineStr">
        <is>
          <t>+</t>
        </is>
      </c>
      <c r="Y5" s="19" t="inlineStr">
        <is>
          <t>Neutral</t>
        </is>
      </c>
      <c r="Z5" s="19" t="inlineStr">
        <is>
          <t>High</t>
        </is>
      </c>
      <c r="AA5" s="19" t="inlineStr">
        <is>
          <t>Accretive</t>
        </is>
      </c>
      <c r="AB5" s="20" t="inlineStr">
        <is>
          <t>Y</t>
        </is>
      </c>
      <c r="AC5" s="26" t="n">
        <v>0.05</v>
      </c>
      <c r="AD5" s="20" t="inlineStr">
        <is>
          <t>N</t>
        </is>
      </c>
      <c r="AE5" s="19" t="inlineStr">
        <is>
          <t>CRM/ESP flows + events</t>
        </is>
      </c>
      <c r="AF5" s="19" t="inlineStr">
        <is>
          <t>Easy</t>
        </is>
      </c>
      <c r="AG5" s="19" t="inlineStr">
        <is>
          <t>4-7 Days</t>
        </is>
      </c>
      <c r="AH5" s="20" t="n">
        <v>5</v>
      </c>
      <c r="AI5" s="20" t="n">
        <v>5</v>
      </c>
      <c r="AJ5" s="20" t="n">
        <v>4</v>
      </c>
      <c r="AK5" s="20" t="n">
        <v>4</v>
      </c>
      <c r="AL5" s="20" t="n">
        <v>4</v>
      </c>
      <c r="AM5" s="27">
        <f>ROUND(AH5*AI5*AJ5*AK5*AL5/3125*100,1)</f>
        <v/>
      </c>
      <c r="AN5" s="25" t="inlineStr">
        <is>
          <t>Flow on vs holdout</t>
        </is>
      </c>
      <c r="AO5" s="19" t="inlineStr">
        <is>
          <t>Recovered revenue per abandoner</t>
        </is>
      </c>
      <c r="AP5" s="19" t="inlineStr">
        <is>
          <t>Unsub rate, discount leakage</t>
        </is>
      </c>
      <c r="AQ5" s="19" t="inlineStr">
        <is>
          <t>Unassigned</t>
        </is>
      </c>
      <c r="AR5" s="19" t="inlineStr">
        <is>
          <t>Backlog</t>
        </is>
      </c>
      <c r="AS5" s="19" t="inlineStr"/>
    </row>
    <row r="6">
      <c r="A6" s="10" t="inlineStr">
        <is>
          <t>ID05</t>
        </is>
      </c>
      <c r="B6" s="10" t="n">
        <v>3</v>
      </c>
      <c r="C6" s="16" t="inlineStr">
        <is>
          <t>Cart low-price add-on rail (impulse SKUs)</t>
        </is>
      </c>
      <c r="D6" s="9" t="inlineStr">
        <is>
          <t>In cart, show a horizontal 'Add for a little more' rail of high-margin impulse SKUs &lt;Rs499 (cable binds, screen guards, grips, coasters, charms) one-tap add.</t>
        </is>
      </c>
      <c r="E6" s="16" t="inlineStr">
        <is>
          <t>AOV</t>
        </is>
      </c>
      <c r="F6" s="16" t="inlineStr">
        <is>
          <t>Units per Transaction</t>
        </is>
      </c>
      <c r="G6" s="16" t="inlineStr">
        <is>
          <t>AOV</t>
        </is>
      </c>
      <c r="H6" s="16" t="inlineStr">
        <is>
          <t>All carts</t>
        </is>
      </c>
      <c r="I6" s="16" t="inlineStr">
        <is>
          <t>New &amp; Repeat</t>
        </is>
      </c>
      <c r="J6" s="16" t="inlineStr">
        <is>
          <t>Impulse tech</t>
        </is>
      </c>
      <c r="K6" s="16" t="inlineStr">
        <is>
          <t>Cables/grips/guards/charms</t>
        </is>
      </c>
      <c r="L6" s="16" t="inlineStr">
        <is>
          <t>1811,1812,1815,1705</t>
        </is>
      </c>
      <c r="M6" s="16" t="inlineStr">
        <is>
          <t>Cart view</t>
        </is>
      </c>
      <c r="N6" s="16" t="inlineStr">
        <is>
          <t>No discount - convenience placement</t>
        </is>
      </c>
      <c r="O6" s="16" t="inlineStr">
        <is>
          <t>Cart add-on rail</t>
        </is>
      </c>
      <c r="P6" s="16" t="inlineStr">
        <is>
          <t>Website/App</t>
        </is>
      </c>
      <c r="Q6" s="16" t="inlineStr">
        <is>
          <t>Cart</t>
        </is>
      </c>
      <c r="R6" s="16" t="inlineStr">
        <is>
          <t>Amazon-style add-ons; Nykaa mini rail</t>
        </is>
      </c>
      <c r="S6" s="16" t="inlineStr"/>
      <c r="T6" s="16" t="inlineStr">
        <is>
          <t>internal best practice</t>
        </is>
      </c>
      <c r="U6" s="9" t="inlineStr">
        <is>
          <t>OBS: Wrap-Lock cable bind is a top-review bestseller; grips(1812)/screen guards(1815) show very high ATC-to-view. Cheap, high-margin impulse inventory exists.</t>
        </is>
      </c>
      <c r="V6" s="9" t="inlineStr">
        <is>
          <t>Frictionless one-tap add of a cheap complement is pure incremental margin with zero discount.</t>
        </is>
      </c>
      <c r="W6" s="9" t="inlineStr">
        <is>
          <t>Adds a sub-Rs499 impulse item.</t>
        </is>
      </c>
      <c r="X6" s="16" t="inlineStr">
        <is>
          <t>Neutral</t>
        </is>
      </c>
      <c r="Y6" s="16" t="inlineStr">
        <is>
          <t>+3-6%</t>
        </is>
      </c>
      <c r="Z6" s="16" t="inlineStr">
        <is>
          <t>Med</t>
        </is>
      </c>
      <c r="AA6" s="16" t="inlineStr">
        <is>
          <t>Accretive (no discount)</t>
        </is>
      </c>
      <c r="AB6" s="10" t="inlineStr">
        <is>
          <t>N</t>
        </is>
      </c>
      <c r="AC6" s="23" t="n">
        <v>0</v>
      </c>
      <c r="AD6" s="10" t="inlineStr">
        <is>
          <t>N</t>
        </is>
      </c>
      <c r="AE6" s="16" t="inlineStr">
        <is>
          <t>Cart widget</t>
        </is>
      </c>
      <c r="AF6" s="16" t="inlineStr">
        <is>
          <t>Very Easy</t>
        </is>
      </c>
      <c r="AG6" s="16" t="inlineStr">
        <is>
          <t>4-7 Days</t>
        </is>
      </c>
      <c r="AH6" s="10" t="n">
        <v>3</v>
      </c>
      <c r="AI6" s="10" t="n">
        <v>4</v>
      </c>
      <c r="AJ6" s="10" t="n">
        <v>5</v>
      </c>
      <c r="AK6" s="10" t="n">
        <v>5</v>
      </c>
      <c r="AL6" s="10" t="n">
        <v>5</v>
      </c>
      <c r="AM6" s="24">
        <f>ROUND(AH6*AI6*AJ6*AK6*AL6/3125*100,1)</f>
        <v/>
      </c>
      <c r="AN6" s="9" t="inlineStr">
        <is>
          <t>Add-on rail vs control</t>
        </is>
      </c>
      <c r="AO6" s="16" t="inlineStr">
        <is>
          <t>Attach rate of add-on SKUs</t>
        </is>
      </c>
      <c r="AP6" s="16" t="inlineStr">
        <is>
          <t>Cart abandonment</t>
        </is>
      </c>
      <c r="AQ6" s="16" t="inlineStr">
        <is>
          <t>Unassigned</t>
        </is>
      </c>
      <c r="AR6" s="16" t="inlineStr">
        <is>
          <t>Backlog</t>
        </is>
      </c>
      <c r="AS6" s="16" t="inlineStr"/>
    </row>
    <row r="7">
      <c r="A7" s="20" t="inlineStr">
        <is>
          <t>ID27</t>
        </is>
      </c>
      <c r="B7" s="20" t="n">
        <v>4</v>
      </c>
      <c r="C7" s="19" t="inlineStr">
        <is>
          <t>Bestseller &amp; high-margin SKU prioritisation on PLP/home</t>
        </is>
      </c>
      <c r="D7" s="25" t="inlineStr">
        <is>
          <t>Re-sort PLPs and homepage rails to lead with proven high-CVR, high-margin bestsellers (Wrap-Lock cable, Orbis sling, Valet tray, Loop power banks, top case models); pin 'Bestseller' badges.</t>
        </is>
      </c>
      <c r="E7" s="19" t="inlineStr">
        <is>
          <t>CVR</t>
        </is>
      </c>
      <c r="F7" s="19" t="inlineStr">
        <is>
          <t>Conversion Rate</t>
        </is>
      </c>
      <c r="G7" s="19" t="inlineStr">
        <is>
          <t>Revenue per Visitor</t>
        </is>
      </c>
      <c r="H7" s="19" t="inlineStr">
        <is>
          <t>All browsers</t>
        </is>
      </c>
      <c r="I7" s="19" t="inlineStr">
        <is>
          <t>New &amp; Repeat</t>
        </is>
      </c>
      <c r="J7" s="19" t="inlineStr">
        <is>
          <t>Cross-category</t>
        </is>
      </c>
      <c r="K7" s="19" t="inlineStr">
        <is>
          <t>Merch sort</t>
        </is>
      </c>
      <c r="L7" s="19" t="inlineStr">
        <is>
          <t>bestsellers</t>
        </is>
      </c>
      <c r="M7" s="19" t="inlineStr">
        <is>
          <t>PLP/home view</t>
        </is>
      </c>
      <c r="N7" s="19" t="inlineStr">
        <is>
          <t>None</t>
        </is>
      </c>
      <c r="O7" s="19" t="inlineStr">
        <is>
          <t>PLP sort + homepage</t>
        </is>
      </c>
      <c r="P7" s="19" t="inlineStr">
        <is>
          <t>Website/App</t>
        </is>
      </c>
      <c r="Q7" s="19" t="inlineStr">
        <is>
          <t>Discovery</t>
        </is>
      </c>
      <c r="R7" s="19" t="inlineStr">
        <is>
          <t>Merch best practice; DO's own SKU-cull-&gt;sales lift</t>
        </is>
      </c>
      <c r="S7" s="19" t="inlineStr"/>
      <c r="T7" s="19" t="inlineStr">
        <is>
          <t>d2cx.co</t>
        </is>
      </c>
      <c r="U7" s="25" t="inlineStr">
        <is>
          <t>OBS: DO grew by cutting 72-&gt;35 SKUs to focus on bestsellers (Rs50L-&gt;Rs2Cr/mo). Homepage CVR 1.54% vs /collection 0.33% - sorting matters.</t>
        </is>
      </c>
      <c r="V7" s="25" t="inlineStr">
        <is>
          <t>Leading with proven winners raises blended CVR and margin without new traffic.</t>
        </is>
      </c>
      <c r="W7" s="25" t="inlineStr">
        <is>
          <t>Sees winners first; converts faster.</t>
        </is>
      </c>
      <c r="X7" s="19" t="inlineStr">
        <is>
          <t>+</t>
        </is>
      </c>
      <c r="Y7" s="19" t="inlineStr">
        <is>
          <t>Slight +</t>
        </is>
      </c>
      <c r="Z7" s="19" t="inlineStr">
        <is>
          <t>Med</t>
        </is>
      </c>
      <c r="AA7" s="19" t="inlineStr">
        <is>
          <t>Accretive</t>
        </is>
      </c>
      <c r="AB7" s="20" t="inlineStr">
        <is>
          <t>N</t>
        </is>
      </c>
      <c r="AC7" s="26" t="n">
        <v>0</v>
      </c>
      <c r="AD7" s="20" t="inlineStr">
        <is>
          <t>N</t>
        </is>
      </c>
      <c r="AE7" s="19" t="inlineStr">
        <is>
          <t>Merch sort rules</t>
        </is>
      </c>
      <c r="AF7" s="19" t="inlineStr">
        <is>
          <t>Very Easy</t>
        </is>
      </c>
      <c r="AG7" s="19" t="inlineStr">
        <is>
          <t>Same Day</t>
        </is>
      </c>
      <c r="AH7" s="20" t="n">
        <v>3</v>
      </c>
      <c r="AI7" s="20" t="n">
        <v>4</v>
      </c>
      <c r="AJ7" s="20" t="n">
        <v>5</v>
      </c>
      <c r="AK7" s="20" t="n">
        <v>5</v>
      </c>
      <c r="AL7" s="20" t="n">
        <v>5</v>
      </c>
      <c r="AM7" s="27">
        <f>ROUND(AH7*AI7*AJ7*AK7*AL7/3125*100,1)</f>
        <v/>
      </c>
      <c r="AN7" s="25" t="inlineStr">
        <is>
          <t>Bestseller-first sort vs default</t>
        </is>
      </c>
      <c r="AO7" s="19" t="inlineStr">
        <is>
          <t>PLP CVR, RPV</t>
        </is>
      </c>
      <c r="AP7" s="19" t="inlineStr">
        <is>
          <t>Long-tail exposure</t>
        </is>
      </c>
      <c r="AQ7" s="19" t="inlineStr">
        <is>
          <t>Unassigned</t>
        </is>
      </c>
      <c r="AR7" s="19" t="inlineStr">
        <is>
          <t>Backlog</t>
        </is>
      </c>
      <c r="AS7" s="19" t="inlineStr"/>
    </row>
    <row r="8">
      <c r="A8" s="10" t="inlineStr">
        <is>
          <t>ID07</t>
        </is>
      </c>
      <c r="B8" s="10" t="n">
        <v>5</v>
      </c>
      <c r="C8" s="16" t="inlineStr">
        <is>
          <t>Prepaid free-shipping + Rs79 COD-fee reframing</t>
        </is>
      </c>
      <c r="D8" s="9" t="inlineStr">
        <is>
          <t>Make free shipping explicit and prepaid-gated with a visible bar ('You're Rs X from free shipping - pay online'); show the Rs79 COD fee as a saveable line at checkout with a one-tap 'Switch to UPI &amp; save Rs79 + free ship'.</t>
        </is>
      </c>
      <c r="E8" s="16" t="inlineStr">
        <is>
          <t>CVR</t>
        </is>
      </c>
      <c r="F8" s="16" t="inlineStr">
        <is>
          <t>Checkout Completion</t>
        </is>
      </c>
      <c r="G8" s="16" t="inlineStr">
        <is>
          <t>Contribution margin</t>
        </is>
      </c>
      <c r="H8" s="16" t="inlineStr">
        <is>
          <t>COD-inclined shoppers</t>
        </is>
      </c>
      <c r="I8" s="16" t="inlineStr">
        <is>
          <t>New</t>
        </is>
      </c>
      <c r="J8" s="16" t="inlineStr">
        <is>
          <t>Cross-category</t>
        </is>
      </c>
      <c r="K8" s="16" t="inlineStr">
        <is>
          <t>Shipping/payment</t>
        </is>
      </c>
      <c r="L8" s="16" t="inlineStr">
        <is>
          <t>all</t>
        </is>
      </c>
      <c r="M8" s="16" t="inlineStr">
        <is>
          <t>Checkout w/ COD selected</t>
        </is>
      </c>
      <c r="N8" s="16" t="inlineStr">
        <is>
          <t>Free ship + waive COD fee on prepaid</t>
        </is>
      </c>
      <c r="O8" s="16" t="inlineStr">
        <is>
          <t>Cart + Checkout</t>
        </is>
      </c>
      <c r="P8" s="16" t="inlineStr">
        <is>
          <t>Website/App</t>
        </is>
      </c>
      <c r="Q8" s="16" t="inlineStr">
        <is>
          <t>Checkout</t>
        </is>
      </c>
      <c r="R8" s="16" t="inlineStr">
        <is>
          <t>boAt/Zouk/Mamaearth prepaid incentives; Souled Store Rs499 free-ship</t>
        </is>
      </c>
      <c r="S8" s="16" t="inlineStr"/>
      <c r="T8" s="16" t="inlineStr">
        <is>
          <t>grabon.in/mamaearth</t>
        </is>
      </c>
      <c r="U8" s="9" t="inlineStr">
        <is>
          <t>OBS: add_payment_info-&gt;purchase only 58% (large payment-stage drop); India COD RTO is a known margin leak. INF: existing free-ship thresholds reported inconsistently (Rs749 vs Rs1,199) - reframe clearly.</t>
        </is>
      </c>
      <c r="V8" s="9" t="inlineStr">
        <is>
          <t>Shifting COD-&gt;prepaid cuts RTO cost and lifts contribution margin more than the shipping given away; clarity reduces checkout abandonment.</t>
        </is>
      </c>
      <c r="W8" s="9" t="inlineStr">
        <is>
          <t>Chooses prepaid; completes checkout.</t>
        </is>
      </c>
      <c r="X8" s="16" t="inlineStr">
        <is>
          <t>+</t>
        </is>
      </c>
      <c r="Y8" s="16" t="inlineStr">
        <is>
          <t>Neutral</t>
        </is>
      </c>
      <c r="Z8" s="16" t="inlineStr">
        <is>
          <t>High</t>
        </is>
      </c>
      <c r="AA8" s="16" t="inlineStr">
        <is>
          <t>Accretive (RTO saved)</t>
        </is>
      </c>
      <c r="AB8" s="10" t="inlineStr">
        <is>
          <t>N</t>
        </is>
      </c>
      <c r="AC8" s="23" t="n">
        <v>0</v>
      </c>
      <c r="AD8" s="10" t="inlineStr">
        <is>
          <t>N</t>
        </is>
      </c>
      <c r="AE8" s="16" t="inlineStr">
        <is>
          <t>Checkout config</t>
        </is>
      </c>
      <c r="AF8" s="16" t="inlineStr">
        <is>
          <t>Easy</t>
        </is>
      </c>
      <c r="AG8" s="16" t="inlineStr">
        <is>
          <t>4-7 Days</t>
        </is>
      </c>
      <c r="AH8" s="10" t="n">
        <v>4</v>
      </c>
      <c r="AI8" s="10" t="n">
        <v>4</v>
      </c>
      <c r="AJ8" s="10" t="n">
        <v>4</v>
      </c>
      <c r="AK8" s="10" t="n">
        <v>4</v>
      </c>
      <c r="AL8" s="10" t="n">
        <v>5</v>
      </c>
      <c r="AM8" s="24">
        <f>ROUND(AH8*AI8*AJ8*AK8*AL8/3125*100,1)</f>
        <v/>
      </c>
      <c r="AN8" s="9" t="inlineStr">
        <is>
          <t>Prepaid nudge + COD-fee reframing at checkout</t>
        </is>
      </c>
      <c r="AO8" s="16" t="inlineStr">
        <is>
          <t>Prepaid share, checkout completion</t>
        </is>
      </c>
      <c r="AP8" s="16" t="inlineStr">
        <is>
          <t>Overall CVR</t>
        </is>
      </c>
      <c r="AQ8" s="16" t="inlineStr">
        <is>
          <t>Unassigned</t>
        </is>
      </c>
      <c r="AR8" s="16" t="inlineStr">
        <is>
          <t>Backlog</t>
        </is>
      </c>
      <c r="AS8" s="16" t="inlineStr"/>
    </row>
    <row r="9">
      <c r="A9" s="20" t="inlineStr">
        <is>
          <t>ID02</t>
        </is>
      </c>
      <c r="B9" s="20" t="n">
        <v>6</v>
      </c>
      <c r="C9" s="19" t="inlineStr">
        <is>
          <t>Power Bank + MagSafe Case cross-sell bundle</t>
        </is>
      </c>
      <c r="D9" s="25" t="inlineStr">
        <is>
          <t>On Loop Qi2 power-bank PDPs, add 'Powers up perfectly with' a MagSafe case at bundle price = power bank + case -10%. Reverse: on MagSafe case PDPs surface Loop power bank.</t>
        </is>
      </c>
      <c r="E9" s="19" t="inlineStr">
        <is>
          <t>AOV</t>
        </is>
      </c>
      <c r="F9" s="19" t="inlineStr">
        <is>
          <t>Cross-category Purchase</t>
        </is>
      </c>
      <c r="G9" s="19" t="inlineStr">
        <is>
          <t>AOV</t>
        </is>
      </c>
      <c r="H9" s="19" t="inlineStr">
        <is>
          <t>Power-bank &amp; MagSafe shoppers</t>
        </is>
      </c>
      <c r="I9" s="19" t="inlineStr">
        <is>
          <t>New &amp; Repeat</t>
        </is>
      </c>
      <c r="J9" s="19" t="inlineStr">
        <is>
          <t>Power Banks</t>
        </is>
      </c>
      <c r="K9" s="19" t="inlineStr">
        <is>
          <t>MagSafe cases</t>
        </is>
      </c>
      <c r="L9" s="19" t="inlineStr">
        <is>
          <t>1809,1103</t>
        </is>
      </c>
      <c r="M9" s="19" t="inlineStr">
        <is>
          <t>View Loop Qi2 PDP</t>
        </is>
      </c>
      <c r="N9" s="19" t="inlineStr">
        <is>
          <t>Bundle -10% vs buying separately</t>
        </is>
      </c>
      <c r="O9" s="19" t="inlineStr">
        <is>
          <t>PDP FBT + Cart</t>
        </is>
      </c>
      <c r="P9" s="19" t="inlineStr">
        <is>
          <t>Website/App</t>
        </is>
      </c>
      <c r="Q9" s="19" t="inlineStr">
        <is>
          <t>Consideration</t>
        </is>
      </c>
      <c r="R9" s="19" t="inlineStr">
        <is>
          <t>Anker charger+cable combo; Peak Design ecosystem</t>
        </is>
      </c>
      <c r="S9" s="19" t="inlineStr"/>
      <c r="T9" s="19" t="inlineStr">
        <is>
          <t>anker.com/collections/bundles</t>
        </is>
      </c>
      <c r="U9" s="25" t="inlineStr">
        <is>
          <t>OBS: Power banks = highest revenue category (Rs397M, ASP Rs3,108); MagSafe cases 42k units. Both MagSafe-ecosystem; natural attach. Loop 10000mAh PDP alone did Rs10.1M.</t>
        </is>
      </c>
      <c r="V9" s="25" t="inlineStr">
        <is>
          <t>Qi2/MagSafe interoperability is a real functional reason to pair; premium buyers are least price-sensitive.</t>
        </is>
      </c>
      <c r="W9" s="25" t="inlineStr">
        <is>
          <t>Power-bank buyers add a MagSafe case (and vice-versa).</t>
        </is>
      </c>
      <c r="X9" s="19" t="inlineStr">
        <is>
          <t>Neutral</t>
        </is>
      </c>
      <c r="Y9" s="19" t="inlineStr">
        <is>
          <t>+10-18%</t>
        </is>
      </c>
      <c r="Z9" s="19" t="inlineStr">
        <is>
          <t>High</t>
        </is>
      </c>
      <c r="AA9" s="19" t="inlineStr">
        <is>
          <t>Neutral</t>
        </is>
      </c>
      <c r="AB9" s="20" t="inlineStr">
        <is>
          <t>Y</t>
        </is>
      </c>
      <c r="AC9" s="26" t="n">
        <v>0.1</v>
      </c>
      <c r="AD9" s="20" t="inlineStr">
        <is>
          <t>N</t>
        </is>
      </c>
      <c r="AE9" s="19" t="inlineStr">
        <is>
          <t>FBT widget</t>
        </is>
      </c>
      <c r="AF9" s="19" t="inlineStr">
        <is>
          <t>Easy</t>
        </is>
      </c>
      <c r="AG9" s="19" t="inlineStr">
        <is>
          <t>4-7 Days</t>
        </is>
      </c>
      <c r="AH9" s="20" t="n">
        <v>4</v>
      </c>
      <c r="AI9" s="20" t="n">
        <v>4</v>
      </c>
      <c r="AJ9" s="20" t="n">
        <v>4</v>
      </c>
      <c r="AK9" s="20" t="n">
        <v>4</v>
      </c>
      <c r="AL9" s="20" t="n">
        <v>4</v>
      </c>
      <c r="AM9" s="27">
        <f>ROUND(AH9*AI9*AJ9*AK9*AL9/3125*100,1)</f>
        <v/>
      </c>
      <c r="AN9" s="25" t="inlineStr">
        <is>
          <t>Bundle module on Loop PDPs</t>
        </is>
      </c>
      <c r="AO9" s="19" t="inlineStr">
        <is>
          <t>Attach rate power bank&lt;-&gt;case</t>
        </is>
      </c>
      <c r="AP9" s="19" t="inlineStr">
        <is>
          <t>Power bank CVR</t>
        </is>
      </c>
      <c r="AQ9" s="19" t="inlineStr">
        <is>
          <t>Unassigned</t>
        </is>
      </c>
      <c r="AR9" s="19" t="inlineStr">
        <is>
          <t>Backlog</t>
        </is>
      </c>
      <c r="AS9" s="19" t="inlineStr"/>
    </row>
    <row r="10">
      <c r="A10" s="10" t="inlineStr">
        <is>
          <t>ID04</t>
        </is>
      </c>
      <c r="B10" s="10" t="n">
        <v>7</v>
      </c>
      <c r="C10" s="16" t="inlineStr">
        <is>
          <t>Watch-band multi-pack ('Band Wardrobe')</t>
        </is>
      </c>
      <c r="D10" s="9" t="inlineStr">
        <is>
          <t>On Apple Watch band PDPs offer buy-2-save-15% / buy-3-save-20% across bands (mix leather/sport/nylon). 'Build your band wardrobe' selector.</t>
        </is>
      </c>
      <c r="E10" s="16" t="inlineStr">
        <is>
          <t>AOV</t>
        </is>
      </c>
      <c r="F10" s="16" t="inlineStr">
        <is>
          <t>Units per Transaction</t>
        </is>
      </c>
      <c r="G10" s="16" t="inlineStr">
        <is>
          <t>AOV</t>
        </is>
      </c>
      <c r="H10" s="16" t="inlineStr">
        <is>
          <t>Watch-band shoppers</t>
        </is>
      </c>
      <c r="I10" s="16" t="inlineStr">
        <is>
          <t>New &amp; Repeat</t>
        </is>
      </c>
      <c r="J10" s="16" t="inlineStr">
        <is>
          <t>Apple Watch Bands</t>
        </is>
      </c>
      <c r="K10" s="16" t="inlineStr">
        <is>
          <t>Bands</t>
        </is>
      </c>
      <c r="L10" s="16" t="inlineStr">
        <is>
          <t>1801</t>
        </is>
      </c>
      <c r="M10" s="16" t="inlineStr">
        <is>
          <t>View watch-band PDP/PLP</t>
        </is>
      </c>
      <c r="N10" s="16" t="inlineStr">
        <is>
          <t>Buy 2 -15%, 3+ -20%</t>
        </is>
      </c>
      <c r="O10" s="16" t="inlineStr">
        <is>
          <t>PDP selector + PLP banner</t>
        </is>
      </c>
      <c r="P10" s="16" t="inlineStr">
        <is>
          <t>Website/App</t>
        </is>
      </c>
      <c r="Q10" s="16" t="inlineStr">
        <is>
          <t>Consideration</t>
        </is>
      </c>
      <c r="R10" s="16" t="inlineStr">
        <is>
          <t>Casetify escalator 15/20/30; Noise FEST15/20</t>
        </is>
      </c>
      <c r="S10" s="16" t="inlineStr"/>
      <c r="T10" s="16" t="inlineStr">
        <is>
          <t>simplycodes.com/store/casetify.com</t>
        </is>
      </c>
      <c r="U10" s="9" t="inlineStr">
        <is>
          <t>OBS: Watch bands 107k units, ASP Rs1,108, Rs118.8M - a fashion-rotation SKU bought in multiples elsewhere. Ecosystem/repeat role.</t>
        </is>
      </c>
      <c r="V10" s="9" t="inlineStr">
        <is>
          <t>Bands are a wardrobe item (match outfit/occasion); multi-buy escalators convert single-band intent into 2-3.</t>
        </is>
      </c>
      <c r="W10" s="9" t="inlineStr">
        <is>
          <t>Single-band buyers add a 2nd/3rd band.</t>
        </is>
      </c>
      <c r="X10" s="16" t="inlineStr">
        <is>
          <t>Neutral</t>
        </is>
      </c>
      <c r="Y10" s="16" t="inlineStr">
        <is>
          <t>+12-20%</t>
        </is>
      </c>
      <c r="Z10" s="16" t="inlineStr">
        <is>
          <t>Med-High</t>
        </is>
      </c>
      <c r="AA10" s="16" t="inlineStr">
        <is>
          <t>Accretive</t>
        </is>
      </c>
      <c r="AB10" s="10" t="inlineStr">
        <is>
          <t>Y</t>
        </is>
      </c>
      <c r="AC10" s="23" t="n">
        <v>0.17</v>
      </c>
      <c r="AD10" s="10" t="inlineStr">
        <is>
          <t>N</t>
        </is>
      </c>
      <c r="AE10" s="16" t="inlineStr">
        <is>
          <t>Qty-tier promo</t>
        </is>
      </c>
      <c r="AF10" s="16" t="inlineStr">
        <is>
          <t>Easy</t>
        </is>
      </c>
      <c r="AG10" s="16" t="inlineStr">
        <is>
          <t>4-7 Days</t>
        </is>
      </c>
      <c r="AH10" s="10" t="n">
        <v>4</v>
      </c>
      <c r="AI10" s="10" t="n">
        <v>4</v>
      </c>
      <c r="AJ10" s="10" t="n">
        <v>4</v>
      </c>
      <c r="AK10" s="10" t="n">
        <v>4</v>
      </c>
      <c r="AL10" s="10" t="n">
        <v>4</v>
      </c>
      <c r="AM10" s="24">
        <f>ROUND(AH10*AI10*AJ10*AK10*AL10/3125*100,1)</f>
        <v/>
      </c>
      <c r="AN10" s="9" t="inlineStr">
        <is>
          <t>Multi-band escalator on band PDPs</t>
        </is>
      </c>
      <c r="AO10" s="16" t="inlineStr">
        <is>
          <t>UPT on band orders</t>
        </is>
      </c>
      <c r="AP10" s="16" t="inlineStr">
        <is>
          <t>Band margin</t>
        </is>
      </c>
      <c r="AQ10" s="16" t="inlineStr">
        <is>
          <t>Unassigned</t>
        </is>
      </c>
      <c r="AR10" s="16" t="inlineStr">
        <is>
          <t>Backlog</t>
        </is>
      </c>
      <c r="AS10" s="16" t="inlineStr"/>
    </row>
    <row r="11">
      <c r="A11" s="20" t="inlineStr">
        <is>
          <t>ID51</t>
        </is>
      </c>
      <c r="B11" s="20" t="n">
        <v>8</v>
      </c>
      <c r="C11" s="19" t="inlineStr">
        <is>
          <t>Reviews &amp; UGC amplification on high-traffic PDPs</t>
        </is>
      </c>
      <c r="D11" s="25" t="inlineStr">
        <is>
          <t>Surface photo reviews, review count and Q&amp;A prominently on top PDPs; seed Q&amp;A for compatibility questions (fits which phone) to cut pre-purchase doubt.</t>
        </is>
      </c>
      <c r="E11" s="19" t="inlineStr">
        <is>
          <t>CVR</t>
        </is>
      </c>
      <c r="F11" s="19" t="inlineStr">
        <is>
          <t>Conversion Rate</t>
        </is>
      </c>
      <c r="G11" s="19" t="inlineStr">
        <is>
          <t>New User Conversion</t>
        </is>
      </c>
      <c r="H11" s="19" t="inlineStr">
        <is>
          <t>PDP visitors</t>
        </is>
      </c>
      <c r="I11" s="19" t="inlineStr">
        <is>
          <t>New</t>
        </is>
      </c>
      <c r="J11" s="19" t="inlineStr">
        <is>
          <t>Cross-category</t>
        </is>
      </c>
      <c r="K11" s="19" t="inlineStr">
        <is>
          <t>Social proof</t>
        </is>
      </c>
      <c r="L11" s="19" t="inlineStr">
        <is>
          <t>top PDPs</t>
        </is>
      </c>
      <c r="M11" s="19" t="inlineStr">
        <is>
          <t>PDP view</t>
        </is>
      </c>
      <c r="N11" s="19" t="inlineStr">
        <is>
          <t>None</t>
        </is>
      </c>
      <c r="O11" s="19" t="inlineStr">
        <is>
          <t>PDP</t>
        </is>
      </c>
      <c r="P11" s="19" t="inlineStr">
        <is>
          <t>Website/App</t>
        </is>
      </c>
      <c r="Q11" s="19" t="inlineStr">
        <is>
          <t>Consideration</t>
        </is>
      </c>
      <c r="R11" s="19" t="inlineStr">
        <is>
          <t>Review-led PDPs; DO VoC (80k+ reviews)</t>
        </is>
      </c>
      <c r="S11" s="19" t="inlineStr"/>
      <c r="T11" s="19" t="inlineStr">
        <is>
          <t>internal VoC deck (80,303 reviews / 11,771 SKUs)</t>
        </is>
      </c>
      <c r="U11" s="25" t="inlineStr">
        <is>
          <t>OBS: DO has 80,303 reviews across 11,771 SKUs (VoC deck) - a huge, under-surfaced trust asset; PDPs already show ratings.</t>
        </is>
      </c>
      <c r="V11" s="25" t="inlineStr">
        <is>
          <t>Photo reviews + compatibility Q&amp;A directly reduce the doubts that stall accessory purchases.</t>
        </is>
      </c>
      <c r="W11" s="25" t="inlineStr">
        <is>
          <t>Trusts and converts.</t>
        </is>
      </c>
      <c r="X11" s="19" t="inlineStr">
        <is>
          <t>+</t>
        </is>
      </c>
      <c r="Y11" s="19" t="inlineStr">
        <is>
          <t>Neutral</t>
        </is>
      </c>
      <c r="Z11" s="19" t="inlineStr">
        <is>
          <t>Med</t>
        </is>
      </c>
      <c r="AA11" s="19" t="inlineStr">
        <is>
          <t>Accretive</t>
        </is>
      </c>
      <c r="AB11" s="20" t="inlineStr">
        <is>
          <t>N</t>
        </is>
      </c>
      <c r="AC11" s="26" t="n">
        <v>0</v>
      </c>
      <c r="AD11" s="20" t="inlineStr">
        <is>
          <t>N</t>
        </is>
      </c>
      <c r="AE11" s="19" t="inlineStr">
        <is>
          <t>Reviews widget</t>
        </is>
      </c>
      <c r="AF11" s="19" t="inlineStr">
        <is>
          <t>Easy</t>
        </is>
      </c>
      <c r="AG11" s="19" t="inlineStr">
        <is>
          <t>4-7 Days</t>
        </is>
      </c>
      <c r="AH11" s="20" t="n">
        <v>3</v>
      </c>
      <c r="AI11" s="20" t="n">
        <v>4</v>
      </c>
      <c r="AJ11" s="20" t="n">
        <v>4</v>
      </c>
      <c r="AK11" s="20" t="n">
        <v>4</v>
      </c>
      <c r="AL11" s="20" t="n">
        <v>5</v>
      </c>
      <c r="AM11" s="27">
        <f>ROUND(AH11*AI11*AJ11*AK11*AL11/3125*100,1)</f>
        <v/>
      </c>
      <c r="AN11" s="25" t="inlineStr">
        <is>
          <t>Enhanced reviews vs control</t>
        </is>
      </c>
      <c r="AO11" s="19" t="inlineStr">
        <is>
          <t>PDP CVR</t>
        </is>
      </c>
      <c r="AP11" s="19" t="inlineStr">
        <is>
          <t>Review authenticity</t>
        </is>
      </c>
      <c r="AQ11" s="19" t="inlineStr">
        <is>
          <t>Unassigned</t>
        </is>
      </c>
      <c r="AR11" s="19" t="inlineStr">
        <is>
          <t>Backlog</t>
        </is>
      </c>
      <c r="AS11" s="19" t="inlineStr"/>
    </row>
    <row r="12">
      <c r="A12" s="10" t="inlineStr">
        <is>
          <t>ID53</t>
        </is>
      </c>
      <c r="B12" s="10" t="n">
        <v>9</v>
      </c>
      <c r="C12" s="16" t="inlineStr">
        <is>
          <t>Prepaid-only deeper offer to convert COD share</t>
        </is>
      </c>
      <c r="D12" s="9" t="inlineStr">
        <is>
          <t>Offer the best price/gift ONLY on prepaid (COD gets base price); reframe as 'prepaid perks' not a COD penalty. Protects margin via RTO reduction.</t>
        </is>
      </c>
      <c r="E12" s="16" t="inlineStr">
        <is>
          <t>Contribution margin</t>
        </is>
      </c>
      <c r="F12" s="16" t="inlineStr">
        <is>
          <t>Contribution margin</t>
        </is>
      </c>
      <c r="G12" s="16" t="inlineStr">
        <is>
          <t>Checkout Completion</t>
        </is>
      </c>
      <c r="H12" s="16" t="inlineStr">
        <is>
          <t>COD-preferring</t>
        </is>
      </c>
      <c r="I12" s="16" t="inlineStr">
        <is>
          <t>New</t>
        </is>
      </c>
      <c r="J12" s="16" t="inlineStr">
        <is>
          <t>Cross-category</t>
        </is>
      </c>
      <c r="K12" s="16" t="inlineStr">
        <is>
          <t>Prepaid gating</t>
        </is>
      </c>
      <c r="L12" s="16" t="inlineStr">
        <is>
          <t>all</t>
        </is>
      </c>
      <c r="M12" s="16" t="inlineStr">
        <is>
          <t>Payment selection</t>
        </is>
      </c>
      <c r="N12" s="16" t="inlineStr">
        <is>
          <t>Prepaid-only extra 5% / gift</t>
        </is>
      </c>
      <c r="O12" s="16" t="inlineStr">
        <is>
          <t>Checkout</t>
        </is>
      </c>
      <c r="P12" s="16" t="inlineStr">
        <is>
          <t>Website/App</t>
        </is>
      </c>
      <c r="Q12" s="16" t="inlineStr">
        <is>
          <t>Checkout</t>
        </is>
      </c>
      <c r="R12" s="16" t="inlineStr">
        <is>
          <t>WOW 'buy 3 pay 2' prepaid-only; boAt prepaid</t>
        </is>
      </c>
      <c r="S12" s="16" t="inlineStr"/>
      <c r="T12" s="16" t="inlineStr">
        <is>
          <t>picodi.com/in/wow-skin-science</t>
        </is>
      </c>
      <c r="U12" s="9" t="inlineStr">
        <is>
          <t>OBS: payment-stage drop + India RTO economics; prepaid gating is standard and margin-accretive.</t>
        </is>
      </c>
      <c r="V12" s="9" t="inlineStr">
        <is>
          <t>Shifting COD-&gt;prepaid saves RTO/logistics cost that exceeds the incentive - net margin gain.</t>
        </is>
      </c>
      <c r="W12" s="9" t="inlineStr">
        <is>
          <t>Chooses prepaid.</t>
        </is>
      </c>
      <c r="X12" s="16" t="inlineStr">
        <is>
          <t>Neutral/+</t>
        </is>
      </c>
      <c r="Y12" s="16" t="inlineStr">
        <is>
          <t>Neutral</t>
        </is>
      </c>
      <c r="Z12" s="16" t="inlineStr">
        <is>
          <t>Med</t>
        </is>
      </c>
      <c r="AA12" s="16" t="inlineStr">
        <is>
          <t>Accretive</t>
        </is>
      </c>
      <c r="AB12" s="10" t="inlineStr">
        <is>
          <t>Y</t>
        </is>
      </c>
      <c r="AC12" s="23" t="n">
        <v>0.05</v>
      </c>
      <c r="AD12" s="10" t="inlineStr">
        <is>
          <t>N</t>
        </is>
      </c>
      <c r="AE12" s="16" t="inlineStr">
        <is>
          <t>Checkout rules</t>
        </is>
      </c>
      <c r="AF12" s="16" t="inlineStr">
        <is>
          <t>Easy</t>
        </is>
      </c>
      <c r="AG12" s="16" t="inlineStr">
        <is>
          <t>4-7 Days</t>
        </is>
      </c>
      <c r="AH12" s="10" t="n">
        <v>3</v>
      </c>
      <c r="AI12" s="10" t="n">
        <v>4</v>
      </c>
      <c r="AJ12" s="10" t="n">
        <v>4</v>
      </c>
      <c r="AK12" s="10" t="n">
        <v>4</v>
      </c>
      <c r="AL12" s="10" t="n">
        <v>5</v>
      </c>
      <c r="AM12" s="24">
        <f>ROUND(AH12*AI12*AJ12*AK12*AL12/3125*100,1)</f>
        <v/>
      </c>
      <c r="AN12" s="9" t="inlineStr">
        <is>
          <t>Prepaid-only offer vs universal</t>
        </is>
      </c>
      <c r="AO12" s="16" t="inlineStr">
        <is>
          <t>Prepaid share, contribution/order</t>
        </is>
      </c>
      <c r="AP12" s="16" t="inlineStr">
        <is>
          <t>Overall CVR</t>
        </is>
      </c>
      <c r="AQ12" s="16" t="inlineStr">
        <is>
          <t>Unassigned</t>
        </is>
      </c>
      <c r="AR12" s="16" t="inlineStr">
        <is>
          <t>Backlog</t>
        </is>
      </c>
      <c r="AS12" s="16" t="inlineStr"/>
    </row>
    <row r="13">
      <c r="A13" s="20" t="inlineStr">
        <is>
          <t>ID12</t>
        </is>
      </c>
      <c r="B13" s="20" t="n">
        <v>10</v>
      </c>
      <c r="C13" s="19" t="inlineStr">
        <is>
          <t>Express/1-tap payment (UPI intent, wallets, tokenised cards)</t>
        </is>
      </c>
      <c r="D13" s="25" t="inlineStr">
        <is>
          <t>Add UPI-intent one-tap, popular wallets, saved/tokenised cards and a prominent 'Pay by UPI' default; add payment-failure retry with auto-fallback + 'complete your payment' recovery link.</t>
        </is>
      </c>
      <c r="E13" s="19" t="inlineStr">
        <is>
          <t>CVR</t>
        </is>
      </c>
      <c r="F13" s="19" t="inlineStr">
        <is>
          <t>Checkout Completion</t>
        </is>
      </c>
      <c r="G13" s="19" t="inlineStr">
        <is>
          <t>Revenue per Visitor</t>
        </is>
      </c>
      <c r="H13" s="19" t="inlineStr">
        <is>
          <t>All checkout</t>
        </is>
      </c>
      <c r="I13" s="19" t="inlineStr">
        <is>
          <t>New &amp; Repeat</t>
        </is>
      </c>
      <c r="J13" s="19" t="inlineStr">
        <is>
          <t>Cross-category</t>
        </is>
      </c>
      <c r="K13" s="19" t="inlineStr">
        <is>
          <t>Payments</t>
        </is>
      </c>
      <c r="L13" s="19" t="inlineStr">
        <is>
          <t>all</t>
        </is>
      </c>
      <c r="M13" s="19" t="inlineStr">
        <is>
          <t>add_payment_info reached</t>
        </is>
      </c>
      <c r="N13" s="19" t="inlineStr">
        <is>
          <t>None</t>
        </is>
      </c>
      <c r="O13" s="19" t="inlineStr">
        <is>
          <t>Payment page</t>
        </is>
      </c>
      <c r="P13" s="19" t="inlineStr">
        <is>
          <t>Website/App</t>
        </is>
      </c>
      <c r="Q13" s="19" t="inlineStr">
        <is>
          <t>Payment</t>
        </is>
      </c>
      <c r="R13" s="19" t="inlineStr">
        <is>
          <t>boAt/Boult UPI cashback; standard India PSP stack</t>
        </is>
      </c>
      <c r="S13" s="19" t="inlineStr"/>
      <c r="T13" s="19" t="inlineStr">
        <is>
          <t>grabon.in/boat-coupons</t>
        </is>
      </c>
      <c r="U13" s="25" t="inlineStr">
        <is>
          <t>OBS: add_payment_info=1.07M but purchase=623k -&gt; 42% drop AFTER entering payment. /payment-processing route shows real fallout. Payment friction/failure is a top leak.</t>
        </is>
      </c>
      <c r="V13" s="25" t="inlineStr">
        <is>
          <t>A large share of the payment-stage drop is failed/abandoned payment, directly recoverable with better methods + retry.</t>
        </is>
      </c>
      <c r="W13" s="25" t="inlineStr">
        <is>
          <t>Completes payment; recovers failed attempts.</t>
        </is>
      </c>
      <c r="X13" s="19" t="inlineStr">
        <is>
          <t>++</t>
        </is>
      </c>
      <c r="Y13" s="19" t="inlineStr">
        <is>
          <t>Neutral</t>
        </is>
      </c>
      <c r="Z13" s="19" t="inlineStr">
        <is>
          <t>Very High</t>
        </is>
      </c>
      <c r="AA13" s="19" t="inlineStr">
        <is>
          <t>Accretive</t>
        </is>
      </c>
      <c r="AB13" s="20" t="inlineStr">
        <is>
          <t>N</t>
        </is>
      </c>
      <c r="AC13" s="26" t="n">
        <v>0</v>
      </c>
      <c r="AD13" s="20" t="inlineStr">
        <is>
          <t>N</t>
        </is>
      </c>
      <c r="AE13" s="19" t="inlineStr">
        <is>
          <t>PSP integration + retry flow</t>
        </is>
      </c>
      <c r="AF13" s="19" t="inlineStr">
        <is>
          <t>Moderate</t>
        </is>
      </c>
      <c r="AG13" s="19" t="inlineStr">
        <is>
          <t>8-14 Days</t>
        </is>
      </c>
      <c r="AH13" s="20" t="n">
        <v>5</v>
      </c>
      <c r="AI13" s="20" t="n">
        <v>4</v>
      </c>
      <c r="AJ13" s="20" t="n">
        <v>3</v>
      </c>
      <c r="AK13" s="20" t="n">
        <v>3</v>
      </c>
      <c r="AL13" s="20" t="n">
        <v>5</v>
      </c>
      <c r="AM13" s="27">
        <f>ROUND(AH13*AI13*AJ13*AK13*AL13/3125*100,1)</f>
        <v/>
      </c>
      <c r="AN13" s="25" t="inlineStr">
        <is>
          <t>New payment stack vs control; payment success rate</t>
        </is>
      </c>
      <c r="AO13" s="19" t="inlineStr">
        <is>
          <t>Payment success %, checkout completion</t>
        </is>
      </c>
      <c r="AP13" s="19" t="inlineStr">
        <is>
          <t>Fraud, chargebacks</t>
        </is>
      </c>
      <c r="AQ13" s="19" t="inlineStr">
        <is>
          <t>Unassigned</t>
        </is>
      </c>
      <c r="AR13" s="19" t="inlineStr">
        <is>
          <t>Backlog</t>
        </is>
      </c>
      <c r="AS13" s="19" t="inlineStr"/>
    </row>
    <row r="14">
      <c r="A14" s="10" t="inlineStr">
        <is>
          <t>ID18</t>
        </is>
      </c>
      <c r="B14" s="10" t="n">
        <v>11</v>
      </c>
      <c r="C14" s="16" t="inlineStr">
        <is>
          <t>Second-order accelerator coupon on thank-you + email</t>
        </is>
      </c>
      <c r="D14" s="9" t="inlineStr">
        <is>
          <t>Give every first-time buyer a time-boxed next-order incentive (e.g. Rs200 off next order within 30 days, min Rs1,499) on the thank-you page and in the order-confirmation email/SMS.</t>
        </is>
      </c>
      <c r="E14" s="16" t="inlineStr">
        <is>
          <t>Frequency</t>
        </is>
      </c>
      <c r="F14" s="16" t="inlineStr">
        <is>
          <t>Repeat Purchase</t>
        </is>
      </c>
      <c r="G14" s="16" t="inlineStr">
        <is>
          <t>O1-&gt;O2 rate</t>
        </is>
      </c>
      <c r="H14" s="16" t="inlineStr">
        <is>
          <t>First-order buyers</t>
        </is>
      </c>
      <c r="I14" s="16" t="inlineStr">
        <is>
          <t>O1</t>
        </is>
      </c>
      <c r="J14" s="16" t="inlineStr">
        <is>
          <t>Cross-category</t>
        </is>
      </c>
      <c r="K14" s="16" t="inlineStr">
        <is>
          <t>Repeat incentive</t>
        </is>
      </c>
      <c r="L14" s="16" t="inlineStr">
        <is>
          <t>all</t>
        </is>
      </c>
      <c r="M14" s="16" t="inlineStr">
        <is>
          <t>First purchase</t>
        </is>
      </c>
      <c r="N14" s="16" t="inlineStr">
        <is>
          <t>Rs200 off next order in 30 days (min Rs1,499)</t>
        </is>
      </c>
      <c r="O14" s="16" t="inlineStr">
        <is>
          <t>Thank-you + email/SMS</t>
        </is>
      </c>
      <c r="P14" s="16" t="inlineStr">
        <is>
          <t>CRM</t>
        </is>
      </c>
      <c r="Q14" s="16" t="inlineStr">
        <is>
          <t>Post-purchase</t>
        </is>
      </c>
      <c r="R14" s="16" t="inlineStr">
        <is>
          <t>Gymshark loyalty; Sugar points; standard O1-&gt;O2</t>
        </is>
      </c>
      <c r="S14" s="16" t="inlineStr"/>
      <c r="T14" s="16" t="inlineStr">
        <is>
          <t>gymshark.com/pages/loyalty-free-next-day</t>
        </is>
      </c>
      <c r="U14" s="9" t="inlineStr">
        <is>
          <t>OBS: Returning users convert 2.56x new (1.77% vs 0.69%) &amp; higher AOV (Rs2,573) - accelerating O1-&gt;O2 compounds. Repeat rate reported ~47%.</t>
        </is>
      </c>
      <c r="V14" s="9" t="inlineStr">
        <is>
          <t>The O1-&gt;O2 jump is the highest-leverage retention moment; a bounded incentive pulls the second order forward.</t>
        </is>
      </c>
      <c r="W14" s="9" t="inlineStr">
        <is>
          <t>Places a 2nd order sooner.</t>
        </is>
      </c>
      <c r="X14" s="16" t="inlineStr">
        <is>
          <t>Neutral</t>
        </is>
      </c>
      <c r="Y14" s="16" t="inlineStr">
        <is>
          <t>Neutral</t>
        </is>
      </c>
      <c r="Z14" s="16" t="inlineStr">
        <is>
          <t>High</t>
        </is>
      </c>
      <c r="AA14" s="16" t="inlineStr">
        <is>
          <t>Dilutive (control redemption)</t>
        </is>
      </c>
      <c r="AB14" s="10" t="inlineStr">
        <is>
          <t>Y</t>
        </is>
      </c>
      <c r="AC14" s="23" t="n">
        <v>0.13</v>
      </c>
      <c r="AD14" s="10" t="inlineStr">
        <is>
          <t>N</t>
        </is>
      </c>
      <c r="AE14" s="16" t="inlineStr">
        <is>
          <t>Coupon + CRM flow</t>
        </is>
      </c>
      <c r="AF14" s="16" t="inlineStr">
        <is>
          <t>Easy</t>
        </is>
      </c>
      <c r="AG14" s="16" t="inlineStr">
        <is>
          <t>4-7 Days</t>
        </is>
      </c>
      <c r="AH14" s="10" t="n">
        <v>4</v>
      </c>
      <c r="AI14" s="10" t="n">
        <v>4</v>
      </c>
      <c r="AJ14" s="10" t="n">
        <v>4</v>
      </c>
      <c r="AK14" s="10" t="n">
        <v>4</v>
      </c>
      <c r="AL14" s="10" t="n">
        <v>3</v>
      </c>
      <c r="AM14" s="24">
        <f>ROUND(AH14*AI14*AJ14*AK14*AL14/3125*100,1)</f>
        <v/>
      </c>
      <c r="AN14" s="9" t="inlineStr">
        <is>
          <t>O1 cohort with vs without coupon</t>
        </is>
      </c>
      <c r="AO14" s="16" t="inlineStr">
        <is>
          <t>30/60-day repeat rate</t>
        </is>
      </c>
      <c r="AP14" s="16" t="inlineStr">
        <is>
          <t>Margin, redemption cannibalisation</t>
        </is>
      </c>
      <c r="AQ14" s="16" t="inlineStr">
        <is>
          <t>Unassigned</t>
        </is>
      </c>
      <c r="AR14" s="16" t="inlineStr">
        <is>
          <t>Backlog</t>
        </is>
      </c>
      <c r="AS14" s="16" t="inlineStr"/>
    </row>
    <row r="15">
      <c r="A15" s="20" t="inlineStr">
        <is>
          <t>ID28</t>
        </is>
      </c>
      <c r="B15" s="20" t="n">
        <v>12</v>
      </c>
      <c r="C15" s="19" t="inlineStr">
        <is>
          <t>First-order offer clarity + email/phone capture popup</t>
        </is>
      </c>
      <c r="D15" s="25" t="inlineStr">
        <is>
          <t>Tighten the welcome popup: 'Get Rs300 off your first order over Rs2,299 - unlock now' with email+phone capture, then persist the code in a sticky bar. Route to a first-time-buyer LP.</t>
        </is>
      </c>
      <c r="E15" s="19" t="inlineStr">
        <is>
          <t>New User Conversion</t>
        </is>
      </c>
      <c r="F15" s="19" t="inlineStr">
        <is>
          <t>New User Conversion</t>
        </is>
      </c>
      <c r="G15" s="19" t="inlineStr">
        <is>
          <t>Revenue from CRM audiences</t>
        </is>
      </c>
      <c r="H15" s="19" t="inlineStr">
        <is>
          <t>New visitors</t>
        </is>
      </c>
      <c r="I15" s="19" t="inlineStr">
        <is>
          <t>New</t>
        </is>
      </c>
      <c r="J15" s="19" t="inlineStr">
        <is>
          <t>Cross-category</t>
        </is>
      </c>
      <c r="K15" s="19" t="inlineStr">
        <is>
          <t>First-order + capture</t>
        </is>
      </c>
      <c r="L15" s="19" t="inlineStr">
        <is>
          <t>all</t>
        </is>
      </c>
      <c r="M15" s="19" t="inlineStr">
        <is>
          <t>First visit / exit intent</t>
        </is>
      </c>
      <c r="N15" s="19" t="inlineStr">
        <is>
          <t>WELCOME300 (Rs300 off &gt; Rs2,299)</t>
        </is>
      </c>
      <c r="O15" s="19" t="inlineStr">
        <is>
          <t>Popup + sticky bar + LP</t>
        </is>
      </c>
      <c r="P15" s="19" t="inlineStr">
        <is>
          <t>Website/App/CRM</t>
        </is>
      </c>
      <c r="Q15" s="19" t="inlineStr">
        <is>
          <t>Acquisition</t>
        </is>
      </c>
      <c r="R15" s="19" t="inlineStr">
        <is>
          <t>Sugar 500pts signup; Mamaearth; standard welcome</t>
        </is>
      </c>
      <c r="S15" s="19" t="inlineStr"/>
      <c r="T15" s="19" t="inlineStr">
        <is>
          <t>sugarcosmetics.com/pages/faqs</t>
        </is>
      </c>
      <c r="U15" s="25" t="inlineStr">
        <is>
          <t>OBS: WELCOME300 already exists but new CVR is only 0.69%; capture feeds the dormant CRM base. INF: popup value/persistence likely weak.</t>
        </is>
      </c>
      <c r="V15" s="25" t="inlineStr">
        <is>
          <t>First-order clarity + capture both lifts new CVR and builds the owned audience that CRM ideas monetise.</t>
        </is>
      </c>
      <c r="W15" s="25" t="inlineStr">
        <is>
          <t>Signs up; completes first order.</t>
        </is>
      </c>
      <c r="X15" s="19" t="inlineStr">
        <is>
          <t>+</t>
        </is>
      </c>
      <c r="Y15" s="19" t="inlineStr">
        <is>
          <t>Neutral (threshold Rs2,299)</t>
        </is>
      </c>
      <c r="Z15" s="19" t="inlineStr">
        <is>
          <t>Med-High</t>
        </is>
      </c>
      <c r="AA15" s="19" t="inlineStr">
        <is>
          <t>Neutral</t>
        </is>
      </c>
      <c r="AB15" s="20" t="inlineStr">
        <is>
          <t>Y</t>
        </is>
      </c>
      <c r="AC15" s="26" t="n">
        <v>0.13</v>
      </c>
      <c r="AD15" s="20" t="inlineStr">
        <is>
          <t>N</t>
        </is>
      </c>
      <c r="AE15" s="19" t="inlineStr">
        <is>
          <t>Popup + CRM</t>
        </is>
      </c>
      <c r="AF15" s="19" t="inlineStr">
        <is>
          <t>Easy</t>
        </is>
      </c>
      <c r="AG15" s="19" t="inlineStr">
        <is>
          <t>4-7 Days</t>
        </is>
      </c>
      <c r="AH15" s="20" t="n">
        <v>4</v>
      </c>
      <c r="AI15" s="20" t="n">
        <v>4</v>
      </c>
      <c r="AJ15" s="20" t="n">
        <v>4</v>
      </c>
      <c r="AK15" s="20" t="n">
        <v>4</v>
      </c>
      <c r="AL15" s="20" t="n">
        <v>3</v>
      </c>
      <c r="AM15" s="27">
        <f>ROUND(AH15*AI15*AJ15*AK15*AL15/3125*100,1)</f>
        <v/>
      </c>
      <c r="AN15" s="25" t="inlineStr">
        <is>
          <t>New popup vs current</t>
        </is>
      </c>
      <c r="AO15" s="19" t="inlineStr">
        <is>
          <t>Capture rate, new-user CVR</t>
        </is>
      </c>
      <c r="AP15" s="19" t="inlineStr">
        <is>
          <t>Discount on would-buy-anyway</t>
        </is>
      </c>
      <c r="AQ15" s="19" t="inlineStr">
        <is>
          <t>Unassigned</t>
        </is>
      </c>
      <c r="AR15" s="19" t="inlineStr">
        <is>
          <t>Backlog</t>
        </is>
      </c>
      <c r="AS15" s="19" t="inlineStr"/>
    </row>
    <row r="16">
      <c r="A16" s="10" t="inlineStr">
        <is>
          <t>ID39</t>
        </is>
      </c>
      <c r="B16" s="10" t="n">
        <v>13</v>
      </c>
      <c r="C16" s="16" t="inlineStr">
        <is>
          <t>Return/exchange-friendly messaging to unlock high-consideration bags</t>
        </is>
      </c>
      <c r="D16" s="9" t="inlineStr">
        <is>
          <t>Add prominent easy-returns + warranty + '30-day trial' style reassurance on backpack/luggage/premium-bag PDPs; show real reviews &amp; durability proof.</t>
        </is>
      </c>
      <c r="E16" s="16" t="inlineStr">
        <is>
          <t>CVR</t>
        </is>
      </c>
      <c r="F16" s="16" t="inlineStr">
        <is>
          <t>Conversion Rate</t>
        </is>
      </c>
      <c r="G16" s="16" t="inlineStr">
        <is>
          <t>Category Penetration</t>
        </is>
      </c>
      <c r="H16" s="16" t="inlineStr">
        <is>
          <t>Bag shoppers</t>
        </is>
      </c>
      <c r="I16" s="16" t="inlineStr">
        <is>
          <t>New</t>
        </is>
      </c>
      <c r="J16" s="16" t="inlineStr">
        <is>
          <t>Backpacks</t>
        </is>
      </c>
      <c r="K16" s="16" t="inlineStr">
        <is>
          <t>Risk reversal</t>
        </is>
      </c>
      <c r="L16" s="16" t="inlineStr">
        <is>
          <t>1201,1202</t>
        </is>
      </c>
      <c r="M16" s="16" t="inlineStr">
        <is>
          <t>Bag PDP</t>
        </is>
      </c>
      <c r="N16" s="16" t="inlineStr">
        <is>
          <t>Trial/returns reassurance</t>
        </is>
      </c>
      <c r="O16" s="16" t="inlineStr">
        <is>
          <t>Bag PDPs</t>
        </is>
      </c>
      <c r="P16" s="16" t="inlineStr">
        <is>
          <t>Website/App</t>
        </is>
      </c>
      <c r="Q16" s="16" t="inlineStr">
        <is>
          <t>Consideration</t>
        </is>
      </c>
      <c r="R16" s="16" t="inlineStr">
        <is>
          <t>Mokobara 30-day trial + warranty</t>
        </is>
      </c>
      <c r="S16" s="16" t="inlineStr"/>
      <c r="T16" s="16" t="inlineStr">
        <is>
          <t>grabon.in/mokobara</t>
        </is>
      </c>
      <c r="U16" s="9" t="inlineStr">
        <is>
          <t>OBS: Backpacks view-&gt;purchase 0.77% &amp; ATC rate 3.7% (lowest of big cats) - classic high-consideration hesitation on a Rs1,900+ ASP item.</t>
        </is>
      </c>
      <c r="V16" s="9" t="inlineStr">
        <is>
          <t>Premium bag hesitation is about risk; explicit reversal is Mokobara's proven unlock.</t>
        </is>
      </c>
      <c r="W16" s="9" t="inlineStr">
        <is>
          <t>Commits to a considered bag purchase.</t>
        </is>
      </c>
      <c r="X16" s="16" t="inlineStr">
        <is>
          <t>+</t>
        </is>
      </c>
      <c r="Y16" s="16" t="inlineStr">
        <is>
          <t>Neutral</t>
        </is>
      </c>
      <c r="Z16" s="16" t="inlineStr">
        <is>
          <t>Med</t>
        </is>
      </c>
      <c r="AA16" s="16" t="inlineStr">
        <is>
          <t>Neutral (returns cost)</t>
        </is>
      </c>
      <c r="AB16" s="10" t="inlineStr">
        <is>
          <t>N</t>
        </is>
      </c>
      <c r="AC16" s="23" t="n">
        <v>0</v>
      </c>
      <c r="AD16" s="10" t="inlineStr">
        <is>
          <t>N</t>
        </is>
      </c>
      <c r="AE16" s="16" t="inlineStr">
        <is>
          <t>PDP content + returns policy</t>
        </is>
      </c>
      <c r="AF16" s="16" t="inlineStr">
        <is>
          <t>Easy</t>
        </is>
      </c>
      <c r="AG16" s="16" t="inlineStr">
        <is>
          <t>4-7 Days</t>
        </is>
      </c>
      <c r="AH16" s="10" t="n">
        <v>3</v>
      </c>
      <c r="AI16" s="10" t="n">
        <v>4</v>
      </c>
      <c r="AJ16" s="10" t="n">
        <v>4</v>
      </c>
      <c r="AK16" s="10" t="n">
        <v>4</v>
      </c>
      <c r="AL16" s="10" t="n">
        <v>4</v>
      </c>
      <c r="AM16" s="24">
        <f>ROUND(AH16*AI16*AJ16*AK16*AL16/3125*100,1)</f>
        <v/>
      </c>
      <c r="AN16" s="9" t="inlineStr">
        <is>
          <t>Risk-reversal messaging vs control on bag PDPs</t>
        </is>
      </c>
      <c r="AO16" s="16" t="inlineStr">
        <is>
          <t>Bag CVR</t>
        </is>
      </c>
      <c r="AP16" s="16" t="inlineStr">
        <is>
          <t>Return rate</t>
        </is>
      </c>
      <c r="AQ16" s="16" t="inlineStr">
        <is>
          <t>Unassigned</t>
        </is>
      </c>
      <c r="AR16" s="16" t="inlineStr">
        <is>
          <t>Backlog</t>
        </is>
      </c>
      <c r="AS16" s="16" t="inlineStr"/>
    </row>
    <row r="17">
      <c r="A17" s="20" t="inlineStr">
        <is>
          <t>ID09</t>
        </is>
      </c>
      <c r="B17" s="20" t="n">
        <v>14</v>
      </c>
      <c r="C17" s="19" t="inlineStr">
        <is>
          <t>Occasion &amp; gifting bundles (Diwali/Rakhi/wedding/corporate)</t>
        </is>
      </c>
      <c r="D17" s="25" t="inlineStr">
        <is>
          <t>Stand up an occasion 'Gift Shop' with curated ready-to-gift bundles at 3 price points (Rs999/1,999/2,999) + premium gift packaging add-on + gift note. Push corporate gifting lead-capture form.</t>
        </is>
      </c>
      <c r="E17" s="19" t="inlineStr">
        <is>
          <t>AOV</t>
        </is>
      </c>
      <c r="F17" s="19" t="inlineStr">
        <is>
          <t>Category Penetration</t>
        </is>
      </c>
      <c r="G17" s="19" t="inlineStr">
        <is>
          <t>New User Conversion</t>
        </is>
      </c>
      <c r="H17" s="19" t="inlineStr">
        <is>
          <t>Gift shoppers</t>
        </is>
      </c>
      <c r="I17" s="19" t="inlineStr">
        <is>
          <t>New</t>
        </is>
      </c>
      <c r="J17" s="19" t="inlineStr">
        <is>
          <t>Gifting</t>
        </is>
      </c>
      <c r="K17" s="19" t="inlineStr">
        <is>
          <t>Bundles</t>
        </is>
      </c>
      <c r="L17" s="19" t="inlineStr">
        <is>
          <t>1600,1604</t>
        </is>
      </c>
      <c r="M17" s="19" t="inlineStr">
        <is>
          <t>Occasion / gifting nav</t>
        </is>
      </c>
      <c r="N17" s="19" t="inlineStr">
        <is>
          <t>Curated bundles + paid gift packaging</t>
        </is>
      </c>
      <c r="O17" s="19" t="inlineStr">
        <is>
          <t>Gifting hub + homepage banner</t>
        </is>
      </c>
      <c r="P17" s="19" t="inlineStr">
        <is>
          <t>Website/App/CRM</t>
        </is>
      </c>
      <c r="Q17" s="19" t="inlineStr">
        <is>
          <t>Discovery</t>
        </is>
      </c>
      <c r="R17" s="19" t="inlineStr">
        <is>
          <t>Nicobar gifting concierge; Nappa Dori corporate gifting; Bellroy value sets</t>
        </is>
      </c>
      <c r="S17" s="19" t="inlineStr"/>
      <c r="T17" s="19" t="inlineStr">
        <is>
          <t>nicobar.com/pages/gifting-service</t>
        </is>
      </c>
      <c r="U17" s="25" t="inlineStr">
        <is>
          <t>OBS: Gifting cats (16xx) only ~Rs3.2M despite existing gift-bundle SKUs + corporate gifting infra &amp; gift cards - hugely under-activated.</t>
        </is>
      </c>
      <c r="V17" s="25" t="inlineStr">
        <is>
          <t>Gifting converts new users at higher AOV, is margin-friendly (packaging add-on) and seasonal demand is free traffic.</t>
        </is>
      </c>
      <c r="W17" s="25" t="inlineStr">
        <is>
          <t>Buys a curated gift bundle instead of a single item.</t>
        </is>
      </c>
      <c r="X17" s="19" t="inlineStr">
        <is>
          <t>+</t>
        </is>
      </c>
      <c r="Y17" s="19" t="inlineStr">
        <is>
          <t>+high</t>
        </is>
      </c>
      <c r="Z17" s="19" t="inlineStr">
        <is>
          <t>High (seasonal)</t>
        </is>
      </c>
      <c r="AA17" s="19" t="inlineStr">
        <is>
          <t>Accretive</t>
        </is>
      </c>
      <c r="AB17" s="20" t="inlineStr">
        <is>
          <t>N</t>
        </is>
      </c>
      <c r="AC17" s="26" t="n">
        <v>0</v>
      </c>
      <c r="AD17" s="20" t="inlineStr">
        <is>
          <t>N</t>
        </is>
      </c>
      <c r="AE17" s="19" t="inlineStr">
        <is>
          <t>Merch collections + form</t>
        </is>
      </c>
      <c r="AF17" s="19" t="inlineStr">
        <is>
          <t>Moderate</t>
        </is>
      </c>
      <c r="AG17" s="19" t="inlineStr">
        <is>
          <t>8-14 Days</t>
        </is>
      </c>
      <c r="AH17" s="20" t="n">
        <v>4</v>
      </c>
      <c r="AI17" s="20" t="n">
        <v>4</v>
      </c>
      <c r="AJ17" s="20" t="n">
        <v>3</v>
      </c>
      <c r="AK17" s="20" t="n">
        <v>3</v>
      </c>
      <c r="AL17" s="20" t="n">
        <v>5</v>
      </c>
      <c r="AM17" s="27">
        <f>ROUND(AH17*AI17*AJ17*AK17*AL17/3125*100,1)</f>
        <v/>
      </c>
      <c r="AN17" s="25" t="inlineStr">
        <is>
          <t>Gift hub launch vs baseline gifting revenue</t>
        </is>
      </c>
      <c r="AO17" s="19" t="inlineStr">
        <is>
          <t>Gifting revenue, corporate leads</t>
        </is>
      </c>
      <c r="AP17" s="19" t="inlineStr">
        <is>
          <t>Margin</t>
        </is>
      </c>
      <c r="AQ17" s="19" t="inlineStr">
        <is>
          <t>Unassigned</t>
        </is>
      </c>
      <c r="AR17" s="19" t="inlineStr">
        <is>
          <t>Backlog</t>
        </is>
      </c>
      <c r="AS17" s="19" t="inlineStr"/>
    </row>
    <row r="18">
      <c r="A18" s="10" t="inlineStr">
        <is>
          <t>ID13</t>
        </is>
      </c>
      <c r="B18" s="10" t="n">
        <v>15</v>
      </c>
      <c r="C18" s="16" t="inlineStr">
        <is>
          <t>PDP 'Frequently Bought Together' module (data-driven)</t>
        </is>
      </c>
      <c r="D18" s="9" t="inlineStr">
        <is>
          <t>Add an FBT module on top PDPs seeded by real co-purchase/affinity: e.g. case-&gt;screen guard+grip; power bank-&gt;cable+case; bag-&gt;sleeve+organiser. 3-item checkbox 'add all'.</t>
        </is>
      </c>
      <c r="E18" s="16" t="inlineStr">
        <is>
          <t>AOV</t>
        </is>
      </c>
      <c r="F18" s="16" t="inlineStr">
        <is>
          <t>Units per Transaction</t>
        </is>
      </c>
      <c r="G18" s="16" t="inlineStr">
        <is>
          <t>Cross-category Purchase</t>
        </is>
      </c>
      <c r="H18" s="16" t="inlineStr">
        <is>
          <t>All PDP visitors</t>
        </is>
      </c>
      <c r="I18" s="16" t="inlineStr">
        <is>
          <t>New &amp; Repeat</t>
        </is>
      </c>
      <c r="J18" s="16" t="inlineStr">
        <is>
          <t>Cross-category</t>
        </is>
      </c>
      <c r="K18" s="16" t="inlineStr">
        <is>
          <t>FBT</t>
        </is>
      </c>
      <c r="L18" s="16" t="inlineStr">
        <is>
          <t>all top PDPs</t>
        </is>
      </c>
      <c r="M18" s="16" t="inlineStr">
        <is>
          <t>PDP view</t>
        </is>
      </c>
      <c r="N18" s="16" t="inlineStr">
        <is>
          <t>Optional small combo saving</t>
        </is>
      </c>
      <c r="O18" s="16" t="inlineStr">
        <is>
          <t>PDP below CTA</t>
        </is>
      </c>
      <c r="P18" s="16" t="inlineStr">
        <is>
          <t>Website/App</t>
        </is>
      </c>
      <c r="Q18" s="16" t="inlineStr">
        <is>
          <t>Consideration</t>
        </is>
      </c>
      <c r="R18" s="16" t="inlineStr">
        <is>
          <t>Amazon FBT; dbrand; Anker</t>
        </is>
      </c>
      <c r="S18" s="16" t="inlineStr"/>
      <c r="T18" s="16" t="inlineStr">
        <is>
          <t>anker.com/collections/bundles</t>
        </is>
      </c>
      <c r="U18" s="9" t="inlineStr">
        <is>
          <t>OBS: Category affinities are strong (case+guard, power bank+cable, bag+organiser). INF: current PDP FBT presence unverified - if absent this is free AOV.</t>
        </is>
      </c>
      <c r="V18" s="9" t="inlineStr">
        <is>
          <t>FBT is the highest-ROI PDP module in ecommerce; personalising it to real affinities beats generic recs.</t>
        </is>
      </c>
      <c r="W18" s="9" t="inlineStr">
        <is>
          <t>Adds complementary item(s) at PDP.</t>
        </is>
      </c>
      <c r="X18" s="16" t="inlineStr">
        <is>
          <t>Slight +</t>
        </is>
      </c>
      <c r="Y18" s="16" t="inlineStr">
        <is>
          <t>+5-10%</t>
        </is>
      </c>
      <c r="Z18" s="16" t="inlineStr">
        <is>
          <t>High</t>
        </is>
      </c>
      <c r="AA18" s="16" t="inlineStr">
        <is>
          <t>Accretive</t>
        </is>
      </c>
      <c r="AB18" s="10" t="inlineStr">
        <is>
          <t>N</t>
        </is>
      </c>
      <c r="AC18" s="23" t="n">
        <v>0</v>
      </c>
      <c r="AD18" s="10" t="inlineStr">
        <is>
          <t>N</t>
        </is>
      </c>
      <c r="AE18" s="16" t="inlineStr">
        <is>
          <t>Recommendation widget</t>
        </is>
      </c>
      <c r="AF18" s="16" t="inlineStr">
        <is>
          <t>Moderate</t>
        </is>
      </c>
      <c r="AG18" s="16" t="inlineStr">
        <is>
          <t>8-14 Days</t>
        </is>
      </c>
      <c r="AH18" s="10" t="n">
        <v>4</v>
      </c>
      <c r="AI18" s="10" t="n">
        <v>4</v>
      </c>
      <c r="AJ18" s="10" t="n">
        <v>3</v>
      </c>
      <c r="AK18" s="10" t="n">
        <v>3</v>
      </c>
      <c r="AL18" s="10" t="n">
        <v>5</v>
      </c>
      <c r="AM18" s="24">
        <f>ROUND(AH18*AI18*AJ18*AK18*AL18/3125*100,1)</f>
        <v/>
      </c>
      <c r="AN18" s="9" t="inlineStr">
        <is>
          <t>FBT vs no-FBT on top 20 PDPs</t>
        </is>
      </c>
      <c r="AO18" s="16" t="inlineStr">
        <is>
          <t>Attach rate, AOV</t>
        </is>
      </c>
      <c r="AP18" s="16" t="inlineStr">
        <is>
          <t>PDP load time</t>
        </is>
      </c>
      <c r="AQ18" s="16" t="inlineStr">
        <is>
          <t>Unassigned</t>
        </is>
      </c>
      <c r="AR18" s="16" t="inlineStr">
        <is>
          <t>Backlog</t>
        </is>
      </c>
      <c r="AS18" s="16" t="inlineStr"/>
    </row>
    <row r="19">
      <c r="A19" s="20" t="inlineStr">
        <is>
          <t>ID14</t>
        </is>
      </c>
      <c r="B19" s="20" t="n">
        <v>16</v>
      </c>
      <c r="C19" s="19" t="inlineStr">
        <is>
          <t>PDP trust + urgency pack (reviews, delivery ETA, low-stock, payment offers)</t>
        </is>
      </c>
      <c r="D19" s="25" t="inlineStr">
        <is>
          <t>Standardise above-the-fold PDP trust cues: star rating + review count, 'Delivered by &lt;date&gt; to &lt;pincode&gt;', genuine low-stock ('12 left') where true, prepaid/bank-offer strip, warranty/returns badge.</t>
        </is>
      </c>
      <c r="E19" s="19" t="inlineStr">
        <is>
          <t>CVR</t>
        </is>
      </c>
      <c r="F19" s="19" t="inlineStr">
        <is>
          <t>Conversion Rate</t>
        </is>
      </c>
      <c r="G19" s="19" t="inlineStr">
        <is>
          <t>New User Conversion</t>
        </is>
      </c>
      <c r="H19" s="19" t="inlineStr">
        <is>
          <t>All PDP visitors (esp new)</t>
        </is>
      </c>
      <c r="I19" s="19" t="inlineStr">
        <is>
          <t>New</t>
        </is>
      </c>
      <c r="J19" s="19" t="inlineStr">
        <is>
          <t>Cross-category</t>
        </is>
      </c>
      <c r="K19" s="19" t="inlineStr">
        <is>
          <t>PDP trust</t>
        </is>
      </c>
      <c r="L19" s="19" t="inlineStr">
        <is>
          <t>all</t>
        </is>
      </c>
      <c r="M19" s="19" t="inlineStr">
        <is>
          <t>PDP view</t>
        </is>
      </c>
      <c r="N19" s="19" t="inlineStr">
        <is>
          <t>Communicate existing offers</t>
        </is>
      </c>
      <c r="O19" s="19" t="inlineStr">
        <is>
          <t>PDP above fold</t>
        </is>
      </c>
      <c r="P19" s="19" t="inlineStr">
        <is>
          <t>Website/App</t>
        </is>
      </c>
      <c r="Q19" s="19" t="inlineStr">
        <is>
          <t>Consideration</t>
        </is>
      </c>
      <c r="R19" s="19" t="inlineStr">
        <is>
          <t>Standard high-trust PDP; Mokobara warranty/trial</t>
        </is>
      </c>
      <c r="S19" s="19" t="inlineStr"/>
      <c r="T19" s="19" t="inlineStr">
        <is>
          <t>grabon.in/mokobara</t>
        </is>
      </c>
      <c r="U19" s="25" t="inlineStr">
        <is>
          <t>OBS: DO PDPs already carry reviews (559/931/125 counts seen) and strong protection copy; INF: delivery-date, low-stock and payment-offer cues not consistently surfaced. New users are 66% of traffic at only 0.69% CVR.</t>
        </is>
      </c>
      <c r="V19" s="25" t="inlineStr">
        <is>
          <t>New visitors need trust + certainty; concrete delivery dates and real scarcity are proven CVR levers (avoid fake scarcity).</t>
        </is>
      </c>
      <c r="W19" s="25" t="inlineStr">
        <is>
          <t>Higher PDP-&gt;ATC and ATC-&gt;purchase, esp new users.</t>
        </is>
      </c>
      <c r="X19" s="19" t="inlineStr">
        <is>
          <t>+</t>
        </is>
      </c>
      <c r="Y19" s="19" t="inlineStr">
        <is>
          <t>Neutral</t>
        </is>
      </c>
      <c r="Z19" s="19" t="inlineStr">
        <is>
          <t>Med-High</t>
        </is>
      </c>
      <c r="AA19" s="19" t="inlineStr">
        <is>
          <t>Accretive</t>
        </is>
      </c>
      <c r="AB19" s="20" t="inlineStr">
        <is>
          <t>N</t>
        </is>
      </c>
      <c r="AC19" s="26" t="n">
        <v>0</v>
      </c>
      <c r="AD19" s="20" t="inlineStr">
        <is>
          <t>N</t>
        </is>
      </c>
      <c r="AE19" s="19" t="inlineStr">
        <is>
          <t>PDP template + pincode ETA</t>
        </is>
      </c>
      <c r="AF19" s="19" t="inlineStr">
        <is>
          <t>Moderate</t>
        </is>
      </c>
      <c r="AG19" s="19" t="inlineStr">
        <is>
          <t>8-14 Days</t>
        </is>
      </c>
      <c r="AH19" s="20" t="n">
        <v>4</v>
      </c>
      <c r="AI19" s="20" t="n">
        <v>4</v>
      </c>
      <c r="AJ19" s="20" t="n">
        <v>3</v>
      </c>
      <c r="AK19" s="20" t="n">
        <v>3</v>
      </c>
      <c r="AL19" s="20" t="n">
        <v>5</v>
      </c>
      <c r="AM19" s="27">
        <f>ROUND(AH19*AI19*AJ19*AK19*AL19/3125*100,1)</f>
        <v/>
      </c>
      <c r="AN19" s="25" t="inlineStr">
        <is>
          <t>Trust pack vs control</t>
        </is>
      </c>
      <c r="AO19" s="19" t="inlineStr">
        <is>
          <t>PDP CVR</t>
        </is>
      </c>
      <c r="AP19" s="19" t="inlineStr">
        <is>
          <t>Bounce, returns</t>
        </is>
      </c>
      <c r="AQ19" s="19" t="inlineStr">
        <is>
          <t>Unassigned</t>
        </is>
      </c>
      <c r="AR19" s="19" t="inlineStr">
        <is>
          <t>Backlog</t>
        </is>
      </c>
      <c r="AS19" s="19" t="inlineStr"/>
    </row>
    <row r="20">
      <c r="A20" s="10" t="inlineStr">
        <is>
          <t>ID15</t>
        </is>
      </c>
      <c r="B20" s="10" t="n">
        <v>17</v>
      </c>
      <c r="C20" s="16" t="inlineStr">
        <is>
          <t>Price anchoring &amp; 'you save' on MRP-discount SKUs</t>
        </is>
      </c>
      <c r="D20" s="9" t="inlineStr">
        <is>
          <t>Consistently show MRP struck-through + 'You save Rs X (Y%)' on PDP/PLP/cart, plus per-unit savings on multi-buy. Add compare module for case tiers (Beam vs Nimbus vs Stride).</t>
        </is>
      </c>
      <c r="E20" s="16" t="inlineStr">
        <is>
          <t>CVR</t>
        </is>
      </c>
      <c r="F20" s="16" t="inlineStr">
        <is>
          <t>Conversion Rate</t>
        </is>
      </c>
      <c r="G20" s="16" t="inlineStr">
        <is>
          <t>AOV</t>
        </is>
      </c>
      <c r="H20" s="16" t="inlineStr">
        <is>
          <t>Deal-sensitive shoppers</t>
        </is>
      </c>
      <c r="I20" s="16" t="inlineStr">
        <is>
          <t>New</t>
        </is>
      </c>
      <c r="J20" s="16" t="inlineStr">
        <is>
          <t>Phone Cases</t>
        </is>
      </c>
      <c r="K20" s="16" t="inlineStr">
        <is>
          <t>Anchoring/compare</t>
        </is>
      </c>
      <c r="L20" s="16" t="inlineStr">
        <is>
          <t>1101,1103</t>
        </is>
      </c>
      <c r="M20" s="16" t="inlineStr">
        <is>
          <t>PDP/PLP view</t>
        </is>
      </c>
      <c r="N20" s="16" t="inlineStr">
        <is>
          <t>Communicate existing MRP discount</t>
        </is>
      </c>
      <c r="O20" s="16" t="inlineStr">
        <is>
          <t>PDP/PLP/Cart</t>
        </is>
      </c>
      <c r="P20" s="16" t="inlineStr">
        <is>
          <t>Website/App</t>
        </is>
      </c>
      <c r="Q20" s="16" t="inlineStr">
        <is>
          <t>Consideration</t>
        </is>
      </c>
      <c r="R20" s="16" t="inlineStr">
        <is>
          <t>boAt RRP anchor; near-universal D2C markdown display</t>
        </is>
      </c>
      <c r="S20" s="16" t="inlineStr"/>
      <c r="T20" s="16" t="inlineStr">
        <is>
          <t>notebookcheck.net</t>
        </is>
      </c>
      <c r="U20" s="9" t="inlineStr">
        <is>
          <t>OBS: DO already prices off inflated MRP (e.g. Beam MagSafe Rs899 vs MRP Rs1,799). Anchoring is under-leveraged if not shown everywhere.</t>
        </is>
      </c>
      <c r="V20" s="9" t="inlineStr">
        <is>
          <t>Making the existing saving explicit increases perceived value at zero extra cost; comparison modules reduce decision paralysis across case tiers.</t>
        </is>
      </c>
      <c r="W20" s="9" t="inlineStr">
        <is>
          <t>Chooses/upgrades faster; picks higher tier.</t>
        </is>
      </c>
      <c r="X20" s="16" t="inlineStr">
        <is>
          <t>+</t>
        </is>
      </c>
      <c r="Y20" s="16" t="inlineStr">
        <is>
          <t>Slight +</t>
        </is>
      </c>
      <c r="Z20" s="16" t="inlineStr">
        <is>
          <t>Med</t>
        </is>
      </c>
      <c r="AA20" s="16" t="inlineStr">
        <is>
          <t>Neutral</t>
        </is>
      </c>
      <c r="AB20" s="10" t="inlineStr">
        <is>
          <t>N</t>
        </is>
      </c>
      <c r="AC20" s="23" t="n">
        <v>0</v>
      </c>
      <c r="AD20" s="10" t="inlineStr">
        <is>
          <t>N</t>
        </is>
      </c>
      <c r="AE20" s="16" t="inlineStr">
        <is>
          <t>PDP/PLP template</t>
        </is>
      </c>
      <c r="AF20" s="16" t="inlineStr">
        <is>
          <t>Easy</t>
        </is>
      </c>
      <c r="AG20" s="16" t="inlineStr">
        <is>
          <t>4-7 Days</t>
        </is>
      </c>
      <c r="AH20" s="10" t="n">
        <v>3</v>
      </c>
      <c r="AI20" s="10" t="n">
        <v>3</v>
      </c>
      <c r="AJ20" s="10" t="n">
        <v>4</v>
      </c>
      <c r="AK20" s="10" t="n">
        <v>4</v>
      </c>
      <c r="AL20" s="10" t="n">
        <v>5</v>
      </c>
      <c r="AM20" s="24">
        <f>ROUND(AH20*AI20*AJ20*AK20*AL20/3125*100,1)</f>
        <v/>
      </c>
      <c r="AN20" s="9" t="inlineStr">
        <is>
          <t>Anchoring/compare vs control</t>
        </is>
      </c>
      <c r="AO20" s="16" t="inlineStr">
        <is>
          <t>CVR, tier mix</t>
        </is>
      </c>
      <c r="AP20" s="16" t="inlineStr">
        <is>
          <t>Margin mix</t>
        </is>
      </c>
      <c r="AQ20" s="16" t="inlineStr">
        <is>
          <t>Unassigned</t>
        </is>
      </c>
      <c r="AR20" s="16" t="inlineStr">
        <is>
          <t>Backlog</t>
        </is>
      </c>
      <c r="AS20" s="16" t="inlineStr"/>
    </row>
    <row r="21">
      <c r="A21" s="20" t="inlineStr">
        <is>
          <t>ID20</t>
        </is>
      </c>
      <c r="B21" s="20" t="n">
        <v>18</v>
      </c>
      <c r="C21" s="19" t="inlineStr">
        <is>
          <t>Browse-abandonment &amp; category-intent triggers</t>
        </is>
      </c>
      <c r="D21" s="25" t="inlineStr">
        <is>
          <t>Trigger flows off high-intent browsing: viewed a case model 2+ times, viewed power banks, viewed a bag PLP - send tailored 'still deciding?' with the exact SKU, reviews and a complementary pick.</t>
        </is>
      </c>
      <c r="E21" s="19" t="inlineStr">
        <is>
          <t>Traffic Monetisation</t>
        </is>
      </c>
      <c r="F21" s="19" t="inlineStr">
        <is>
          <t>Revenue from CRM audiences</t>
        </is>
      </c>
      <c r="G21" s="19" t="inlineStr">
        <is>
          <t>Conversion Rate</t>
        </is>
      </c>
      <c r="H21" s="19" t="inlineStr">
        <is>
          <t>Browsers w/ email</t>
        </is>
      </c>
      <c r="I21" s="19" t="inlineStr">
        <is>
          <t>High-intent non-purchasers</t>
        </is>
      </c>
      <c r="J21" s="19" t="inlineStr">
        <is>
          <t>Cross-category</t>
        </is>
      </c>
      <c r="K21" s="19" t="inlineStr">
        <is>
          <t>Browse abandon</t>
        </is>
      </c>
      <c r="L21" s="19" t="inlineStr">
        <is>
          <t>all</t>
        </is>
      </c>
      <c r="M21" s="19" t="inlineStr">
        <is>
          <t>Repeat PDP/PLP views, no ATC</t>
        </is>
      </c>
      <c r="N21" s="19" t="inlineStr">
        <is>
          <t>None/soft</t>
        </is>
      </c>
      <c r="O21" s="19" t="inlineStr">
        <is>
          <t>Email/Push</t>
        </is>
      </c>
      <c r="P21" s="19" t="inlineStr">
        <is>
          <t>CRM</t>
        </is>
      </c>
      <c r="Q21" s="19" t="inlineStr">
        <is>
          <t>Consideration</t>
        </is>
      </c>
      <c r="R21" s="19" t="inlineStr">
        <is>
          <t>Standard browse-abandon; Peak Design ecosystem nudges</t>
        </is>
      </c>
      <c r="S21" s="19" t="inlineStr"/>
      <c r="T21" s="19" t="inlineStr">
        <is>
          <t>internal best practice</t>
        </is>
      </c>
      <c r="U21" s="25" t="inlineStr">
        <is>
          <t>OBS: view_item 17.96M vs add_to_cart 5.99M - two-thirds of product views never even ATC. Captured emails can be re-engaged.</t>
        </is>
      </c>
      <c r="V21" s="25" t="inlineStr">
        <is>
          <t>Intent is highest right after browsing; SKU-specific reminders monetise otherwise-lost sessions.</t>
        </is>
      </c>
      <c r="W21" s="25" t="inlineStr">
        <is>
          <t>Returns and converts.</t>
        </is>
      </c>
      <c r="X21" s="19" t="inlineStr">
        <is>
          <t>+</t>
        </is>
      </c>
      <c r="Y21" s="19" t="inlineStr">
        <is>
          <t>Neutral</t>
        </is>
      </c>
      <c r="Z21" s="19" t="inlineStr">
        <is>
          <t>Med-High</t>
        </is>
      </c>
      <c r="AA21" s="19" t="inlineStr">
        <is>
          <t>Accretive</t>
        </is>
      </c>
      <c r="AB21" s="20" t="inlineStr">
        <is>
          <t>N</t>
        </is>
      </c>
      <c r="AC21" s="26" t="n">
        <v>0</v>
      </c>
      <c r="AD21" s="20" t="inlineStr">
        <is>
          <t>N</t>
        </is>
      </c>
      <c r="AE21" s="19" t="inlineStr">
        <is>
          <t>CRM behavioural triggers</t>
        </is>
      </c>
      <c r="AF21" s="19" t="inlineStr">
        <is>
          <t>Moderate</t>
        </is>
      </c>
      <c r="AG21" s="19" t="inlineStr">
        <is>
          <t>8-14 Days</t>
        </is>
      </c>
      <c r="AH21" s="20" t="n">
        <v>4</v>
      </c>
      <c r="AI21" s="20" t="n">
        <v>4</v>
      </c>
      <c r="AJ21" s="20" t="n">
        <v>3</v>
      </c>
      <c r="AK21" s="20" t="n">
        <v>3</v>
      </c>
      <c r="AL21" s="20" t="n">
        <v>5</v>
      </c>
      <c r="AM21" s="27">
        <f>ROUND(AH21*AI21*AJ21*AK21*AL21/3125*100,1)</f>
        <v/>
      </c>
      <c r="AN21" s="25" t="inlineStr">
        <is>
          <t>Browse-abandon flow vs holdout</t>
        </is>
      </c>
      <c r="AO21" s="19" t="inlineStr">
        <is>
          <t>Revenue per browse-abandoner</t>
        </is>
      </c>
      <c r="AP21" s="19" t="inlineStr">
        <is>
          <t>Send fatigue</t>
        </is>
      </c>
      <c r="AQ21" s="19" t="inlineStr">
        <is>
          <t>Unassigned</t>
        </is>
      </c>
      <c r="AR21" s="19" t="inlineStr">
        <is>
          <t>Backlog</t>
        </is>
      </c>
      <c r="AS21" s="19" t="inlineStr"/>
    </row>
    <row r="22">
      <c r="A22" s="10" t="inlineStr">
        <is>
          <t>ID24</t>
        </is>
      </c>
      <c r="B22" s="10" t="n">
        <v>19</v>
      </c>
      <c r="C22" s="16" t="inlineStr">
        <is>
          <t>SMS + WhatsApp high-intent programme scale-up</t>
        </is>
      </c>
      <c r="D22" s="9" t="inlineStr">
        <is>
          <t>Grow opt-in SMS/WhatsApp for order-linked + high-intent moments (abandonment, BIS, drops, payday offers). Prioritise given SMS is the highest-RPV channel.</t>
        </is>
      </c>
      <c r="E22" s="16" t="inlineStr">
        <is>
          <t>Revenue from CRM audiences</t>
        </is>
      </c>
      <c r="F22" s="16" t="inlineStr">
        <is>
          <t>Revenue from CRM audiences</t>
        </is>
      </c>
      <c r="G22" s="16" t="inlineStr">
        <is>
          <t>Repeat Purchase</t>
        </is>
      </c>
      <c r="H22" s="16" t="inlineStr">
        <is>
          <t>Opted-in mobile users</t>
        </is>
      </c>
      <c r="I22" s="16" t="inlineStr">
        <is>
          <t>Repeat</t>
        </is>
      </c>
      <c r="J22" s="16" t="inlineStr">
        <is>
          <t>Cross-category</t>
        </is>
      </c>
      <c r="K22" s="16" t="inlineStr">
        <is>
          <t>SMS/WhatsApp</t>
        </is>
      </c>
      <c r="L22" s="16" t="inlineStr">
        <is>
          <t>all</t>
        </is>
      </c>
      <c r="M22" s="16" t="inlineStr">
        <is>
          <t>Opt-in + lifecycle events</t>
        </is>
      </c>
      <c r="N22" s="16" t="inlineStr">
        <is>
          <t>Exclusive drops/offers</t>
        </is>
      </c>
      <c r="O22" s="16" t="inlineStr">
        <is>
          <t>SMS/WhatsApp</t>
        </is>
      </c>
      <c r="P22" s="16" t="inlineStr">
        <is>
          <t>CRM</t>
        </is>
      </c>
      <c r="Q22" s="16" t="inlineStr">
        <is>
          <t>Full funnel</t>
        </is>
      </c>
      <c r="R22" s="16" t="inlineStr">
        <is>
          <t>Attentive/WhatsApp commerce; Indian D2C WA flows</t>
        </is>
      </c>
      <c r="S22" s="16" t="inlineStr"/>
      <c r="T22" s="16" t="inlineStr">
        <is>
          <t>internal best practice</t>
        </is>
      </c>
      <c r="U22" s="9" t="inlineStr">
        <is>
          <t>OBS: SMS CVR 4.22% (highest of all channels) &amp; RPV Rs117 vs Paid Social Rs9.3 - but SMS is only 6,368 sessions. Enormous headroom.</t>
        </is>
      </c>
      <c r="V22" s="9" t="inlineStr">
        <is>
          <t>SMS/WhatsApp is the single highest-converting channel and barely used; scaling opt-ins monetises the owned base.</t>
        </is>
      </c>
      <c r="W22" s="9" t="inlineStr">
        <is>
          <t>Engages with SMS/WA and buys.</t>
        </is>
      </c>
      <c r="X22" s="16" t="inlineStr">
        <is>
          <t>+</t>
        </is>
      </c>
      <c r="Y22" s="16" t="inlineStr">
        <is>
          <t>Neutral</t>
        </is>
      </c>
      <c r="Z22" s="16" t="inlineStr">
        <is>
          <t>High</t>
        </is>
      </c>
      <c r="AA22" s="16" t="inlineStr">
        <is>
          <t>Accretive</t>
        </is>
      </c>
      <c r="AB22" s="10" t="inlineStr">
        <is>
          <t>N</t>
        </is>
      </c>
      <c r="AC22" s="23" t="n">
        <v>0</v>
      </c>
      <c r="AD22" s="10" t="inlineStr">
        <is>
          <t>N</t>
        </is>
      </c>
      <c r="AE22" s="16" t="inlineStr">
        <is>
          <t>SMS/WA platform + opt-in capture</t>
        </is>
      </c>
      <c r="AF22" s="16" t="inlineStr">
        <is>
          <t>Moderate</t>
        </is>
      </c>
      <c r="AG22" s="16" t="inlineStr">
        <is>
          <t>8-14 Days</t>
        </is>
      </c>
      <c r="AH22" s="10" t="n">
        <v>4</v>
      </c>
      <c r="AI22" s="10" t="n">
        <v>4</v>
      </c>
      <c r="AJ22" s="10" t="n">
        <v>3</v>
      </c>
      <c r="AK22" s="10" t="n">
        <v>3</v>
      </c>
      <c r="AL22" s="10" t="n">
        <v>5</v>
      </c>
      <c r="AM22" s="24">
        <f>ROUND(AH22*AI22*AJ22*AK22*AL22/3125*100,1)</f>
        <v/>
      </c>
      <c r="AN22" s="9" t="inlineStr">
        <is>
          <t>Scale opt-in + measure incremental CRM revenue</t>
        </is>
      </c>
      <c r="AO22" s="16" t="inlineStr">
        <is>
          <t>Owned-channel revenue share</t>
        </is>
      </c>
      <c r="AP22" s="16" t="inlineStr">
        <is>
          <t>Opt-out rate, DND compliance</t>
        </is>
      </c>
      <c r="AQ22" s="16" t="inlineStr">
        <is>
          <t>Unassigned</t>
        </is>
      </c>
      <c r="AR22" s="16" t="inlineStr">
        <is>
          <t>Backlog</t>
        </is>
      </c>
      <c r="AS22" s="16" t="inlineStr"/>
    </row>
    <row r="23">
      <c r="A23" s="20" t="inlineStr">
        <is>
          <t>ID25</t>
        </is>
      </c>
      <c r="B23" s="20" t="n">
        <v>20</v>
      </c>
      <c r="C23" s="19" t="inlineStr">
        <is>
          <t>Price-point stores ('Under Rs999', 'Rs999-1999', 'Premium')</t>
        </is>
      </c>
      <c r="D23" s="25" t="inlineStr">
        <is>
          <t>Add shop-by-price navigation and landing pages: 'Under Rs999' (impulse/gift entry), 'Rs999-1,999', 'Premium Rs2,000+'. Feature high-CVR, high-margin SKUs first.</t>
        </is>
      </c>
      <c r="E23" s="19" t="inlineStr">
        <is>
          <t>CVR</t>
        </is>
      </c>
      <c r="F23" s="19" t="inlineStr">
        <is>
          <t>Conversion Rate</t>
        </is>
      </c>
      <c r="G23" s="19" t="inlineStr">
        <is>
          <t>New User Conversion</t>
        </is>
      </c>
      <c r="H23" s="19" t="inlineStr">
        <is>
          <t>Browsers/gifters</t>
        </is>
      </c>
      <c r="I23" s="19" t="inlineStr">
        <is>
          <t>New</t>
        </is>
      </c>
      <c r="J23" s="19" t="inlineStr">
        <is>
          <t>Cross-category</t>
        </is>
      </c>
      <c r="K23" s="19" t="inlineStr">
        <is>
          <t>Price-point merch</t>
        </is>
      </c>
      <c r="L23" s="19" t="inlineStr">
        <is>
          <t>all</t>
        </is>
      </c>
      <c r="M23" s="19" t="inlineStr">
        <is>
          <t>Nav/homepage</t>
        </is>
      </c>
      <c r="N23" s="19" t="inlineStr">
        <is>
          <t>None</t>
        </is>
      </c>
      <c r="O23" s="19" t="inlineStr">
        <is>
          <t>Nav + collection pages</t>
        </is>
      </c>
      <c r="P23" s="19" t="inlineStr">
        <is>
          <t>Website/App</t>
        </is>
      </c>
      <c r="Q23" s="19" t="inlineStr">
        <is>
          <t>Discovery</t>
        </is>
      </c>
      <c r="R23" s="19" t="inlineStr">
        <is>
          <t>Beardo under-Rs999 combos; Amazon price filters</t>
        </is>
      </c>
      <c r="S23" s="19" t="inlineStr"/>
      <c r="T23" s="19" t="inlineStr">
        <is>
          <t>beardo.in/collections/under-999-combos</t>
        </is>
      </c>
      <c r="U23" s="25" t="inlineStr">
        <is>
          <t>OBS: Homepage &amp; /collection are top entries but /collection PLP CVR only 0.33% - discovery is weak; price-led entry helps gift &amp; impulse shoppers self-select.</t>
        </is>
      </c>
      <c r="V23" s="25" t="inlineStr">
        <is>
          <t>Price-first browsing matches how gift/impulse shoppers decide; surfaces cheap entry SKUs that recruit new buyers.</t>
        </is>
      </c>
      <c r="W23" s="25" t="inlineStr">
        <is>
          <t>Finds a product faster; buys entry/gift item.</t>
        </is>
      </c>
      <c r="X23" s="19" t="inlineStr">
        <is>
          <t>+</t>
        </is>
      </c>
      <c r="Y23" s="19" t="inlineStr">
        <is>
          <t>Neutral</t>
        </is>
      </c>
      <c r="Z23" s="19" t="inlineStr">
        <is>
          <t>Med</t>
        </is>
      </c>
      <c r="AA23" s="19" t="inlineStr">
        <is>
          <t>Accretive</t>
        </is>
      </c>
      <c r="AB23" s="20" t="inlineStr">
        <is>
          <t>N</t>
        </is>
      </c>
      <c r="AC23" s="26" t="n">
        <v>0</v>
      </c>
      <c r="AD23" s="20" t="inlineStr">
        <is>
          <t>N</t>
        </is>
      </c>
      <c r="AE23" s="19" t="inlineStr">
        <is>
          <t>Merch collections</t>
        </is>
      </c>
      <c r="AF23" s="19" t="inlineStr">
        <is>
          <t>Easy</t>
        </is>
      </c>
      <c r="AG23" s="19" t="inlineStr">
        <is>
          <t>4-7 Days</t>
        </is>
      </c>
      <c r="AH23" s="20" t="n">
        <v>3</v>
      </c>
      <c r="AI23" s="20" t="n">
        <v>3</v>
      </c>
      <c r="AJ23" s="20" t="n">
        <v>4</v>
      </c>
      <c r="AK23" s="20" t="n">
        <v>4</v>
      </c>
      <c r="AL23" s="20" t="n">
        <v>5</v>
      </c>
      <c r="AM23" s="27">
        <f>ROUND(AH23*AI23*AJ23*AK23*AL23/3125*100,1)</f>
        <v/>
      </c>
      <c r="AN23" s="25" t="inlineStr">
        <is>
          <t>Price-point nav vs control</t>
        </is>
      </c>
      <c r="AO23" s="19" t="inlineStr">
        <is>
          <t>PLP CVR, new-user CVR</t>
        </is>
      </c>
      <c r="AP23" s="19" t="inlineStr">
        <is>
          <t>AOV mix</t>
        </is>
      </c>
      <c r="AQ23" s="19" t="inlineStr">
        <is>
          <t>Unassigned</t>
        </is>
      </c>
      <c r="AR23" s="19" t="inlineStr">
        <is>
          <t>Backlog</t>
        </is>
      </c>
      <c r="AS23" s="19" t="inlineStr"/>
    </row>
    <row r="24">
      <c r="A24" s="10" t="inlineStr">
        <is>
          <t>ID26</t>
        </is>
      </c>
      <c r="B24" s="10" t="n">
        <v>21</v>
      </c>
      <c r="C24" s="16" t="inlineStr">
        <is>
          <t>Shop-by-device hub upgrade (iPhone 17 / Galaxy S25 / Apple Watch)</t>
        </is>
      </c>
      <c r="D24" s="9" t="inlineStr">
        <is>
          <t>Strengthen 'Shop by Apple/device' into a guided hub: pick your phone/watch -&gt; see all compatible cases, guards, chargers, bands, power banks in one place with FBT.</t>
        </is>
      </c>
      <c r="E24" s="16" t="inlineStr">
        <is>
          <t>CVR</t>
        </is>
      </c>
      <c r="F24" s="16" t="inlineStr">
        <is>
          <t>Conversion Rate</t>
        </is>
      </c>
      <c r="G24" s="16" t="inlineStr">
        <is>
          <t>Cross-category Purchase</t>
        </is>
      </c>
      <c r="H24" s="16" t="inlineStr">
        <is>
          <t>Device owners</t>
        </is>
      </c>
      <c r="I24" s="16" t="inlineStr">
        <is>
          <t>New &amp; Repeat</t>
        </is>
      </c>
      <c r="J24" s="16" t="inlineStr">
        <is>
          <t>Phone Cases</t>
        </is>
      </c>
      <c r="K24" s="16" t="inlineStr">
        <is>
          <t>Device hub</t>
        </is>
      </c>
      <c r="L24" s="16" t="inlineStr">
        <is>
          <t>1101,1103,1801,1809,1815</t>
        </is>
      </c>
      <c r="M24" s="16" t="inlineStr">
        <is>
          <t>Device selection</t>
        </is>
      </c>
      <c r="N24" s="16" t="inlineStr">
        <is>
          <t>None</t>
        </is>
      </c>
      <c r="O24" s="16" t="inlineStr">
        <is>
          <t>Shop-by-device hub</t>
        </is>
      </c>
      <c r="P24" s="16" t="inlineStr">
        <is>
          <t>Website/App</t>
        </is>
      </c>
      <c r="Q24" s="16" t="inlineStr">
        <is>
          <t>Discovery</t>
        </is>
      </c>
      <c r="R24" s="16" t="inlineStr">
        <is>
          <t>Casetify device selector; Spigen model pages</t>
        </is>
      </c>
      <c r="S24" s="16" t="inlineStr"/>
      <c r="T24" s="16" t="inlineStr">
        <is>
          <t>dailyobjects.com/cp?f=cid~shop-by-apple</t>
        </is>
      </c>
      <c r="U24" s="9" t="inlineStr">
        <is>
          <t>OBS: DO already has 'Shop by Apple' nav + model-specific PDPs are top entries (S24 Ultra, iPhone 17 Pro). Device-led discovery matches accessory buying.</t>
        </is>
      </c>
      <c r="V24" s="9" t="inlineStr">
        <is>
          <t>Accessory purchase is device-gated; a device hub reduces compatibility anxiety and naturally cross-sells the ecosystem.</t>
        </is>
      </c>
      <c r="W24" s="9" t="inlineStr">
        <is>
          <t>Finds compatible range; buys multiple items.</t>
        </is>
      </c>
      <c r="X24" s="16" t="inlineStr">
        <is>
          <t>+</t>
        </is>
      </c>
      <c r="Y24" s="16" t="inlineStr">
        <is>
          <t>Slight +</t>
        </is>
      </c>
      <c r="Z24" s="16" t="inlineStr">
        <is>
          <t>Med-High</t>
        </is>
      </c>
      <c r="AA24" s="16" t="inlineStr">
        <is>
          <t>Accretive</t>
        </is>
      </c>
      <c r="AB24" s="10" t="inlineStr">
        <is>
          <t>N</t>
        </is>
      </c>
      <c r="AC24" s="23" t="n">
        <v>0</v>
      </c>
      <c r="AD24" s="10" t="inlineStr">
        <is>
          <t>N</t>
        </is>
      </c>
      <c r="AE24" s="16" t="inlineStr">
        <is>
          <t>Merch + compatibility mapping</t>
        </is>
      </c>
      <c r="AF24" s="16" t="inlineStr">
        <is>
          <t>Moderate</t>
        </is>
      </c>
      <c r="AG24" s="16" t="inlineStr">
        <is>
          <t>8-14 Days</t>
        </is>
      </c>
      <c r="AH24" s="10" t="n">
        <v>4</v>
      </c>
      <c r="AI24" s="10" t="n">
        <v>4</v>
      </c>
      <c r="AJ24" s="10" t="n">
        <v>3</v>
      </c>
      <c r="AK24" s="10" t="n">
        <v>3</v>
      </c>
      <c r="AL24" s="10" t="n">
        <v>5</v>
      </c>
      <c r="AM24" s="24">
        <f>ROUND(AH24*AI24*AJ24*AK24*AL24/3125*100,1)</f>
        <v/>
      </c>
      <c r="AN24" s="9" t="inlineStr">
        <is>
          <t>Device hub vs current nav</t>
        </is>
      </c>
      <c r="AO24" s="16" t="inlineStr">
        <is>
          <t>Hub CVR, items/order</t>
        </is>
      </c>
      <c r="AP24" s="16" t="inlineStr">
        <is>
          <t>CVR</t>
        </is>
      </c>
      <c r="AQ24" s="16" t="inlineStr">
        <is>
          <t>Unassigned</t>
        </is>
      </c>
      <c r="AR24" s="16" t="inlineStr">
        <is>
          <t>Backlog</t>
        </is>
      </c>
      <c r="AS24" s="16" t="inlineStr"/>
    </row>
    <row r="25">
      <c r="A25" s="20" t="inlineStr">
        <is>
          <t>ID33</t>
        </is>
      </c>
      <c r="B25" s="20" t="n">
        <v>22</v>
      </c>
      <c r="C25" s="19" t="inlineStr">
        <is>
          <t>Device-launch attach campaign (new iPhone/Galaxy/Apple Watch)</t>
        </is>
      </c>
      <c r="D25" s="25" t="inlineStr">
        <is>
          <t>Pre-build 'New iPhone? Gear up' hubs and CRM/ads timed to launches: new-model cases + screen guard + MagSafe charger + Loop power bank as a starter kit.</t>
        </is>
      </c>
      <c r="E25" s="19" t="inlineStr">
        <is>
          <t>AOV</t>
        </is>
      </c>
      <c r="F25" s="19" t="inlineStr">
        <is>
          <t>Category Penetration</t>
        </is>
      </c>
      <c r="G25" s="19" t="inlineStr">
        <is>
          <t>Cross-category Purchase</t>
        </is>
      </c>
      <c r="H25" s="19" t="inlineStr">
        <is>
          <t>New-device owners</t>
        </is>
      </c>
      <c r="I25" s="19" t="inlineStr">
        <is>
          <t>New &amp; Repeat</t>
        </is>
      </c>
      <c r="J25" s="19" t="inlineStr">
        <is>
          <t>Phone Cases</t>
        </is>
      </c>
      <c r="K25" s="19" t="inlineStr">
        <is>
          <t>Launch attach</t>
        </is>
      </c>
      <c r="L25" s="19" t="inlineStr">
        <is>
          <t>1101,1103,1815,1805,1809</t>
        </is>
      </c>
      <c r="M25" s="19" t="inlineStr">
        <is>
          <t>Device launch window</t>
        </is>
      </c>
      <c r="N25" s="19" t="inlineStr">
        <is>
          <t>Starter-kit bundle</t>
        </is>
      </c>
      <c r="O25" s="19" t="inlineStr">
        <is>
          <t>Launch hub + ads + CRM</t>
        </is>
      </c>
      <c r="P25" s="19" t="inlineStr">
        <is>
          <t>All</t>
        </is>
      </c>
      <c r="Q25" s="19" t="inlineStr">
        <is>
          <t>Full funnel</t>
        </is>
      </c>
      <c r="R25" s="19" t="inlineStr">
        <is>
          <t>Casetify/Spigen new-model drops; Apple accessory cadence</t>
        </is>
      </c>
      <c r="S25" s="19" t="inlineStr"/>
      <c r="T25" s="19" t="inlineStr">
        <is>
          <t>apple.com pattern</t>
        </is>
      </c>
      <c r="U25" s="25" t="inlineStr">
        <is>
          <t>OBS: iPhone 17 Pro &amp; Galaxy S24 Ultra case PDPs are already top entries - launch demand is real and DO stocks new models fast.</t>
        </is>
      </c>
      <c r="V25" s="25" t="inlineStr">
        <is>
          <t>New-device owners buy a full accessory stack at once; being first with compatible gear captures the whole basket.</t>
        </is>
      </c>
      <c r="W25" s="25" t="inlineStr">
        <is>
          <t>Buys a multi-item new-device kit.</t>
        </is>
      </c>
      <c r="X25" s="19" t="inlineStr">
        <is>
          <t>+</t>
        </is>
      </c>
      <c r="Y25" s="19" t="inlineStr">
        <is>
          <t>+</t>
        </is>
      </c>
      <c r="Z25" s="19" t="inlineStr">
        <is>
          <t>High (event)</t>
        </is>
      </c>
      <c r="AA25" s="19" t="inlineStr">
        <is>
          <t>Accretive</t>
        </is>
      </c>
      <c r="AB25" s="20" t="inlineStr">
        <is>
          <t>N</t>
        </is>
      </c>
      <c r="AC25" s="26" t="n">
        <v>0</v>
      </c>
      <c r="AD25" s="20" t="inlineStr">
        <is>
          <t>N</t>
        </is>
      </c>
      <c r="AE25" s="19" t="inlineStr">
        <is>
          <t>Merch + inventory + CRM</t>
        </is>
      </c>
      <c r="AF25" s="19" t="inlineStr">
        <is>
          <t>Moderate</t>
        </is>
      </c>
      <c r="AG25" s="19" t="inlineStr">
        <is>
          <t>8-14 Days</t>
        </is>
      </c>
      <c r="AH25" s="20" t="n">
        <v>4</v>
      </c>
      <c r="AI25" s="20" t="n">
        <v>4</v>
      </c>
      <c r="AJ25" s="20" t="n">
        <v>3</v>
      </c>
      <c r="AK25" s="20" t="n">
        <v>3</v>
      </c>
      <c r="AL25" s="20" t="n">
        <v>5</v>
      </c>
      <c r="AM25" s="27">
        <f>ROUND(AH25*AI25*AJ25*AK25*AL25/3125*100,1)</f>
        <v/>
      </c>
      <c r="AN25" s="25" t="inlineStr">
        <is>
          <t>Launch hub vs BAU launch</t>
        </is>
      </c>
      <c r="AO25" s="19" t="inlineStr">
        <is>
          <t>Attach, kit AOV</t>
        </is>
      </c>
      <c r="AP25" s="19" t="inlineStr">
        <is>
          <t>Inventory</t>
        </is>
      </c>
      <c r="AQ25" s="19" t="inlineStr">
        <is>
          <t>Unassigned</t>
        </is>
      </c>
      <c r="AR25" s="19" t="inlineStr">
        <is>
          <t>Backlog</t>
        </is>
      </c>
      <c r="AS25" s="19" t="inlineStr"/>
    </row>
    <row r="26">
      <c r="A26" s="10" t="inlineStr">
        <is>
          <t>ID44</t>
        </is>
      </c>
      <c r="B26" s="10" t="n">
        <v>23</v>
      </c>
      <c r="C26" s="16" t="inlineStr">
        <is>
          <t>Bank/UPI offer strip surfaced across funnel</t>
        </is>
      </c>
      <c r="D26" s="9" t="inlineStr">
        <is>
          <t>Surface live bank/UPI/cashback offers (HDFC SmartBuy, UPI cashback) as a strip on PDP/cart/checkout with 'view all offers' - reduce reliance on brand discounts.</t>
        </is>
      </c>
      <c r="E26" s="16" t="inlineStr">
        <is>
          <t>CVR</t>
        </is>
      </c>
      <c r="F26" s="16" t="inlineStr">
        <is>
          <t>Checkout Completion</t>
        </is>
      </c>
      <c r="G26" s="16" t="inlineStr">
        <is>
          <t>Contribution margin</t>
        </is>
      </c>
      <c r="H26" s="16" t="inlineStr">
        <is>
          <t>Deal-sensitive</t>
        </is>
      </c>
      <c r="I26" s="16" t="inlineStr">
        <is>
          <t>New &amp; Repeat</t>
        </is>
      </c>
      <c r="J26" s="16" t="inlineStr">
        <is>
          <t>Cross-category</t>
        </is>
      </c>
      <c r="K26" s="16" t="inlineStr">
        <is>
          <t>Payment offers</t>
        </is>
      </c>
      <c r="L26" s="16" t="inlineStr">
        <is>
          <t>all</t>
        </is>
      </c>
      <c r="M26" s="16" t="inlineStr">
        <is>
          <t>PDP/cart/checkout</t>
        </is>
      </c>
      <c r="N26" s="16" t="inlineStr">
        <is>
          <t>Bank/UPI cashback (funded by partners)</t>
        </is>
      </c>
      <c r="O26" s="16" t="inlineStr">
        <is>
          <t>PDP/Cart/Checkout</t>
        </is>
      </c>
      <c r="P26" s="16" t="inlineStr">
        <is>
          <t>Website/App</t>
        </is>
      </c>
      <c r="Q26" s="16" t="inlineStr">
        <is>
          <t>Consideration/Checkout</t>
        </is>
      </c>
      <c r="R26" s="16" t="inlineStr">
        <is>
          <t>boAt bank+UPI stacking; HDFC SmartBuy on DO</t>
        </is>
      </c>
      <c r="S26" s="16" t="inlineStr"/>
      <c r="T26" s="16" t="inlineStr">
        <is>
          <t>grabon.in/boat-coupons</t>
        </is>
      </c>
      <c r="U26" s="9" t="inlineStr">
        <is>
          <t>OBS: HDFC SmartBuy already gives ~5% on DO vouchers - partner-funded offers exist but aren't merchandised in-funnel.</t>
        </is>
      </c>
      <c r="V26" s="9" t="inlineStr">
        <is>
          <t>Partner-funded offers lift CVR at zero brand-margin cost - strictly better than own discounts.</t>
        </is>
      </c>
      <c r="W26" s="9" t="inlineStr">
        <is>
          <t>Uses bank/UPI offer; completes.</t>
        </is>
      </c>
      <c r="X26" s="16" t="inlineStr">
        <is>
          <t>+</t>
        </is>
      </c>
      <c r="Y26" s="16" t="inlineStr">
        <is>
          <t>Neutral</t>
        </is>
      </c>
      <c r="Z26" s="16" t="inlineStr">
        <is>
          <t>Med</t>
        </is>
      </c>
      <c r="AA26" s="16" t="inlineStr">
        <is>
          <t>Accretive (partner-funded)</t>
        </is>
      </c>
      <c r="AB26" s="10" t="inlineStr">
        <is>
          <t>N</t>
        </is>
      </c>
      <c r="AC26" s="23" t="n">
        <v>0</v>
      </c>
      <c r="AD26" s="10" t="inlineStr">
        <is>
          <t>N</t>
        </is>
      </c>
      <c r="AE26" s="16" t="inlineStr">
        <is>
          <t>Offers strip</t>
        </is>
      </c>
      <c r="AF26" s="16" t="inlineStr">
        <is>
          <t>Easy</t>
        </is>
      </c>
      <c r="AG26" s="16" t="inlineStr">
        <is>
          <t>4-7 Days</t>
        </is>
      </c>
      <c r="AH26" s="10" t="n">
        <v>3</v>
      </c>
      <c r="AI26" s="10" t="n">
        <v>3</v>
      </c>
      <c r="AJ26" s="10" t="n">
        <v>4</v>
      </c>
      <c r="AK26" s="10" t="n">
        <v>4</v>
      </c>
      <c r="AL26" s="10" t="n">
        <v>5</v>
      </c>
      <c r="AM26" s="24">
        <f>ROUND(AH26*AI26*AJ26*AK26*AL26/3125*100,1)</f>
        <v/>
      </c>
      <c r="AN26" s="9" t="inlineStr">
        <is>
          <t>Offer strip vs none</t>
        </is>
      </c>
      <c r="AO26" s="16" t="inlineStr">
        <is>
          <t>CVR, prepaid share</t>
        </is>
      </c>
      <c r="AP26" s="16" t="inlineStr">
        <is>
          <t>None</t>
        </is>
      </c>
      <c r="AQ26" s="16" t="inlineStr">
        <is>
          <t>Unassigned</t>
        </is>
      </c>
      <c r="AR26" s="16" t="inlineStr">
        <is>
          <t>Backlog</t>
        </is>
      </c>
      <c r="AS26" s="16" t="inlineStr"/>
    </row>
    <row r="27">
      <c r="A27" s="20" t="inlineStr">
        <is>
          <t>ID47</t>
        </is>
      </c>
      <c r="B27" s="20" t="n">
        <v>24</v>
      </c>
      <c r="C27" s="19" t="inlineStr">
        <is>
          <t>Abandonment + prepaid-fail SMS with UPI retry link</t>
        </is>
      </c>
      <c r="D27" s="25" t="inlineStr">
        <is>
          <t>For payment-failed/COD-abandon orders, send an instant SMS/WhatsApp with a one-tap UPI retry link and 'switch to prepaid, save Rs79 + free ship'.</t>
        </is>
      </c>
      <c r="E27" s="19" t="inlineStr">
        <is>
          <t>CVR</t>
        </is>
      </c>
      <c r="F27" s="19" t="inlineStr">
        <is>
          <t>Checkout Completion</t>
        </is>
      </c>
      <c r="G27" s="19" t="inlineStr">
        <is>
          <t>Contribution margin</t>
        </is>
      </c>
      <c r="H27" s="19" t="inlineStr">
        <is>
          <t>Payment-fail/COD abandon</t>
        </is>
      </c>
      <c r="I27" s="19" t="inlineStr">
        <is>
          <t>High-intent non-purchasers</t>
        </is>
      </c>
      <c r="J27" s="19" t="inlineStr">
        <is>
          <t>Cross-category</t>
        </is>
      </c>
      <c r="K27" s="19" t="inlineStr">
        <is>
          <t>Payment recovery</t>
        </is>
      </c>
      <c r="L27" s="19" t="inlineStr">
        <is>
          <t>all</t>
        </is>
      </c>
      <c r="M27" s="19" t="inlineStr">
        <is>
          <t>Payment failed / abandoned at pay</t>
        </is>
      </c>
      <c r="N27" s="19" t="inlineStr">
        <is>
          <t>UPI retry + COD-fee saving</t>
        </is>
      </c>
      <c r="O27" s="19" t="inlineStr">
        <is>
          <t>SMS/WhatsApp</t>
        </is>
      </c>
      <c r="P27" s="19" t="inlineStr">
        <is>
          <t>CRM</t>
        </is>
      </c>
      <c r="Q27" s="19" t="inlineStr">
        <is>
          <t>Payment recovery</t>
        </is>
      </c>
      <c r="R27" s="19" t="inlineStr">
        <is>
          <t>India PSP retry + WA commerce</t>
        </is>
      </c>
      <c r="S27" s="19" t="inlineStr"/>
      <c r="T27" s="19" t="inlineStr">
        <is>
          <t>internal best practice</t>
        </is>
      </c>
      <c r="U27" s="25" t="inlineStr">
        <is>
          <t>OBS: 42% drop from add_payment_info to purchase - much of it recoverable payment failure; SMS is highest-CVR channel.</t>
        </is>
      </c>
      <c r="V27" s="25" t="inlineStr">
        <is>
          <t>Instant, one-tap retry on the highest-CVR channel recovers already-decided buyers.</t>
        </is>
      </c>
      <c r="W27" s="25" t="inlineStr">
        <is>
          <t>Retries payment via UPI; completes.</t>
        </is>
      </c>
      <c r="X27" s="19" t="inlineStr">
        <is>
          <t>++</t>
        </is>
      </c>
      <c r="Y27" s="19" t="inlineStr">
        <is>
          <t>Neutral</t>
        </is>
      </c>
      <c r="Z27" s="19" t="inlineStr">
        <is>
          <t>High</t>
        </is>
      </c>
      <c r="AA27" s="19" t="inlineStr">
        <is>
          <t>Accretive</t>
        </is>
      </c>
      <c r="AB27" s="20" t="inlineStr">
        <is>
          <t>N</t>
        </is>
      </c>
      <c r="AC27" s="26" t="n">
        <v>0</v>
      </c>
      <c r="AD27" s="20" t="inlineStr">
        <is>
          <t>N</t>
        </is>
      </c>
      <c r="AE27" s="19" t="inlineStr">
        <is>
          <t>PSP webhook + SMS/WA</t>
        </is>
      </c>
      <c r="AF27" s="19" t="inlineStr">
        <is>
          <t>Moderate</t>
        </is>
      </c>
      <c r="AG27" s="19" t="inlineStr">
        <is>
          <t>8-14 Days</t>
        </is>
      </c>
      <c r="AH27" s="20" t="n">
        <v>4</v>
      </c>
      <c r="AI27" s="20" t="n">
        <v>4</v>
      </c>
      <c r="AJ27" s="20" t="n">
        <v>3</v>
      </c>
      <c r="AK27" s="20" t="n">
        <v>3</v>
      </c>
      <c r="AL27" s="20" t="n">
        <v>5</v>
      </c>
      <c r="AM27" s="27">
        <f>ROUND(AH27*AI27*AJ27*AK27*AL27/3125*100,1)</f>
        <v/>
      </c>
      <c r="AN27" s="25" t="inlineStr">
        <is>
          <t>Retry SMS vs holdout on failed payments</t>
        </is>
      </c>
      <c r="AO27" s="19" t="inlineStr">
        <is>
          <t>Payment recovery rate</t>
        </is>
      </c>
      <c r="AP27" s="19" t="inlineStr">
        <is>
          <t>Message compliance</t>
        </is>
      </c>
      <c r="AQ27" s="19" t="inlineStr">
        <is>
          <t>Unassigned</t>
        </is>
      </c>
      <c r="AR27" s="19" t="inlineStr">
        <is>
          <t>Backlog</t>
        </is>
      </c>
      <c r="AS27" s="19" t="inlineStr"/>
    </row>
    <row r="28">
      <c r="A28" s="10" t="inlineStr">
        <is>
          <t>ID03</t>
        </is>
      </c>
      <c r="B28" s="10" t="n">
        <v>25</v>
      </c>
      <c r="C28" s="16" t="inlineStr">
        <is>
          <t>Bag 'Complete the Carry' attach (sleeve + tech organiser)</t>
        </is>
      </c>
      <c r="D28" s="9" t="inlineStr">
        <is>
          <t>On backpack/sling/laptop-bag PDPs, offer a 3-piece 'Carry System': bag + matching laptop sleeve + cable/tech organiser at kit price (~12% off sum). Auto 10% off any bag + 2 accessories.</t>
        </is>
      </c>
      <c r="E28" s="16" t="inlineStr">
        <is>
          <t>AOV</t>
        </is>
      </c>
      <c r="F28" s="16" t="inlineStr">
        <is>
          <t>Cross-category Purchase</t>
        </is>
      </c>
      <c r="G28" s="16" t="inlineStr">
        <is>
          <t>AOV</t>
        </is>
      </c>
      <c r="H28" s="16" t="inlineStr">
        <is>
          <t>Bag shoppers</t>
        </is>
      </c>
      <c r="I28" s="16" t="inlineStr">
        <is>
          <t>New &amp; Repeat</t>
        </is>
      </c>
      <c r="J28" s="16" t="inlineStr">
        <is>
          <t>Backpacks</t>
        </is>
      </c>
      <c r="K28" s="16" t="inlineStr">
        <is>
          <t>Laptop sleeves + tech organisers</t>
        </is>
      </c>
      <c r="L28" s="16" t="inlineStr">
        <is>
          <t>1201,1202,1203,1204,1703</t>
        </is>
      </c>
      <c r="M28" s="16" t="inlineStr">
        <is>
          <t>View bag PDP</t>
        </is>
      </c>
      <c r="N28" s="16" t="inlineStr">
        <is>
          <t>Kit -12% / auto 10% off bag+2 accy</t>
        </is>
      </c>
      <c r="O28" s="16" t="inlineStr">
        <is>
          <t>PDP kit selector + Cart</t>
        </is>
      </c>
      <c r="P28" s="16" t="inlineStr">
        <is>
          <t>Website/App</t>
        </is>
      </c>
      <c r="Q28" s="16" t="inlineStr">
        <is>
          <t>Consideration</t>
        </is>
      </c>
      <c r="R28" s="16" t="inlineStr">
        <is>
          <t>Peak Design (10% off bag + 2 accy); Bellroy Tech Kit; Away packing cubes; Zouk bag+wallet combo</t>
        </is>
      </c>
      <c r="S28" s="16" t="inlineStr"/>
      <c r="T28" s="16" t="inlineStr">
        <is>
          <t>peakdesign.zendesk.com; bellroy.com/products/tech-kit</t>
        </is>
      </c>
      <c r="U28" s="9" t="inlineStr">
        <is>
          <t>OBS: Tech organisers = Rs93M (strong attach cat, high ATC); laptop sleeves Rs57M; backpacks ATC rate only 3.7% &amp; view-&gt;purchase 0.77% (lowest of big cats) - bag PDPs need a reason-to-act + basket builder.</t>
        </is>
      </c>
      <c r="V28" s="9" t="inlineStr">
        <is>
          <t>Buyers building a work/travel setup want a coordinated system; organisers/sleeves are the canonical bag attach.</t>
        </is>
      </c>
      <c r="W28" s="9" t="inlineStr">
        <is>
          <t>Bag buyers add sleeve + organiser.</t>
        </is>
      </c>
      <c r="X28" s="16" t="inlineStr">
        <is>
          <t>Slight +</t>
        </is>
      </c>
      <c r="Y28" s="16" t="inlineStr">
        <is>
          <t>+15-25%</t>
        </is>
      </c>
      <c r="Z28" s="16" t="inlineStr">
        <is>
          <t>High</t>
        </is>
      </c>
      <c r="AA28" s="16" t="inlineStr">
        <is>
          <t>Neutral/Accretive</t>
        </is>
      </c>
      <c r="AB28" s="10" t="inlineStr">
        <is>
          <t>Y</t>
        </is>
      </c>
      <c r="AC28" s="23" t="n">
        <v>0.12</v>
      </c>
      <c r="AD28" s="10" t="inlineStr">
        <is>
          <t>N</t>
        </is>
      </c>
      <c r="AE28" s="16" t="inlineStr">
        <is>
          <t>PDP kit builder</t>
        </is>
      </c>
      <c r="AF28" s="16" t="inlineStr">
        <is>
          <t>Moderate</t>
        </is>
      </c>
      <c r="AG28" s="16" t="inlineStr">
        <is>
          <t>8-14 Days</t>
        </is>
      </c>
      <c r="AH28" s="10" t="n">
        <v>4</v>
      </c>
      <c r="AI28" s="10" t="n">
        <v>4</v>
      </c>
      <c r="AJ28" s="10" t="n">
        <v>3</v>
      </c>
      <c r="AK28" s="10" t="n">
        <v>3</v>
      </c>
      <c r="AL28" s="10" t="n">
        <v>4</v>
      </c>
      <c r="AM28" s="24">
        <f>ROUND(AH28*AI28*AJ28*AK28*AL28/3125*100,1)</f>
        <v/>
      </c>
      <c r="AN28" s="9" t="inlineStr">
        <is>
          <t>Carry-system module on Pedal Daypack PDPs</t>
        </is>
      </c>
      <c r="AO28" s="16" t="inlineStr">
        <is>
          <t>Attach rate + AOV on bag orders</t>
        </is>
      </c>
      <c r="AP28" s="16" t="inlineStr">
        <is>
          <t>Bag CVR, returns</t>
        </is>
      </c>
      <c r="AQ28" s="16" t="inlineStr">
        <is>
          <t>Unassigned</t>
        </is>
      </c>
      <c r="AR28" s="16" t="inlineStr">
        <is>
          <t>Backlog</t>
        </is>
      </c>
      <c r="AS28" s="16" t="inlineStr"/>
    </row>
    <row r="29">
      <c r="A29" s="20" t="inlineStr">
        <is>
          <t>ID06</t>
        </is>
      </c>
      <c r="B29" s="20" t="n">
        <v>26</v>
      </c>
      <c r="C29" s="19" t="inlineStr">
        <is>
          <t>Cart free-gift ladder tied to AOV bands</t>
        </is>
      </c>
      <c r="D29" s="25" t="inlineStr">
        <is>
          <t>Cart progress bar with a 2-rung gift ladder: spend Rs1,999 -&gt; free premium cable bind; spend Rs2,999 -&gt; free desk coaster set (or higher-perceived, low-COGS gift). Auto-add + 'Add Rs X to unlock'.</t>
        </is>
      </c>
      <c r="E29" s="19" t="inlineStr">
        <is>
          <t>AOV</t>
        </is>
      </c>
      <c r="F29" s="19" t="inlineStr">
        <is>
          <t>AOV</t>
        </is>
      </c>
      <c r="G29" s="19" t="inlineStr">
        <is>
          <t>Revenue per Visitor</t>
        </is>
      </c>
      <c r="H29" s="19" t="inlineStr">
        <is>
          <t>Carts Rs1,200-2,900</t>
        </is>
      </c>
      <c r="I29" s="19" t="inlineStr">
        <is>
          <t>New &amp; Repeat</t>
        </is>
      </c>
      <c r="J29" s="19" t="inlineStr">
        <is>
          <t>Cross-category</t>
        </is>
      </c>
      <c r="K29" s="19" t="inlineStr">
        <is>
          <t>GWP</t>
        </is>
      </c>
      <c r="L29" s="19" t="inlineStr">
        <is>
          <t>ladder</t>
        </is>
      </c>
      <c r="M29" s="19" t="inlineStr">
        <is>
          <t>Cart value below rung</t>
        </is>
      </c>
      <c r="N29" s="19" t="inlineStr">
        <is>
          <t>Free gift at Rs1,999 &amp; Rs2,999 (high perceived value, low COGS)</t>
        </is>
      </c>
      <c r="O29" s="19" t="inlineStr">
        <is>
          <t>Cart progress bar</t>
        </is>
      </c>
      <c r="P29" s="19" t="inlineStr">
        <is>
          <t>Website/App</t>
        </is>
      </c>
      <c r="Q29" s="19" t="inlineStr">
        <is>
          <t>Cart</t>
        </is>
      </c>
      <c r="R29" s="19" t="inlineStr">
        <is>
          <t>mCaffeine (Rs999 serum), Mamaearth (Rs698=2 free), Sugar auto-GWP</t>
        </is>
      </c>
      <c r="S29" s="19" t="inlineStr"/>
      <c r="T29" s="19" t="inlineStr">
        <is>
          <t>grabon.in/mcaffeine</t>
        </is>
      </c>
      <c r="U29" s="25" t="inlineStr">
        <is>
          <t>INF: GA4 web AOV ~Rs2,429; large mass of orders sit just below round thresholds (confirm in Cart Threshold tab). Gift-with-purchase perceived value &gt;&gt; COGS.</t>
        </is>
      </c>
      <c r="V29" s="25" t="inlineStr">
        <is>
          <t>A tangible free product beats a % off on perceived value while protecting price integrity; ladders pull baskets to the next rung.</t>
        </is>
      </c>
      <c r="W29" s="25" t="inlineStr">
        <is>
          <t>Adds items to reach the next gift rung.</t>
        </is>
      </c>
      <c r="X29" s="19" t="inlineStr">
        <is>
          <t>Slight +</t>
        </is>
      </c>
      <c r="Y29" s="19" t="inlineStr">
        <is>
          <t>+6-12%</t>
        </is>
      </c>
      <c r="Z29" s="19" t="inlineStr">
        <is>
          <t>High</t>
        </is>
      </c>
      <c r="AA29" s="19" t="inlineStr">
        <is>
          <t>Neutral (gift COGS &lt; uplift)</t>
        </is>
      </c>
      <c r="AB29" s="20" t="inlineStr">
        <is>
          <t>N</t>
        </is>
      </c>
      <c r="AC29" s="26" t="n">
        <v>0</v>
      </c>
      <c r="AD29" s="20" t="inlineStr">
        <is>
          <t>Y</t>
        </is>
      </c>
      <c r="AE29" s="19" t="inlineStr">
        <is>
          <t>Cart GWP engine</t>
        </is>
      </c>
      <c r="AF29" s="19" t="inlineStr">
        <is>
          <t>Moderate</t>
        </is>
      </c>
      <c r="AG29" s="19" t="inlineStr">
        <is>
          <t>8-14 Days</t>
        </is>
      </c>
      <c r="AH29" s="20" t="n">
        <v>4</v>
      </c>
      <c r="AI29" s="20" t="n">
        <v>4</v>
      </c>
      <c r="AJ29" s="20" t="n">
        <v>3</v>
      </c>
      <c r="AK29" s="20" t="n">
        <v>3</v>
      </c>
      <c r="AL29" s="20" t="n">
        <v>4</v>
      </c>
      <c r="AM29" s="27">
        <f>ROUND(AH29*AI29*AJ29*AK29*AL29/3125*100,1)</f>
        <v/>
      </c>
      <c r="AN29" s="25" t="inlineStr">
        <is>
          <t>GWP ladder vs control; tune rungs to threshold data</t>
        </is>
      </c>
      <c r="AO29" s="19" t="inlineStr">
        <is>
          <t>AOV, % orders crossing rung</t>
        </is>
      </c>
      <c r="AP29" s="19" t="inlineStr">
        <is>
          <t>Gift COGS %, margin</t>
        </is>
      </c>
      <c r="AQ29" s="19" t="inlineStr">
        <is>
          <t>Unassigned</t>
        </is>
      </c>
      <c r="AR29" s="19" t="inlineStr">
        <is>
          <t>Backlog</t>
        </is>
      </c>
      <c r="AS29" s="19" t="inlineStr"/>
    </row>
    <row r="30">
      <c r="A30" s="10" t="inlineStr">
        <is>
          <t>ID32</t>
        </is>
      </c>
      <c r="B30" s="10" t="n">
        <v>27</v>
      </c>
      <c r="C30" s="16" t="inlineStr">
        <is>
          <t>Payday / salary-week revenue moment</t>
        </is>
      </c>
      <c r="D30" s="9" t="inlineStr">
        <is>
          <t>Run a recurring 'Payday Edit' (25th-2nd) with UPI cashback + a curated higher-AOV edit and CRM blast to the owned base; no deep discount, just moment + payment offer.</t>
        </is>
      </c>
      <c r="E30" s="16" t="inlineStr">
        <is>
          <t>Revenue from existing traffic</t>
        </is>
      </c>
      <c r="F30" s="16" t="inlineStr">
        <is>
          <t>Revenue per Visitor</t>
        </is>
      </c>
      <c r="G30" s="16" t="inlineStr">
        <is>
          <t>AOV</t>
        </is>
      </c>
      <c r="H30" s="16" t="inlineStr">
        <is>
          <t>Salaried repeat base</t>
        </is>
      </c>
      <c r="I30" s="16" t="inlineStr">
        <is>
          <t>Repeat</t>
        </is>
      </c>
      <c r="J30" s="16" t="inlineStr">
        <is>
          <t>Cross-category</t>
        </is>
      </c>
      <c r="K30" s="16" t="inlineStr">
        <is>
          <t>Moment</t>
        </is>
      </c>
      <c r="L30" s="16" t="inlineStr">
        <is>
          <t>premium edit</t>
        </is>
      </c>
      <c r="M30" s="16" t="inlineStr">
        <is>
          <t>Monthly payday window</t>
        </is>
      </c>
      <c r="N30" s="16" t="inlineStr">
        <is>
          <t>UPI cashback + curated edit</t>
        </is>
      </c>
      <c r="O30" s="16" t="inlineStr">
        <is>
          <t>Homepage + CRM</t>
        </is>
      </c>
      <c r="P30" s="16" t="inlineStr">
        <is>
          <t>Website/App/CRM</t>
        </is>
      </c>
      <c r="Q30" s="16" t="inlineStr">
        <is>
          <t>Full funnel</t>
        </is>
      </c>
      <c r="R30" s="16" t="inlineStr">
        <is>
          <t>boAt UPI cashback windows; Indian payday sales</t>
        </is>
      </c>
      <c r="S30" s="16" t="inlineStr"/>
      <c r="T30" s="16" t="inlineStr">
        <is>
          <t>grabon.in/boat-coupons</t>
        </is>
      </c>
      <c r="U30" s="9" t="inlineStr">
        <is>
          <t>INF: Indian salaried spend spikes around payday; DO's premium SKUs (power banks, bags) are considered purchases that wait for payday.</t>
        </is>
      </c>
      <c r="V30" s="9" t="inlineStr">
        <is>
          <t>Timing demand to liquidity + a payment offer (not a markdown) lifts revenue at protected margin.</t>
        </is>
      </c>
      <c r="W30" s="9" t="inlineStr">
        <is>
          <t>Times a considered purchase to payday.</t>
        </is>
      </c>
      <c r="X30" s="16" t="inlineStr">
        <is>
          <t>+</t>
        </is>
      </c>
      <c r="Y30" s="16" t="inlineStr">
        <is>
          <t>+</t>
        </is>
      </c>
      <c r="Z30" s="16" t="inlineStr">
        <is>
          <t>Med</t>
        </is>
      </c>
      <c r="AA30" s="16" t="inlineStr">
        <is>
          <t>Neutral</t>
        </is>
      </c>
      <c r="AB30" s="10" t="inlineStr">
        <is>
          <t>N</t>
        </is>
      </c>
      <c r="AC30" s="23" t="n">
        <v>0</v>
      </c>
      <c r="AD30" s="10" t="inlineStr">
        <is>
          <t>N</t>
        </is>
      </c>
      <c r="AE30" s="16" t="inlineStr">
        <is>
          <t>Merch + CRM calendar</t>
        </is>
      </c>
      <c r="AF30" s="16" t="inlineStr">
        <is>
          <t>Easy</t>
        </is>
      </c>
      <c r="AG30" s="16" t="inlineStr">
        <is>
          <t>4-7 Days</t>
        </is>
      </c>
      <c r="AH30" s="10" t="n">
        <v>3</v>
      </c>
      <c r="AI30" s="10" t="n">
        <v>3</v>
      </c>
      <c r="AJ30" s="10" t="n">
        <v>4</v>
      </c>
      <c r="AK30" s="10" t="n">
        <v>4</v>
      </c>
      <c r="AL30" s="10" t="n">
        <v>4</v>
      </c>
      <c r="AM30" s="24">
        <f>ROUND(AH30*AI30*AJ30*AK30*AL30/3125*100,1)</f>
        <v/>
      </c>
      <c r="AN30" s="9" t="inlineStr">
        <is>
          <t>Payday moment vs normal week</t>
        </is>
      </c>
      <c r="AO30" s="16" t="inlineStr">
        <is>
          <t>Revenue in window</t>
        </is>
      </c>
      <c r="AP30" s="16" t="inlineStr">
        <is>
          <t>Pull-forward cannibalisation</t>
        </is>
      </c>
      <c r="AQ30" s="16" t="inlineStr">
        <is>
          <t>Unassigned</t>
        </is>
      </c>
      <c r="AR30" s="16" t="inlineStr">
        <is>
          <t>Backlog</t>
        </is>
      </c>
      <c r="AS30" s="16" t="inlineStr"/>
    </row>
    <row r="31">
      <c r="A31" s="20" t="inlineStr">
        <is>
          <t>ID49</t>
        </is>
      </c>
      <c r="B31" s="20" t="n">
        <v>28</v>
      </c>
      <c r="C31" s="19" t="inlineStr">
        <is>
          <t>Free-gift threshold aligned to WELCOME300 (Rs2,299)</t>
        </is>
      </c>
      <c r="D31" s="25" t="inlineStr">
        <is>
          <t>Align the first-order threshold and a free-gift/free-ship rung at the SAME Rs2,299 point so new users get a coherent 'spend Rs2,299 -&gt; Rs300 off + free gift + free ship' story.</t>
        </is>
      </c>
      <c r="E31" s="19" t="inlineStr">
        <is>
          <t>AOV</t>
        </is>
      </c>
      <c r="F31" s="19" t="inlineStr">
        <is>
          <t>New User Conversion</t>
        </is>
      </c>
      <c r="G31" s="19" t="inlineStr">
        <is>
          <t>AOV</t>
        </is>
      </c>
      <c r="H31" s="19" t="inlineStr">
        <is>
          <t>New users near threshold</t>
        </is>
      </c>
      <c r="I31" s="19" t="inlineStr">
        <is>
          <t>New</t>
        </is>
      </c>
      <c r="J31" s="19" t="inlineStr">
        <is>
          <t>Cross-category</t>
        </is>
      </c>
      <c r="K31" s="19" t="inlineStr">
        <is>
          <t>Threshold alignment</t>
        </is>
      </c>
      <c r="L31" s="19" t="inlineStr">
        <is>
          <t>all</t>
        </is>
      </c>
      <c r="M31" s="19" t="inlineStr">
        <is>
          <t>New-user cart near Rs2,299</t>
        </is>
      </c>
      <c r="N31" s="19" t="inlineStr">
        <is>
          <t>Rs300 off + gift + free ship at Rs2,299</t>
        </is>
      </c>
      <c r="O31" s="19" t="inlineStr">
        <is>
          <t>Cart</t>
        </is>
      </c>
      <c r="P31" s="19" t="inlineStr">
        <is>
          <t>Website/App</t>
        </is>
      </c>
      <c r="Q31" s="19" t="inlineStr">
        <is>
          <t>Cart</t>
        </is>
      </c>
      <c r="R31" s="19" t="inlineStr">
        <is>
          <t>Coherent threshold stacking (Mamaearth/mCaffeine)</t>
        </is>
      </c>
      <c r="S31" s="19" t="inlineStr"/>
      <c r="T31" s="19" t="inlineStr">
        <is>
          <t>grabon.in/mcaffeine</t>
        </is>
      </c>
      <c r="U31" s="25" t="inlineStr">
        <is>
          <t>OBS: WELCOME300 already triggers at Rs2,299; stacking a gift/free-ship at the same point maximises the pull to that basket size.</t>
        </is>
      </c>
      <c r="V31" s="25" t="inlineStr">
        <is>
          <t>One coherent threshold is easier to communicate and concentrates baskets at a known-good AOV.</t>
        </is>
      </c>
      <c r="W31" s="25" t="inlineStr">
        <is>
          <t>Builds first order to Rs2,299.</t>
        </is>
      </c>
      <c r="X31" s="19" t="inlineStr">
        <is>
          <t>+</t>
        </is>
      </c>
      <c r="Y31" s="19" t="inlineStr">
        <is>
          <t>+</t>
        </is>
      </c>
      <c r="Z31" s="19" t="inlineStr">
        <is>
          <t>Med</t>
        </is>
      </c>
      <c r="AA31" s="19" t="inlineStr">
        <is>
          <t>Neutral</t>
        </is>
      </c>
      <c r="AB31" s="20" t="inlineStr">
        <is>
          <t>Y</t>
        </is>
      </c>
      <c r="AC31" s="26" t="n">
        <v>0.13</v>
      </c>
      <c r="AD31" s="20" t="inlineStr">
        <is>
          <t>Y</t>
        </is>
      </c>
      <c r="AE31" s="19" t="inlineStr">
        <is>
          <t>Cart rules</t>
        </is>
      </c>
      <c r="AF31" s="19" t="inlineStr">
        <is>
          <t>Easy</t>
        </is>
      </c>
      <c r="AG31" s="19" t="inlineStr">
        <is>
          <t>4-7 Days</t>
        </is>
      </c>
      <c r="AH31" s="20" t="n">
        <v>3</v>
      </c>
      <c r="AI31" s="20" t="n">
        <v>4</v>
      </c>
      <c r="AJ31" s="20" t="n">
        <v>4</v>
      </c>
      <c r="AK31" s="20" t="n">
        <v>4</v>
      </c>
      <c r="AL31" s="20" t="n">
        <v>3</v>
      </c>
      <c r="AM31" s="27">
        <f>ROUND(AH31*AI31*AJ31*AK31*AL31/3125*100,1)</f>
        <v/>
      </c>
      <c r="AN31" s="25" t="inlineStr">
        <is>
          <t>Aligned threshold vs current</t>
        </is>
      </c>
      <c r="AO31" s="19" t="inlineStr">
        <is>
          <t>New-user AOV &amp; CVR</t>
        </is>
      </c>
      <c r="AP31" s="19" t="inlineStr">
        <is>
          <t>Margin</t>
        </is>
      </c>
      <c r="AQ31" s="19" t="inlineStr">
        <is>
          <t>Unassigned</t>
        </is>
      </c>
      <c r="AR31" s="19" t="inlineStr">
        <is>
          <t>Backlog</t>
        </is>
      </c>
      <c r="AS31" s="19" t="inlineStr"/>
    </row>
    <row r="32">
      <c r="A32" s="10" t="inlineStr">
        <is>
          <t>ID16</t>
        </is>
      </c>
      <c r="B32" s="10" t="n">
        <v>29</v>
      </c>
      <c r="C32" s="16" t="inlineStr">
        <is>
          <t>Case-tier upgrade merchandising (good-better-best)</t>
        </is>
      </c>
      <c r="D32" s="9" t="inlineStr">
        <is>
          <t>On clear/basic case PDPs, surface an 'Upgrade to MagSafe/Armour' toggle showing +Rs delta and added benefit; default recommend the mid tier.</t>
        </is>
      </c>
      <c r="E32" s="16" t="inlineStr">
        <is>
          <t>AOV</t>
        </is>
      </c>
      <c r="F32" s="16" t="inlineStr">
        <is>
          <t>AOV</t>
        </is>
      </c>
      <c r="G32" s="16" t="inlineStr">
        <is>
          <t>Category Penetration</t>
        </is>
      </c>
      <c r="H32" s="16" t="inlineStr">
        <is>
          <t>Entry-case shoppers</t>
        </is>
      </c>
      <c r="I32" s="16" t="inlineStr">
        <is>
          <t>New &amp; Repeat</t>
        </is>
      </c>
      <c r="J32" s="16" t="inlineStr">
        <is>
          <t>Phone Cases</t>
        </is>
      </c>
      <c r="K32" s="16" t="inlineStr">
        <is>
          <t>Tier upsell</t>
        </is>
      </c>
      <c r="L32" s="16" t="inlineStr">
        <is>
          <t>1101,1102,1103</t>
        </is>
      </c>
      <c r="M32" s="16" t="inlineStr">
        <is>
          <t>View basic/clear case</t>
        </is>
      </c>
      <c r="N32" s="16" t="inlineStr">
        <is>
          <t>Upsell to premium tier</t>
        </is>
      </c>
      <c r="O32" s="16" t="inlineStr">
        <is>
          <t>PDP tier toggle</t>
        </is>
      </c>
      <c r="P32" s="16" t="inlineStr">
        <is>
          <t>Website/App</t>
        </is>
      </c>
      <c r="Q32" s="16" t="inlineStr">
        <is>
          <t>Consideration</t>
        </is>
      </c>
      <c r="R32" s="16" t="inlineStr">
        <is>
          <t>Apple good-better-best; dbrand tiers</t>
        </is>
      </c>
      <c r="S32" s="16" t="inlineStr"/>
      <c r="T32" s="16" t="inlineStr">
        <is>
          <t>dbrand.com</t>
        </is>
      </c>
      <c r="U32" s="9" t="inlineStr">
        <is>
          <t>OBS: Case ASP ~Rs1,068 while MagSafe/premium cases (1103) ASP Rs1,318 and Armour up to Rs1,199-2,399 MRP; clear cases (Stride) drive huge ATC but low ASP.</t>
        </is>
      </c>
      <c r="V32" s="9" t="inlineStr">
        <is>
          <t>Nudging entry buyers one tier up lifts ASP on the highest-traffic category with no new customer needed.</t>
        </is>
      </c>
      <c r="W32" s="9" t="inlineStr">
        <is>
          <t>Trades up to a higher-priced case.</t>
        </is>
      </c>
      <c r="X32" s="16" t="inlineStr">
        <is>
          <t>Neutral</t>
        </is>
      </c>
      <c r="Y32" s="16" t="inlineStr">
        <is>
          <t>+8-15% on cases</t>
        </is>
      </c>
      <c r="Z32" s="16" t="inlineStr">
        <is>
          <t>Med-High</t>
        </is>
      </c>
      <c r="AA32" s="16" t="inlineStr">
        <is>
          <t>Accretive</t>
        </is>
      </c>
      <c r="AB32" s="10" t="inlineStr">
        <is>
          <t>N</t>
        </is>
      </c>
      <c r="AC32" s="23" t="n">
        <v>0</v>
      </c>
      <c r="AD32" s="10" t="inlineStr">
        <is>
          <t>N</t>
        </is>
      </c>
      <c r="AE32" s="16" t="inlineStr">
        <is>
          <t>PDP variant merch</t>
        </is>
      </c>
      <c r="AF32" s="16" t="inlineStr">
        <is>
          <t>Moderate</t>
        </is>
      </c>
      <c r="AG32" s="16" t="inlineStr">
        <is>
          <t>8-14 Days</t>
        </is>
      </c>
      <c r="AH32" s="10" t="n">
        <v>4</v>
      </c>
      <c r="AI32" s="10" t="n">
        <v>3</v>
      </c>
      <c r="AJ32" s="10" t="n">
        <v>3</v>
      </c>
      <c r="AK32" s="10" t="n">
        <v>3</v>
      </c>
      <c r="AL32" s="10" t="n">
        <v>5</v>
      </c>
      <c r="AM32" s="24">
        <f>ROUND(AH32*AI32*AJ32*AK32*AL32/3125*100,1)</f>
        <v/>
      </c>
      <c r="AN32" s="9" t="inlineStr">
        <is>
          <t>Upgrade toggle vs control on clear-case PDPs</t>
        </is>
      </c>
      <c r="AO32" s="16" t="inlineStr">
        <is>
          <t>Premium tier share</t>
        </is>
      </c>
      <c r="AP32" s="16" t="inlineStr">
        <is>
          <t>Case CVR</t>
        </is>
      </c>
      <c r="AQ32" s="16" t="inlineStr">
        <is>
          <t>Unassigned</t>
        </is>
      </c>
      <c r="AR32" s="16" t="inlineStr">
        <is>
          <t>Backlog</t>
        </is>
      </c>
      <c r="AS32" s="16" t="inlineStr"/>
    </row>
    <row r="33">
      <c r="A33" s="20" t="inlineStr">
        <is>
          <t>ID17</t>
        </is>
      </c>
      <c r="B33" s="20" t="n">
        <v>30</v>
      </c>
      <c r="C33" s="19" t="inlineStr">
        <is>
          <t>Thank-you-page one-click upsell</t>
        </is>
      </c>
      <c r="D33" s="25" t="inlineStr">
        <is>
          <t>On order confirmation, offer a single one-click add-on at a special price added to the same shipment (e.g. just bought a case -&gt; screen guard at Rs199; bought power bank -&gt; braided cable).</t>
        </is>
      </c>
      <c r="E33" s="19" t="inlineStr">
        <is>
          <t>AOV</t>
        </is>
      </c>
      <c r="F33" s="19" t="inlineStr">
        <is>
          <t>Revenue per Visitor</t>
        </is>
      </c>
      <c r="G33" s="19" t="inlineStr">
        <is>
          <t>Units per Transaction</t>
        </is>
      </c>
      <c r="H33" s="19" t="inlineStr">
        <is>
          <t>Just-purchased</t>
        </is>
      </c>
      <c r="I33" s="19" t="inlineStr">
        <is>
          <t>New &amp; Repeat</t>
        </is>
      </c>
      <c r="J33" s="19" t="inlineStr">
        <is>
          <t>Impulse tech</t>
        </is>
      </c>
      <c r="K33" s="19" t="inlineStr">
        <is>
          <t>One-click upsell</t>
        </is>
      </c>
      <c r="L33" s="19" t="inlineStr">
        <is>
          <t>1815,1811,1812</t>
        </is>
      </c>
      <c r="M33" s="19" t="inlineStr">
        <is>
          <t>Purchase complete</t>
        </is>
      </c>
      <c r="N33" s="19" t="inlineStr">
        <is>
          <t>Special one-click add-on price</t>
        </is>
      </c>
      <c r="O33" s="19" t="inlineStr">
        <is>
          <t>Thank-you page</t>
        </is>
      </c>
      <c r="P33" s="19" t="inlineStr">
        <is>
          <t>Website/App</t>
        </is>
      </c>
      <c r="Q33" s="19" t="inlineStr">
        <is>
          <t>Post-purchase</t>
        </is>
      </c>
      <c r="R33" s="19" t="inlineStr">
        <is>
          <t>Shopify one-click post-purchase; dbrand checkout upsell</t>
        </is>
      </c>
      <c r="S33" s="19" t="inlineStr"/>
      <c r="T33" s="19" t="inlineStr">
        <is>
          <t>9to5toys.com</t>
        </is>
      </c>
      <c r="U33" s="25" t="inlineStr">
        <is>
          <t>INF: no payment friction (already paid); pure incremental. High-margin impulse SKUs available.</t>
        </is>
      </c>
      <c r="V33" s="25" t="inlineStr">
        <is>
          <t>Post-purchase upsells convert well because commitment + payment are done; adds margin with no CAC.</t>
        </is>
      </c>
      <c r="W33" s="25" t="inlineStr">
        <is>
          <t>Adds a one-click complement to the shipment.</t>
        </is>
      </c>
      <c r="X33" s="19" t="inlineStr">
        <is>
          <t>Neutral</t>
        </is>
      </c>
      <c r="Y33" s="19" t="inlineStr">
        <is>
          <t>+2-5%</t>
        </is>
      </c>
      <c r="Z33" s="19" t="inlineStr">
        <is>
          <t>Med</t>
        </is>
      </c>
      <c r="AA33" s="19" t="inlineStr">
        <is>
          <t>Accretive</t>
        </is>
      </c>
      <c r="AB33" s="20" t="inlineStr">
        <is>
          <t>Y</t>
        </is>
      </c>
      <c r="AC33" s="26" t="n">
        <v>0.2</v>
      </c>
      <c r="AD33" s="20" t="inlineStr">
        <is>
          <t>N</t>
        </is>
      </c>
      <c r="AE33" s="19" t="inlineStr">
        <is>
          <t>Post-purchase upsell app</t>
        </is>
      </c>
      <c r="AF33" s="19" t="inlineStr">
        <is>
          <t>Moderate</t>
        </is>
      </c>
      <c r="AG33" s="19" t="inlineStr">
        <is>
          <t>8-14 Days</t>
        </is>
      </c>
      <c r="AH33" s="20" t="n">
        <v>3</v>
      </c>
      <c r="AI33" s="20" t="n">
        <v>4</v>
      </c>
      <c r="AJ33" s="20" t="n">
        <v>3</v>
      </c>
      <c r="AK33" s="20" t="n">
        <v>3</v>
      </c>
      <c r="AL33" s="20" t="n">
        <v>5</v>
      </c>
      <c r="AM33" s="27">
        <f>ROUND(AH33*AI33*AJ33*AK33*AL33/3125*100,1)</f>
        <v/>
      </c>
      <c r="AN33" s="25" t="inlineStr">
        <is>
          <t>Post-purchase offer vs none</t>
        </is>
      </c>
      <c r="AO33" s="19" t="inlineStr">
        <is>
          <t>Upsell take rate</t>
        </is>
      </c>
      <c r="AP33" s="19" t="inlineStr">
        <is>
          <t>Support tickets</t>
        </is>
      </c>
      <c r="AQ33" s="19" t="inlineStr">
        <is>
          <t>Unassigned</t>
        </is>
      </c>
      <c r="AR33" s="19" t="inlineStr">
        <is>
          <t>Backlog</t>
        </is>
      </c>
      <c r="AS33" s="19" t="inlineStr"/>
    </row>
    <row r="34">
      <c r="A34" s="10" t="inlineStr">
        <is>
          <t>ID21</t>
        </is>
      </c>
      <c r="B34" s="10" t="n">
        <v>31</v>
      </c>
      <c r="C34" s="16" t="inlineStr">
        <is>
          <t>Back-in-stock &amp; price-drop alerts</t>
        </is>
      </c>
      <c r="D34" s="9" t="inlineStr">
        <is>
          <t>Add 'Notify me' on OOS variants (esp new iPhone/Samsung case models &amp; Loop power banks) and price-drop alerts on wishlisted items; auto-send when triggered.</t>
        </is>
      </c>
      <c r="E34" s="16" t="inlineStr">
        <is>
          <t>CVR</t>
        </is>
      </c>
      <c r="F34" s="16" t="inlineStr">
        <is>
          <t>Revenue from CRM audiences</t>
        </is>
      </c>
      <c r="G34" s="16" t="inlineStr">
        <is>
          <t>Conversion Rate</t>
        </is>
      </c>
      <c r="H34" s="16" t="inlineStr">
        <is>
          <t>OOS/wishlist watchers</t>
        </is>
      </c>
      <c r="I34" s="16" t="inlineStr">
        <is>
          <t>High-intent non-purchasers</t>
        </is>
      </c>
      <c r="J34" s="16" t="inlineStr">
        <is>
          <t>Phone Cases</t>
        </is>
      </c>
      <c r="K34" s="16" t="inlineStr">
        <is>
          <t>BIS/price-drop</t>
        </is>
      </c>
      <c r="L34" s="16" t="inlineStr">
        <is>
          <t>1101,1103,1809</t>
        </is>
      </c>
      <c r="M34" s="16" t="inlineStr">
        <is>
          <t>OOS variant / price change</t>
        </is>
      </c>
      <c r="N34" s="16" t="inlineStr">
        <is>
          <t>None</t>
        </is>
      </c>
      <c r="O34" s="16" t="inlineStr">
        <is>
          <t>PDP capture + Email/SMS</t>
        </is>
      </c>
      <c r="P34" s="16" t="inlineStr">
        <is>
          <t>CRM</t>
        </is>
      </c>
      <c r="Q34" s="16" t="inlineStr">
        <is>
          <t>Consideration</t>
        </is>
      </c>
      <c r="R34" s="16" t="inlineStr">
        <is>
          <t>Standard BIS; Casetify new-model drops</t>
        </is>
      </c>
      <c r="S34" s="16" t="inlineStr"/>
      <c r="T34" s="16" t="inlineStr">
        <is>
          <t>internal best practice</t>
        </is>
      </c>
      <c r="U34" s="9" t="inlineStr">
        <is>
          <t>INF: case demand is device-model-specific and inventory churns with new phone launches; OOS on a hot model = lost high-intent demand.</t>
        </is>
      </c>
      <c r="V34" s="9" t="inlineStr">
        <is>
          <t>BIS captures guaranteed-intent demand; near-100% relevance sends.</t>
        </is>
      </c>
      <c r="W34" s="9" t="inlineStr">
        <is>
          <t>Buys when restocked / price drops.</t>
        </is>
      </c>
      <c r="X34" s="16" t="inlineStr">
        <is>
          <t>+</t>
        </is>
      </c>
      <c r="Y34" s="16" t="inlineStr">
        <is>
          <t>Neutral</t>
        </is>
      </c>
      <c r="Z34" s="16" t="inlineStr">
        <is>
          <t>Med</t>
        </is>
      </c>
      <c r="AA34" s="16" t="inlineStr">
        <is>
          <t>Accretive</t>
        </is>
      </c>
      <c r="AB34" s="10" t="inlineStr">
        <is>
          <t>N</t>
        </is>
      </c>
      <c r="AC34" s="23" t="n">
        <v>0</v>
      </c>
      <c r="AD34" s="10" t="inlineStr">
        <is>
          <t>N</t>
        </is>
      </c>
      <c r="AE34" s="16" t="inlineStr">
        <is>
          <t>BIS app + CRM</t>
        </is>
      </c>
      <c r="AF34" s="16" t="inlineStr">
        <is>
          <t>Moderate</t>
        </is>
      </c>
      <c r="AG34" s="16" t="inlineStr">
        <is>
          <t>8-14 Days</t>
        </is>
      </c>
      <c r="AH34" s="10" t="n">
        <v>3</v>
      </c>
      <c r="AI34" s="10" t="n">
        <v>4</v>
      </c>
      <c r="AJ34" s="10" t="n">
        <v>3</v>
      </c>
      <c r="AK34" s="10" t="n">
        <v>3</v>
      </c>
      <c r="AL34" s="10" t="n">
        <v>5</v>
      </c>
      <c r="AM34" s="24">
        <f>ROUND(AH34*AI34*AJ34*AK34*AL34/3125*100,1)</f>
        <v/>
      </c>
      <c r="AN34" s="9" t="inlineStr">
        <is>
          <t>BIS capture vs none</t>
        </is>
      </c>
      <c r="AO34" s="16" t="inlineStr">
        <is>
          <t>BIS conversion rate</t>
        </is>
      </c>
      <c r="AP34" s="16" t="inlineStr">
        <is>
          <t>Inventory accuracy</t>
        </is>
      </c>
      <c r="AQ34" s="16" t="inlineStr">
        <is>
          <t>Unassigned</t>
        </is>
      </c>
      <c r="AR34" s="16" t="inlineStr">
        <is>
          <t>Backlog</t>
        </is>
      </c>
      <c r="AS34" s="16" t="inlineStr"/>
    </row>
    <row r="35">
      <c r="A35" s="20" t="inlineStr">
        <is>
          <t>ID38</t>
        </is>
      </c>
      <c r="B35" s="20" t="n">
        <v>32</v>
      </c>
      <c r="C35" s="19" t="inlineStr">
        <is>
          <t>Search &amp; zero-result recovery</t>
        </is>
      </c>
      <c r="D35" s="25" t="inlineStr">
        <is>
          <t>Fix on-site search: synonyms/model aliases, typo tolerance, recommend alternatives on zero-results, and merchandise best-sellers in empty states.</t>
        </is>
      </c>
      <c r="E35" s="19" t="inlineStr">
        <is>
          <t>CVR</t>
        </is>
      </c>
      <c r="F35" s="19" t="inlineStr">
        <is>
          <t>Conversion Rate</t>
        </is>
      </c>
      <c r="G35" s="19" t="inlineStr">
        <is>
          <t>Revenue from existing traffic</t>
        </is>
      </c>
      <c r="H35" s="19" t="inlineStr">
        <is>
          <t>Searchers</t>
        </is>
      </c>
      <c r="I35" s="19" t="inlineStr">
        <is>
          <t>New &amp; Repeat</t>
        </is>
      </c>
      <c r="J35" s="19" t="inlineStr">
        <is>
          <t>Cross-category</t>
        </is>
      </c>
      <c r="K35" s="19" t="inlineStr">
        <is>
          <t>Search</t>
        </is>
      </c>
      <c r="L35" s="19" t="inlineStr">
        <is>
          <t>all</t>
        </is>
      </c>
      <c r="M35" s="19" t="inlineStr">
        <is>
          <t>Site search</t>
        </is>
      </c>
      <c r="N35" s="19" t="inlineStr">
        <is>
          <t>None</t>
        </is>
      </c>
      <c r="O35" s="19" t="inlineStr">
        <is>
          <t>Search UX</t>
        </is>
      </c>
      <c r="P35" s="19" t="inlineStr">
        <is>
          <t>Website/App</t>
        </is>
      </c>
      <c r="Q35" s="19" t="inlineStr">
        <is>
          <t>Discovery</t>
        </is>
      </c>
      <c r="R35" s="19" t="inlineStr">
        <is>
          <t>Search best practice</t>
        </is>
      </c>
      <c r="S35" s="19" t="inlineStr"/>
      <c r="T35" s="19" t="inlineStr">
        <is>
          <t>internal analytics report (search/zero-results tracked)</t>
        </is>
      </c>
      <c r="U35" s="25" t="inlineStr">
        <is>
          <t>OBS: internal analytics file tracks 'Zero-Results Rate' &amp; search conversion - a known, measured lever. Searchers are high-intent.</t>
        </is>
      </c>
      <c r="V35" s="25" t="inlineStr">
        <is>
          <t>Searchers convert far above browsers; zero-results are pure lost intent that's cheap to recover.</t>
        </is>
      </c>
      <c r="W35" s="25" t="inlineStr">
        <is>
          <t>Finds product; converts.</t>
        </is>
      </c>
      <c r="X35" s="19" t="inlineStr">
        <is>
          <t>+</t>
        </is>
      </c>
      <c r="Y35" s="19" t="inlineStr">
        <is>
          <t>Neutral</t>
        </is>
      </c>
      <c r="Z35" s="19" t="inlineStr">
        <is>
          <t>Med</t>
        </is>
      </c>
      <c r="AA35" s="19" t="inlineStr">
        <is>
          <t>Accretive</t>
        </is>
      </c>
      <c r="AB35" s="20" t="inlineStr">
        <is>
          <t>N</t>
        </is>
      </c>
      <c r="AC35" s="26" t="n">
        <v>0</v>
      </c>
      <c r="AD35" s="20" t="inlineStr">
        <is>
          <t>N</t>
        </is>
      </c>
      <c r="AE35" s="19" t="inlineStr">
        <is>
          <t>Search config</t>
        </is>
      </c>
      <c r="AF35" s="19" t="inlineStr">
        <is>
          <t>Moderate</t>
        </is>
      </c>
      <c r="AG35" s="19" t="inlineStr">
        <is>
          <t>8-14 Days</t>
        </is>
      </c>
      <c r="AH35" s="20" t="n">
        <v>3</v>
      </c>
      <c r="AI35" s="20" t="n">
        <v>4</v>
      </c>
      <c r="AJ35" s="20" t="n">
        <v>3</v>
      </c>
      <c r="AK35" s="20" t="n">
        <v>3</v>
      </c>
      <c r="AL35" s="20" t="n">
        <v>5</v>
      </c>
      <c r="AM35" s="27">
        <f>ROUND(AH35*AI35*AJ35*AK35*AL35/3125*100,1)</f>
        <v/>
      </c>
      <c r="AN35" s="25" t="inlineStr">
        <is>
          <t>Search improvements vs baseline zero-result rate</t>
        </is>
      </c>
      <c r="AO35" s="19" t="inlineStr">
        <is>
          <t>Search CVR, zero-result rate</t>
        </is>
      </c>
      <c r="AP35" s="19" t="inlineStr">
        <is>
          <t>Relevance</t>
        </is>
      </c>
      <c r="AQ35" s="19" t="inlineStr">
        <is>
          <t>Unassigned</t>
        </is>
      </c>
      <c r="AR35" s="19" t="inlineStr">
        <is>
          <t>Backlog</t>
        </is>
      </c>
      <c r="AS35" s="19" t="inlineStr"/>
    </row>
    <row r="36">
      <c r="A36" s="10" t="inlineStr">
        <is>
          <t>ID43</t>
        </is>
      </c>
      <c r="B36" s="10" t="n">
        <v>33</v>
      </c>
      <c r="C36" s="16" t="inlineStr">
        <is>
          <t>Homepage hero -&gt; category quick-entry + offer strip</t>
        </is>
      </c>
      <c r="D36" s="9" t="inlineStr">
        <is>
          <t>Restructure homepage above-the-fold: clear value strip (free ship/returns/prepaid offer), quick tiles to top categories &amp; shop-by-device, and a single hero offer - reduce scroll-to-product.</t>
        </is>
      </c>
      <c r="E36" s="16" t="inlineStr">
        <is>
          <t>CVR</t>
        </is>
      </c>
      <c r="F36" s="16" t="inlineStr">
        <is>
          <t>Conversion Rate</t>
        </is>
      </c>
      <c r="G36" s="16" t="inlineStr">
        <is>
          <t>Revenue per Visitor</t>
        </is>
      </c>
      <c r="H36" s="16" t="inlineStr">
        <is>
          <t>Homepage entrants</t>
        </is>
      </c>
      <c r="I36" s="16" t="inlineStr">
        <is>
          <t>New &amp; Repeat</t>
        </is>
      </c>
      <c r="J36" s="16" t="inlineStr">
        <is>
          <t>Cross-category</t>
        </is>
      </c>
      <c r="K36" s="16" t="inlineStr">
        <is>
          <t>Homepage</t>
        </is>
      </c>
      <c r="L36" s="16" t="inlineStr">
        <is>
          <t>all</t>
        </is>
      </c>
      <c r="M36" s="16" t="inlineStr">
        <is>
          <t>Homepage view</t>
        </is>
      </c>
      <c r="N36" s="16" t="inlineStr">
        <is>
          <t>Communicate offers</t>
        </is>
      </c>
      <c r="O36" s="16" t="inlineStr">
        <is>
          <t>Homepage</t>
        </is>
      </c>
      <c r="P36" s="16" t="inlineStr">
        <is>
          <t>Website/App</t>
        </is>
      </c>
      <c r="Q36" s="16" t="inlineStr">
        <is>
          <t>Discovery</t>
        </is>
      </c>
      <c r="R36" s="16" t="inlineStr">
        <is>
          <t>DTC homepage best practice</t>
        </is>
      </c>
      <c r="S36" s="16" t="inlineStr"/>
      <c r="T36" s="16" t="inlineStr">
        <is>
          <t>internal best practice</t>
        </is>
      </c>
      <c r="U36" s="9" t="inlineStr">
        <is>
          <t>OBS: Homepage = 9.67M sessions (largest single entry) at 1.54% CVR - small % gains are large in absolute revenue.</t>
        </is>
      </c>
      <c r="V36" s="9" t="inlineStr">
        <is>
          <t>The homepage is the biggest single entry; faster path-to-product + clear value lifts the whole funnel.</t>
        </is>
      </c>
      <c r="W36" s="9" t="inlineStr">
        <is>
          <t>Reaches product faster; converts.</t>
        </is>
      </c>
      <c r="X36" s="16" t="inlineStr">
        <is>
          <t>+</t>
        </is>
      </c>
      <c r="Y36" s="16" t="inlineStr">
        <is>
          <t>Neutral</t>
        </is>
      </c>
      <c r="Z36" s="16" t="inlineStr">
        <is>
          <t>Med-High</t>
        </is>
      </c>
      <c r="AA36" s="16" t="inlineStr">
        <is>
          <t>Accretive</t>
        </is>
      </c>
      <c r="AB36" s="10" t="inlineStr">
        <is>
          <t>N</t>
        </is>
      </c>
      <c r="AC36" s="23" t="n">
        <v>0</v>
      </c>
      <c r="AD36" s="10" t="inlineStr">
        <is>
          <t>N</t>
        </is>
      </c>
      <c r="AE36" s="16" t="inlineStr">
        <is>
          <t>Homepage build</t>
        </is>
      </c>
      <c r="AF36" s="16" t="inlineStr">
        <is>
          <t>Moderate</t>
        </is>
      </c>
      <c r="AG36" s="16" t="inlineStr">
        <is>
          <t>8-14 Days</t>
        </is>
      </c>
      <c r="AH36" s="10" t="n">
        <v>4</v>
      </c>
      <c r="AI36" s="10" t="n">
        <v>3</v>
      </c>
      <c r="AJ36" s="10" t="n">
        <v>3</v>
      </c>
      <c r="AK36" s="10" t="n">
        <v>3</v>
      </c>
      <c r="AL36" s="10" t="n">
        <v>5</v>
      </c>
      <c r="AM36" s="24">
        <f>ROUND(AH36*AI36*AJ36*AK36*AL36/3125*100,1)</f>
        <v/>
      </c>
      <c r="AN36" s="9" t="inlineStr">
        <is>
          <t>New homepage vs current</t>
        </is>
      </c>
      <c r="AO36" s="16" t="inlineStr">
        <is>
          <t>Homepage CVR</t>
        </is>
      </c>
      <c r="AP36" s="16" t="inlineStr">
        <is>
          <t>Bounce</t>
        </is>
      </c>
      <c r="AQ36" s="16" t="inlineStr">
        <is>
          <t>Unassigned</t>
        </is>
      </c>
      <c r="AR36" s="16" t="inlineStr">
        <is>
          <t>Backlog</t>
        </is>
      </c>
      <c r="AS36" s="16" t="inlineStr"/>
    </row>
    <row r="37">
      <c r="A37" s="20" t="inlineStr">
        <is>
          <t>ID48</t>
        </is>
      </c>
      <c r="B37" s="20" t="n">
        <v>34</v>
      </c>
      <c r="C37" s="19" t="inlineStr">
        <is>
          <t>Cross-sell map automation (if X then top-Y)</t>
        </is>
      </c>
      <c r="D37" s="25" t="inlineStr">
        <is>
          <t>Operationalise the affinity map: for each hero SKU pin the highest-probability attach as the default FBT/CRM cross-sell (case-&gt;guard; power bank-&gt;cable/case; bag-&gt;sleeve/organiser; watch-&gt;band).</t>
        </is>
      </c>
      <c r="E37" s="19" t="inlineStr">
        <is>
          <t>Cross-category Purchase</t>
        </is>
      </c>
      <c r="F37" s="19" t="inlineStr">
        <is>
          <t>Cross-category Purchase</t>
        </is>
      </c>
      <c r="G37" s="19" t="inlineStr">
        <is>
          <t>AOV</t>
        </is>
      </c>
      <c r="H37" s="19" t="inlineStr">
        <is>
          <t>All buyers</t>
        </is>
      </c>
      <c r="I37" s="19" t="inlineStr">
        <is>
          <t>New &amp; Repeat</t>
        </is>
      </c>
      <c r="J37" s="19" t="inlineStr">
        <is>
          <t>Cross-category</t>
        </is>
      </c>
      <c r="K37" s="19" t="inlineStr">
        <is>
          <t>Cross-sell map</t>
        </is>
      </c>
      <c r="L37" s="19" t="inlineStr">
        <is>
          <t>all heroes</t>
        </is>
      </c>
      <c r="M37" s="19" t="inlineStr">
        <is>
          <t>Purchase/view of hero SKU</t>
        </is>
      </c>
      <c r="N37" s="19" t="inlineStr">
        <is>
          <t>None/soft</t>
        </is>
      </c>
      <c r="O37" s="19" t="inlineStr">
        <is>
          <t>PDP/Cart/CRM</t>
        </is>
      </c>
      <c r="P37" s="19" t="inlineStr">
        <is>
          <t>All</t>
        </is>
      </c>
      <c r="Q37" s="19" t="inlineStr">
        <is>
          <t>Full funnel</t>
        </is>
      </c>
      <c r="R37" s="19" t="inlineStr">
        <is>
          <t>Amazon/Anker recs; Peak Design ecosystem</t>
        </is>
      </c>
      <c r="S37" s="19" t="inlineStr"/>
      <c r="T37" s="19" t="inlineStr">
        <is>
          <t>anker.com/collections/bundles</t>
        </is>
      </c>
      <c r="U37" s="25" t="inlineStr">
        <is>
          <t>INF (from GA4 category co-view + affinity logic; true co-purchase needs order-line data): case+guard, power bank+cable, bag+organiser, watch+band are the canonical attaches.</t>
        </is>
      </c>
      <c r="V37" s="25" t="inlineStr">
        <is>
          <t>A single maintained map powers every attach surface consistently and is the backbone of AOV growth.</t>
        </is>
      </c>
      <c r="W37" s="25" t="inlineStr">
        <is>
          <t>Adds the mapped complement.</t>
        </is>
      </c>
      <c r="X37" s="19" t="inlineStr">
        <is>
          <t>Neutral</t>
        </is>
      </c>
      <c r="Y37" s="19" t="inlineStr">
        <is>
          <t>+</t>
        </is>
      </c>
      <c r="Z37" s="19" t="inlineStr">
        <is>
          <t>High</t>
        </is>
      </c>
      <c r="AA37" s="19" t="inlineStr">
        <is>
          <t>Accretive</t>
        </is>
      </c>
      <c r="AB37" s="20" t="inlineStr">
        <is>
          <t>N</t>
        </is>
      </c>
      <c r="AC37" s="26" t="n">
        <v>0</v>
      </c>
      <c r="AD37" s="20" t="inlineStr">
        <is>
          <t>N</t>
        </is>
      </c>
      <c r="AE37" s="19" t="inlineStr">
        <is>
          <t>Rec engine config</t>
        </is>
      </c>
      <c r="AF37" s="19" t="inlineStr">
        <is>
          <t>Moderate</t>
        </is>
      </c>
      <c r="AG37" s="19" t="inlineStr">
        <is>
          <t>8-14 Days</t>
        </is>
      </c>
      <c r="AH37" s="20" t="n">
        <v>4</v>
      </c>
      <c r="AI37" s="20" t="n">
        <v>3</v>
      </c>
      <c r="AJ37" s="20" t="n">
        <v>3</v>
      </c>
      <c r="AK37" s="20" t="n">
        <v>3</v>
      </c>
      <c r="AL37" s="20" t="n">
        <v>5</v>
      </c>
      <c r="AM37" s="27">
        <f>ROUND(AH37*AI37*AJ37*AK37*AL37/3125*100,1)</f>
        <v/>
      </c>
      <c r="AN37" s="25" t="inlineStr">
        <is>
          <t>Mapped recs vs generic recs</t>
        </is>
      </c>
      <c r="AO37" s="19" t="inlineStr">
        <is>
          <t>Attach rate</t>
        </is>
      </c>
      <c r="AP37" s="19" t="inlineStr">
        <is>
          <t>Relevance</t>
        </is>
      </c>
      <c r="AQ37" s="19" t="inlineStr">
        <is>
          <t>Unassigned</t>
        </is>
      </c>
      <c r="AR37" s="19" t="inlineStr">
        <is>
          <t>Backlog</t>
        </is>
      </c>
      <c r="AS37" s="19" t="inlineStr"/>
    </row>
    <row r="38">
      <c r="A38" s="10" t="inlineStr">
        <is>
          <t>ID11</t>
        </is>
      </c>
      <c r="B38" s="10" t="n">
        <v>35</v>
      </c>
      <c r="C38" s="16" t="inlineStr">
        <is>
          <t>Mobile checkout &amp; PDP conversion sprint</t>
        </is>
      </c>
      <c r="D38" s="9" t="inlineStr">
        <is>
          <t>Ship a mobile-first fix pack: sticky Add-to-Cart on PDP, one-page/express checkout, autofill + saved address, UPI-first payment order, guest checkout, reduce form fields, faster PDP LCP.</t>
        </is>
      </c>
      <c r="E38" s="16" t="inlineStr">
        <is>
          <t>CVR</t>
        </is>
      </c>
      <c r="F38" s="16" t="inlineStr">
        <is>
          <t>Conversion Rate</t>
        </is>
      </c>
      <c r="G38" s="16" t="inlineStr">
        <is>
          <t>Checkout Completion</t>
        </is>
      </c>
      <c r="H38" s="16" t="inlineStr">
        <is>
          <t>Mobile visitors</t>
        </is>
      </c>
      <c r="I38" s="16" t="inlineStr">
        <is>
          <t>New &amp; Repeat</t>
        </is>
      </c>
      <c r="J38" s="16" t="inlineStr">
        <is>
          <t>Cross-category</t>
        </is>
      </c>
      <c r="K38" s="16" t="inlineStr">
        <is>
          <t>UX/checkout</t>
        </is>
      </c>
      <c r="L38" s="16" t="inlineStr">
        <is>
          <t>all</t>
        </is>
      </c>
      <c r="M38" s="16" t="inlineStr">
        <is>
          <t>Mobile session</t>
        </is>
      </c>
      <c r="N38" s="16" t="inlineStr">
        <is>
          <t>None (UX)</t>
        </is>
      </c>
      <c r="O38" s="16" t="inlineStr">
        <is>
          <t>Mobile PDP + Checkout</t>
        </is>
      </c>
      <c r="P38" s="16" t="inlineStr">
        <is>
          <t>Website/App</t>
        </is>
      </c>
      <c r="Q38" s="16" t="inlineStr">
        <is>
          <t>Full funnel</t>
        </is>
      </c>
      <c r="R38" s="16" t="inlineStr">
        <is>
          <t>Standard high-CVR mobile UX (Noise no-min free ship + fast checkout)</t>
        </is>
      </c>
      <c r="S38" s="16" t="inlineStr"/>
      <c r="T38" s="16" t="inlineStr">
        <is>
          <t>internal best practice</t>
        </is>
      </c>
      <c r="U38" s="9" t="inlineStr">
        <is>
          <t>OBS: Mobile = 49.1M sessions (91% of traffic) but CVR 0.95% vs desktop 1.96% - roughly HALF. Closing even part of the gap on 91% of traffic is the single largest revenue prize.</t>
        </is>
      </c>
      <c r="V38" s="9" t="inlineStr">
        <is>
          <t>The conversion gap is almost entirely UX/payment friction, not intent; mobile is where the volume is.</t>
        </is>
      </c>
      <c r="W38" s="9" t="inlineStr">
        <is>
          <t>More mobile sessions complete purchase.</t>
        </is>
      </c>
      <c r="X38" s="16" t="inlineStr">
        <is>
          <t>++</t>
        </is>
      </c>
      <c r="Y38" s="16" t="inlineStr">
        <is>
          <t>Neutral</t>
        </is>
      </c>
      <c r="Z38" s="16" t="inlineStr">
        <is>
          <t>Very High</t>
        </is>
      </c>
      <c r="AA38" s="16" t="inlineStr">
        <is>
          <t>Accretive</t>
        </is>
      </c>
      <c r="AB38" s="10" t="inlineStr">
        <is>
          <t>N</t>
        </is>
      </c>
      <c r="AC38" s="23" t="n">
        <v>0</v>
      </c>
      <c r="AD38" s="10" t="inlineStr">
        <is>
          <t>N</t>
        </is>
      </c>
      <c r="AE38" s="16" t="inlineStr">
        <is>
          <t>Front-end + checkout dev</t>
        </is>
      </c>
      <c r="AF38" s="16" t="inlineStr">
        <is>
          <t>Hard</t>
        </is>
      </c>
      <c r="AG38" s="16" t="inlineStr">
        <is>
          <t>15-30 Days</t>
        </is>
      </c>
      <c r="AH38" s="10" t="n">
        <v>5</v>
      </c>
      <c r="AI38" s="10" t="n">
        <v>5</v>
      </c>
      <c r="AJ38" s="10" t="n">
        <v>2</v>
      </c>
      <c r="AK38" s="10" t="n">
        <v>2</v>
      </c>
      <c r="AL38" s="10" t="n">
        <v>5</v>
      </c>
      <c r="AM38" s="24">
        <f>ROUND(AH38*AI38*AJ38*AK38*AL38/3125*100,1)</f>
        <v/>
      </c>
      <c r="AN38" s="9" t="inlineStr">
        <is>
          <t>Staged A/B per fix (sticky CTA, express checkout)</t>
        </is>
      </c>
      <c r="AO38" s="16" t="inlineStr">
        <is>
          <t>Mobile CVR, checkout completion</t>
        </is>
      </c>
      <c r="AP38" s="16" t="inlineStr">
        <is>
          <t>Errors, AOV</t>
        </is>
      </c>
      <c r="AQ38" s="16" t="inlineStr">
        <is>
          <t>Unassigned</t>
        </is>
      </c>
      <c r="AR38" s="16" t="inlineStr">
        <is>
          <t>Backlog</t>
        </is>
      </c>
      <c r="AS38" s="16" t="inlineStr"/>
    </row>
    <row r="39">
      <c r="A39" s="20" t="inlineStr">
        <is>
          <t>ID35</t>
        </is>
      </c>
      <c r="B39" s="20" t="n">
        <v>36</v>
      </c>
      <c r="C39" s="19" t="inlineStr">
        <is>
          <t>Weekend flash 'Drop' on high-margin impulse SKUs</t>
        </is>
      </c>
      <c r="D39" s="25" t="inlineStr">
        <is>
          <t>Every weekend feature a limited 'Weekend Drop' of genuine limited-inventory or new impulse SKUs (charms, artist cases, coasters) with a real countdown - no fake scarcity.</t>
        </is>
      </c>
      <c r="E39" s="19" t="inlineStr">
        <is>
          <t>Revenue from existing traffic</t>
        </is>
      </c>
      <c r="F39" s="19" t="inlineStr">
        <is>
          <t>Conversion Rate</t>
        </is>
      </c>
      <c r="G39" s="19" t="inlineStr">
        <is>
          <t>AOV</t>
        </is>
      </c>
      <c r="H39" s="19" t="inlineStr">
        <is>
          <t>Weekend browsers</t>
        </is>
      </c>
      <c r="I39" s="19" t="inlineStr">
        <is>
          <t>Repeat</t>
        </is>
      </c>
      <c r="J39" s="19" t="inlineStr">
        <is>
          <t>Impulse tech</t>
        </is>
      </c>
      <c r="K39" s="19" t="inlineStr">
        <is>
          <t>Drop</t>
        </is>
      </c>
      <c r="L39" s="19" t="inlineStr">
        <is>
          <t>1104,1812,1705</t>
        </is>
      </c>
      <c r="M39" s="19" t="inlineStr">
        <is>
          <t>Weekend</t>
        </is>
      </c>
      <c r="N39" s="19" t="inlineStr">
        <is>
          <t>Limited drop</t>
        </is>
      </c>
      <c r="O39" s="19" t="inlineStr">
        <is>
          <t>Homepage + CRM</t>
        </is>
      </c>
      <c r="P39" s="19" t="inlineStr">
        <is>
          <t>All</t>
        </is>
      </c>
      <c r="Q39" s="19" t="inlineStr">
        <is>
          <t>Discovery</t>
        </is>
      </c>
      <c r="R39" s="19" t="inlineStr">
        <is>
          <t>Streetwear drops; Souled Store limited</t>
        </is>
      </c>
      <c r="S39" s="19" t="inlineStr"/>
      <c r="T39" s="19" t="inlineStr">
        <is>
          <t>thesouledstore.com</t>
        </is>
      </c>
      <c r="U39" s="25" t="inlineStr">
        <is>
          <t>INF: DO runs artist collabs &amp; new arrivals; a recurring drop cadence gives repeat visitors a reason to return weekly.</t>
        </is>
      </c>
      <c r="V39" s="25" t="inlineStr">
        <is>
          <t>Genuine scarcity + cadence drives return visits and impulse buys at full margin.</t>
        </is>
      </c>
      <c r="W39" s="25" t="inlineStr">
        <is>
          <t>Returns weekly; buys impulse drop.</t>
        </is>
      </c>
      <c r="X39" s="19" t="inlineStr">
        <is>
          <t>+</t>
        </is>
      </c>
      <c r="Y39" s="19" t="inlineStr">
        <is>
          <t>Neutral</t>
        </is>
      </c>
      <c r="Z39" s="19" t="inlineStr">
        <is>
          <t>Low-Med</t>
        </is>
      </c>
      <c r="AA39" s="19" t="inlineStr">
        <is>
          <t>Accretive</t>
        </is>
      </c>
      <c r="AB39" s="20" t="inlineStr">
        <is>
          <t>N</t>
        </is>
      </c>
      <c r="AC39" s="26" t="n">
        <v>0</v>
      </c>
      <c r="AD39" s="20" t="inlineStr">
        <is>
          <t>N</t>
        </is>
      </c>
      <c r="AE39" s="19" t="inlineStr">
        <is>
          <t>Merch + countdown</t>
        </is>
      </c>
      <c r="AF39" s="19" t="inlineStr">
        <is>
          <t>Easy</t>
        </is>
      </c>
      <c r="AG39" s="19" t="inlineStr">
        <is>
          <t>4-7 Days</t>
        </is>
      </c>
      <c r="AH39" s="20" t="n">
        <v>2</v>
      </c>
      <c r="AI39" s="20" t="n">
        <v>3</v>
      </c>
      <c r="AJ39" s="20" t="n">
        <v>4</v>
      </c>
      <c r="AK39" s="20" t="n">
        <v>4</v>
      </c>
      <c r="AL39" s="20" t="n">
        <v>5</v>
      </c>
      <c r="AM39" s="27">
        <f>ROUND(AH39*AI39*AJ39*AK39*AL39/3125*100,1)</f>
        <v/>
      </c>
      <c r="AN39" s="25" t="inlineStr">
        <is>
          <t>Weekend drop vs normal</t>
        </is>
      </c>
      <c r="AO39" s="19" t="inlineStr">
        <is>
          <t>Weekend RPV, return rate</t>
        </is>
      </c>
      <c r="AP39" s="19" t="inlineStr">
        <is>
          <t>Inventory honesty</t>
        </is>
      </c>
      <c r="AQ39" s="19" t="inlineStr">
        <is>
          <t>Unassigned</t>
        </is>
      </c>
      <c r="AR39" s="19" t="inlineStr">
        <is>
          <t>Backlog</t>
        </is>
      </c>
      <c r="AS39" s="19" t="inlineStr"/>
    </row>
    <row r="40">
      <c r="A40" s="10" t="inlineStr">
        <is>
          <t>ID08b</t>
        </is>
      </c>
      <c r="B40" s="10" t="n">
        <v>37</v>
      </c>
      <c r="C40" s="16" t="inlineStr">
        <is>
          <t>Build-Your-Own Case Kit (configurator)</t>
        </is>
      </c>
      <c r="D40" s="9" t="inlineStr">
        <is>
          <t>On case PDPs add 'Build your kit': case + screen guard + grip + cleaning cloth, live price with kit discount; pre-selected recommended combo. Personalisation/monogram add-on for +Rs.</t>
        </is>
      </c>
      <c r="E40" s="16" t="inlineStr">
        <is>
          <t>AOV</t>
        </is>
      </c>
      <c r="F40" s="16" t="inlineStr">
        <is>
          <t>Units per Transaction</t>
        </is>
      </c>
      <c r="G40" s="16" t="inlineStr">
        <is>
          <t>AOV</t>
        </is>
      </c>
      <c r="H40" s="16" t="inlineStr">
        <is>
          <t>Case shoppers</t>
        </is>
      </c>
      <c r="I40" s="16" t="inlineStr">
        <is>
          <t>New &amp; Repeat</t>
        </is>
      </c>
      <c r="J40" s="16" t="inlineStr">
        <is>
          <t>Phone Cases</t>
        </is>
      </c>
      <c r="K40" s="16" t="inlineStr">
        <is>
          <t>Kit</t>
        </is>
      </c>
      <c r="L40" s="16" t="inlineStr">
        <is>
          <t>1101,1103,1815,1812</t>
        </is>
      </c>
      <c r="M40" s="16" t="inlineStr">
        <is>
          <t>Case PDP</t>
        </is>
      </c>
      <c r="N40" s="16" t="inlineStr">
        <is>
          <t>Kit -15% + optional paid monogram</t>
        </is>
      </c>
      <c r="O40" s="16" t="inlineStr">
        <is>
          <t>PDP configurator</t>
        </is>
      </c>
      <c r="P40" s="16" t="inlineStr">
        <is>
          <t>Website/App</t>
        </is>
      </c>
      <c r="Q40" s="16" t="inlineStr">
        <is>
          <t>Consideration</t>
        </is>
      </c>
      <c r="R40" s="16" t="inlineStr">
        <is>
          <t>Bombay Shirt build-your-shirt; dbrand Grip bundle; Nappa Dori monogram</t>
        </is>
      </c>
      <c r="S40" s="16" t="inlineStr"/>
      <c r="T40" s="16" t="inlineStr">
        <is>
          <t>bombayshirts.com</t>
        </is>
      </c>
      <c r="U40" s="9" t="inlineStr">
        <is>
          <t>OBS: DO already runs custom/personalised cases (configurator flow exists). Case traffic is enormous.</t>
        </is>
      </c>
      <c r="V40" s="9" t="inlineStr">
        <is>
          <t>Configurators lift engagement + AOV and reduce returns; monogram is paid AOV with near-zero COGS.</t>
        </is>
      </c>
      <c r="W40" s="9" t="inlineStr">
        <is>
          <t>Builds a multi-item kit; optionally pays for monogram.</t>
        </is>
      </c>
      <c r="X40" s="16" t="inlineStr">
        <is>
          <t>Neutral</t>
        </is>
      </c>
      <c r="Y40" s="16" t="inlineStr">
        <is>
          <t>+10-20%</t>
        </is>
      </c>
      <c r="Z40" s="16" t="inlineStr">
        <is>
          <t>Med-High</t>
        </is>
      </c>
      <c r="AA40" s="16" t="inlineStr">
        <is>
          <t>Accretive</t>
        </is>
      </c>
      <c r="AB40" s="10" t="inlineStr">
        <is>
          <t>Y</t>
        </is>
      </c>
      <c r="AC40" s="23" t="n">
        <v>0.15</v>
      </c>
      <c r="AD40" s="10" t="inlineStr">
        <is>
          <t>N</t>
        </is>
      </c>
      <c r="AE40" s="16" t="inlineStr">
        <is>
          <t>Configurator (existing custom flow)</t>
        </is>
      </c>
      <c r="AF40" s="16" t="inlineStr">
        <is>
          <t>Moderate</t>
        </is>
      </c>
      <c r="AG40" s="16" t="inlineStr">
        <is>
          <t>8-14 Days</t>
        </is>
      </c>
      <c r="AH40" s="10" t="n">
        <v>4</v>
      </c>
      <c r="AI40" s="10" t="n">
        <v>3</v>
      </c>
      <c r="AJ40" s="10" t="n">
        <v>3</v>
      </c>
      <c r="AK40" s="10" t="n">
        <v>3</v>
      </c>
      <c r="AL40" s="10" t="n">
        <v>4</v>
      </c>
      <c r="AM40" s="24">
        <f>ROUND(AH40*AI40*AJ40*AK40*AL40/3125*100,1)</f>
        <v/>
      </c>
      <c r="AN40" s="9" t="inlineStr">
        <is>
          <t>Kit builder vs plain PDP</t>
        </is>
      </c>
      <c r="AO40" s="16" t="inlineStr">
        <is>
          <t>Kit attach, AOV</t>
        </is>
      </c>
      <c r="AP40" s="16" t="inlineStr">
        <is>
          <t>PDP CVR</t>
        </is>
      </c>
      <c r="AQ40" s="16" t="inlineStr">
        <is>
          <t>Unassigned</t>
        </is>
      </c>
      <c r="AR40" s="16" t="inlineStr">
        <is>
          <t>Backlog</t>
        </is>
      </c>
      <c r="AS40" s="16" t="inlineStr"/>
    </row>
    <row r="41">
      <c r="A41" s="20" t="inlineStr">
        <is>
          <t>ID10</t>
        </is>
      </c>
      <c r="B41" s="20" t="n">
        <v>38</v>
      </c>
      <c r="C41" s="19" t="inlineStr">
        <is>
          <t>Desk Setup / WFH complete-the-look bundle</t>
        </is>
      </c>
      <c r="D41" s="25" t="inlineStr">
        <is>
          <t>Bundle desk mat + desk organiser + cable organiser + coaster as a 'Desk Setup' at kit price; 'Shop the setup' lifestyle module. Target home-office PLP + desk-mat PDPs.</t>
        </is>
      </c>
      <c r="E41" s="19" t="inlineStr">
        <is>
          <t>AOV</t>
        </is>
      </c>
      <c r="F41" s="19" t="inlineStr">
        <is>
          <t>Cross-category Purchase</t>
        </is>
      </c>
      <c r="G41" s="19" t="inlineStr">
        <is>
          <t>AOV</t>
        </is>
      </c>
      <c r="H41" s="19" t="inlineStr">
        <is>
          <t>Desk/WFH shoppers</t>
        </is>
      </c>
      <c r="I41" s="19" t="inlineStr">
        <is>
          <t>New &amp; Repeat</t>
        </is>
      </c>
      <c r="J41" s="19" t="inlineStr">
        <is>
          <t>Desk Organisers</t>
        </is>
      </c>
      <c r="K41" s="19" t="inlineStr">
        <is>
          <t>Desk mats/trays/cable mgmt</t>
        </is>
      </c>
      <c r="L41" s="19" t="inlineStr">
        <is>
          <t>1701,1702,1703</t>
        </is>
      </c>
      <c r="M41" s="19" t="inlineStr">
        <is>
          <t>Desk-mat PDP / home-office PLP</t>
        </is>
      </c>
      <c r="N41" s="19" t="inlineStr">
        <is>
          <t>Desk setup kit -12%</t>
        </is>
      </c>
      <c r="O41" s="19" t="inlineStr">
        <is>
          <t>PDP + PLP shop-the-look</t>
        </is>
      </c>
      <c r="P41" s="19" t="inlineStr">
        <is>
          <t>Website/App</t>
        </is>
      </c>
      <c r="Q41" s="19" t="inlineStr">
        <is>
          <t>Consideration</t>
        </is>
      </c>
      <c r="R41" s="19" t="inlineStr">
        <is>
          <t>Bellroy sets; Away systems</t>
        </is>
      </c>
      <c r="S41" s="19" t="inlineStr"/>
      <c r="T41" s="19" t="inlineStr">
        <is>
          <t>bellroy.com/bundles</t>
        </is>
      </c>
      <c r="U41" s="25" t="inlineStr">
        <is>
          <t>OBS: Desk mats (1701) ATC rate 20.7% (highest intent of any category) but only Rs21.6M; desk organisers Rs58.5M - clear appetite, weak basket building.</t>
        </is>
      </c>
      <c r="V41" s="25" t="inlineStr">
        <is>
          <t>Desk buyers are decorating a workspace and naturally want the matching set; highest-intent traffic under-monetised.</t>
        </is>
      </c>
      <c r="W41" s="25" t="inlineStr">
        <is>
          <t>Buys 3-4 desk pieces as a set.</t>
        </is>
      </c>
      <c r="X41" s="19" t="inlineStr">
        <is>
          <t>Slight +</t>
        </is>
      </c>
      <c r="Y41" s="19" t="inlineStr">
        <is>
          <t>+20-30%</t>
        </is>
      </c>
      <c r="Z41" s="19" t="inlineStr">
        <is>
          <t>Med</t>
        </is>
      </c>
      <c r="AA41" s="19" t="inlineStr">
        <is>
          <t>Neutral</t>
        </is>
      </c>
      <c r="AB41" s="20" t="inlineStr">
        <is>
          <t>Y</t>
        </is>
      </c>
      <c r="AC41" s="26" t="n">
        <v>0.12</v>
      </c>
      <c r="AD41" s="20" t="inlineStr">
        <is>
          <t>N</t>
        </is>
      </c>
      <c r="AE41" s="19" t="inlineStr">
        <is>
          <t>Bundle SKU + shop-the-look</t>
        </is>
      </c>
      <c r="AF41" s="19" t="inlineStr">
        <is>
          <t>Moderate</t>
        </is>
      </c>
      <c r="AG41" s="19" t="inlineStr">
        <is>
          <t>8-14 Days</t>
        </is>
      </c>
      <c r="AH41" s="20" t="n">
        <v>3</v>
      </c>
      <c r="AI41" s="20" t="n">
        <v>4</v>
      </c>
      <c r="AJ41" s="20" t="n">
        <v>3</v>
      </c>
      <c r="AK41" s="20" t="n">
        <v>3</v>
      </c>
      <c r="AL41" s="20" t="n">
        <v>4</v>
      </c>
      <c r="AM41" s="27">
        <f>ROUND(AH41*AI41*AJ41*AK41*AL41/3125*100,1)</f>
        <v/>
      </c>
      <c r="AN41" s="25" t="inlineStr">
        <is>
          <t>Desk setup bundle on desk-mat PDPs</t>
        </is>
      </c>
      <c r="AO41" s="19" t="inlineStr">
        <is>
          <t>Attach, AOV</t>
        </is>
      </c>
      <c r="AP41" s="19" t="inlineStr">
        <is>
          <t>CVR</t>
        </is>
      </c>
      <c r="AQ41" s="19" t="inlineStr">
        <is>
          <t>Unassigned</t>
        </is>
      </c>
      <c r="AR41" s="19" t="inlineStr">
        <is>
          <t>Backlog</t>
        </is>
      </c>
      <c r="AS41" s="19" t="inlineStr"/>
    </row>
    <row r="42">
      <c r="A42" s="10" t="inlineStr">
        <is>
          <t>ID46</t>
        </is>
      </c>
      <c r="B42" s="10" t="n">
        <v>39</v>
      </c>
      <c r="C42" s="16" t="inlineStr">
        <is>
          <t>Tiered gift with tech-organiser as hero GWP</t>
        </is>
      </c>
      <c r="D42" s="9" t="inlineStr">
        <is>
          <t>Use a high-perceived-value, low-COGS tech organiser or cable bind as the flagship free gift at the mid cart rung (Rs2,499) - reinforces the ecosystem.</t>
        </is>
      </c>
      <c r="E42" s="16" t="inlineStr">
        <is>
          <t>AOV</t>
        </is>
      </c>
      <c r="F42" s="16" t="inlineStr">
        <is>
          <t>AOV</t>
        </is>
      </c>
      <c r="G42" s="16" t="inlineStr">
        <is>
          <t>Cross-category Purchase</t>
        </is>
      </c>
      <c r="H42" s="16" t="inlineStr">
        <is>
          <t>Mid-value carts</t>
        </is>
      </c>
      <c r="I42" s="16" t="inlineStr">
        <is>
          <t>New &amp; Repeat</t>
        </is>
      </c>
      <c r="J42" s="16" t="inlineStr">
        <is>
          <t>Tech Organisers</t>
        </is>
      </c>
      <c r="K42" s="16" t="inlineStr">
        <is>
          <t>Hero GWP</t>
        </is>
      </c>
      <c r="L42" s="16" t="inlineStr">
        <is>
          <t>1703,1811</t>
        </is>
      </c>
      <c r="M42" s="16" t="inlineStr">
        <is>
          <t>Cart near Rs2,499</t>
        </is>
      </c>
      <c r="N42" s="16" t="inlineStr">
        <is>
          <t>Free tech organiser/cable bind</t>
        </is>
      </c>
      <c r="O42" s="16" t="inlineStr">
        <is>
          <t>Cart</t>
        </is>
      </c>
      <c r="P42" s="16" t="inlineStr">
        <is>
          <t>Website/App</t>
        </is>
      </c>
      <c r="Q42" s="16" t="inlineStr">
        <is>
          <t>Cart</t>
        </is>
      </c>
      <c r="R42" s="16" t="inlineStr">
        <is>
          <t>mCaffeine/Mamaearth GWP</t>
        </is>
      </c>
      <c r="S42" s="16" t="inlineStr"/>
      <c r="T42" s="16" t="inlineStr">
        <is>
          <t>grabon.in/mcaffeine</t>
        </is>
      </c>
      <c r="U42" s="9" t="inlineStr">
        <is>
          <t>OBS: organisers/cable binds are high-perceived-value bestsellers with modest COGS - ideal GWP that also seeds cross-category habit.</t>
        </is>
      </c>
      <c r="V42" s="9" t="inlineStr">
        <is>
          <t>Gifting a hero attach item both lifts AOV and introduces buyers to a cross-sell category.</t>
        </is>
      </c>
      <c r="W42" s="9" t="inlineStr">
        <is>
          <t>Reaches Rs2,499 for the gift; tries organiser category.</t>
        </is>
      </c>
      <c r="X42" s="16" t="inlineStr">
        <is>
          <t>Slight +</t>
        </is>
      </c>
      <c r="Y42" s="16" t="inlineStr">
        <is>
          <t>+</t>
        </is>
      </c>
      <c r="Z42" s="16" t="inlineStr">
        <is>
          <t>Med</t>
        </is>
      </c>
      <c r="AA42" s="16" t="inlineStr">
        <is>
          <t>Neutral</t>
        </is>
      </c>
      <c r="AB42" s="10" t="inlineStr">
        <is>
          <t>N</t>
        </is>
      </c>
      <c r="AC42" s="23" t="n">
        <v>0</v>
      </c>
      <c r="AD42" s="10" t="inlineStr">
        <is>
          <t>Y</t>
        </is>
      </c>
      <c r="AE42" s="16" t="inlineStr">
        <is>
          <t>Cart GWP</t>
        </is>
      </c>
      <c r="AF42" s="16" t="inlineStr">
        <is>
          <t>Moderate</t>
        </is>
      </c>
      <c r="AG42" s="16" t="inlineStr">
        <is>
          <t>8-14 Days</t>
        </is>
      </c>
      <c r="AH42" s="10" t="n">
        <v>3</v>
      </c>
      <c r="AI42" s="10" t="n">
        <v>4</v>
      </c>
      <c r="AJ42" s="10" t="n">
        <v>3</v>
      </c>
      <c r="AK42" s="10" t="n">
        <v>3</v>
      </c>
      <c r="AL42" s="10" t="n">
        <v>4</v>
      </c>
      <c r="AM42" s="24">
        <f>ROUND(AH42*AI42*AJ42*AK42*AL42/3125*100,1)</f>
        <v/>
      </c>
      <c r="AN42" s="9" t="inlineStr">
        <is>
          <t>Organiser GWP vs generic gift</t>
        </is>
      </c>
      <c r="AO42" s="16" t="inlineStr">
        <is>
          <t>AOV, organiser trial</t>
        </is>
      </c>
      <c r="AP42" s="16" t="inlineStr">
        <is>
          <t>Gift COGS</t>
        </is>
      </c>
      <c r="AQ42" s="16" t="inlineStr">
        <is>
          <t>Unassigned</t>
        </is>
      </c>
      <c r="AR42" s="16" t="inlineStr">
        <is>
          <t>Backlog</t>
        </is>
      </c>
      <c r="AS42" s="16" t="inlineStr"/>
    </row>
    <row r="43">
      <c r="A43" s="20" t="inlineStr">
        <is>
          <t>ID23</t>
        </is>
      </c>
      <c r="B43" s="20" t="n">
        <v>40</v>
      </c>
      <c r="C43" s="19" t="inlineStr">
        <is>
          <t>Case-replacement &amp; phone-upgrade replenishment</t>
        </is>
      </c>
      <c r="D43" s="25" t="inlineStr">
        <is>
          <t>12-14 months after a case/screen-guard purchase, trigger a 'time for a fresh case?' flow; around major iPhone/Samsung launches, target owners of the prior model with new-model cases.</t>
        </is>
      </c>
      <c r="E43" s="19" t="inlineStr">
        <is>
          <t>Frequency</t>
        </is>
      </c>
      <c r="F43" s="19" t="inlineStr">
        <is>
          <t>Repeat Purchase</t>
        </is>
      </c>
      <c r="G43" s="19" t="inlineStr">
        <is>
          <t>Category Penetration</t>
        </is>
      </c>
      <c r="H43" s="19" t="inlineStr">
        <is>
          <t>Prior case buyers</t>
        </is>
      </c>
      <c r="I43" s="19" t="inlineStr">
        <is>
          <t>O1/O2</t>
        </is>
      </c>
      <c r="J43" s="19" t="inlineStr">
        <is>
          <t>Phone Cases</t>
        </is>
      </c>
      <c r="K43" s="19" t="inlineStr">
        <is>
          <t>Replenishment</t>
        </is>
      </c>
      <c r="L43" s="19" t="inlineStr">
        <is>
          <t>1101,1103,1815</t>
        </is>
      </c>
      <c r="M43" s="19" t="inlineStr">
        <is>
          <t>Time since case purchase / device-launch window</t>
        </is>
      </c>
      <c r="N43" s="19" t="inlineStr">
        <is>
          <t>Loyalty pricing on new case</t>
        </is>
      </c>
      <c r="O43" s="19" t="inlineStr">
        <is>
          <t>Email/SMS/Push</t>
        </is>
      </c>
      <c r="P43" s="19" t="inlineStr">
        <is>
          <t>CRM</t>
        </is>
      </c>
      <c r="Q43" s="19" t="inlineStr">
        <is>
          <t>Reactivation</t>
        </is>
      </c>
      <c r="R43" s="19" t="inlineStr">
        <is>
          <t>Consumables replenishment; Apple launch cadence</t>
        </is>
      </c>
      <c r="S43" s="19" t="inlineStr"/>
      <c r="T43" s="19" t="inlineStr">
        <is>
          <t>apple.com launch pattern</t>
        </is>
      </c>
      <c r="U43" s="25" t="inlineStr">
        <is>
          <t>INF: cases wear out and phones get upgraded on a predictable cycle; watch bands &amp; screen guards are inherently repeat. Ecosystem/repeat category roles.</t>
        </is>
      </c>
      <c r="V43" s="25" t="inlineStr">
        <is>
          <t>Predictable replacement need + device-launch trigger = high-probability repeat with perfect timing.</t>
        </is>
      </c>
      <c r="W43" s="25" t="inlineStr">
        <is>
          <t>Buys a replacement/new-model case.</t>
        </is>
      </c>
      <c r="X43" s="19" t="inlineStr">
        <is>
          <t>Neutral</t>
        </is>
      </c>
      <c r="Y43" s="19" t="inlineStr">
        <is>
          <t>Neutral</t>
        </is>
      </c>
      <c r="Z43" s="19" t="inlineStr">
        <is>
          <t>Med</t>
        </is>
      </c>
      <c r="AA43" s="19" t="inlineStr">
        <is>
          <t>Accretive</t>
        </is>
      </c>
      <c r="AB43" s="20" t="inlineStr">
        <is>
          <t>N</t>
        </is>
      </c>
      <c r="AC43" s="26" t="n">
        <v>0</v>
      </c>
      <c r="AD43" s="20" t="inlineStr">
        <is>
          <t>N</t>
        </is>
      </c>
      <c r="AE43" s="19" t="inlineStr">
        <is>
          <t>CRM time/event triggers</t>
        </is>
      </c>
      <c r="AF43" s="19" t="inlineStr">
        <is>
          <t>Moderate</t>
        </is>
      </c>
      <c r="AG43" s="19" t="inlineStr">
        <is>
          <t>8-14 Days</t>
        </is>
      </c>
      <c r="AH43" s="20" t="n">
        <v>3</v>
      </c>
      <c r="AI43" s="20" t="n">
        <v>3</v>
      </c>
      <c r="AJ43" s="20" t="n">
        <v>3</v>
      </c>
      <c r="AK43" s="20" t="n">
        <v>3</v>
      </c>
      <c r="AL43" s="20" t="n">
        <v>5</v>
      </c>
      <c r="AM43" s="27">
        <f>ROUND(AH43*AI43*AJ43*AK43*AL43/3125*100,1)</f>
        <v/>
      </c>
      <c r="AN43" s="25" t="inlineStr">
        <is>
          <t>Replenishment flow vs holdout</t>
        </is>
      </c>
      <c r="AO43" s="19" t="inlineStr">
        <is>
          <t>Repeat rate on prior buyers</t>
        </is>
      </c>
      <c r="AP43" s="19" t="inlineStr">
        <is>
          <t>Send fatigue</t>
        </is>
      </c>
      <c r="AQ43" s="19" t="inlineStr">
        <is>
          <t>Unassigned</t>
        </is>
      </c>
      <c r="AR43" s="19" t="inlineStr">
        <is>
          <t>Backlog</t>
        </is>
      </c>
      <c r="AS43" s="19" t="inlineStr"/>
    </row>
    <row r="44">
      <c r="A44" s="10" t="inlineStr">
        <is>
          <t>ID37</t>
        </is>
      </c>
      <c r="B44" s="10" t="n">
        <v>41</v>
      </c>
      <c r="C44" s="16" t="inlineStr">
        <is>
          <t>Guided 'Find your case/band' quiz</t>
        </is>
      </c>
      <c r="D44" s="9" t="inlineStr">
        <is>
          <t>A 4-question quiz (phone model, style, protection level, budget) that recommends a case + matching accessories; capture email to send results.</t>
        </is>
      </c>
      <c r="E44" s="16" t="inlineStr">
        <is>
          <t>CVR</t>
        </is>
      </c>
      <c r="F44" s="16" t="inlineStr">
        <is>
          <t>Conversion Rate</t>
        </is>
      </c>
      <c r="G44" s="16" t="inlineStr">
        <is>
          <t>New User Conversion</t>
        </is>
      </c>
      <c r="H44" s="16" t="inlineStr">
        <is>
          <t>Undecided browsers</t>
        </is>
      </c>
      <c r="I44" s="16" t="inlineStr">
        <is>
          <t>New</t>
        </is>
      </c>
      <c r="J44" s="16" t="inlineStr">
        <is>
          <t>Phone Cases</t>
        </is>
      </c>
      <c r="K44" s="16" t="inlineStr">
        <is>
          <t>Quiz</t>
        </is>
      </c>
      <c r="L44" s="16" t="inlineStr">
        <is>
          <t>1101,1103</t>
        </is>
      </c>
      <c r="M44" s="16" t="inlineStr">
        <is>
          <t>Homepage/PLP</t>
        </is>
      </c>
      <c r="N44" s="16" t="inlineStr">
        <is>
          <t>None + capture</t>
        </is>
      </c>
      <c r="O44" s="16" t="inlineStr">
        <is>
          <t>Quiz module + LP</t>
        </is>
      </c>
      <c r="P44" s="16" t="inlineStr">
        <is>
          <t>Website/App</t>
        </is>
      </c>
      <c r="Q44" s="16" t="inlineStr">
        <is>
          <t>Discovery</t>
        </is>
      </c>
      <c r="R44" s="16" t="inlineStr">
        <is>
          <t>Warby quiz; Bombay Shirt configurator</t>
        </is>
      </c>
      <c r="S44" s="16" t="inlineStr"/>
      <c r="T44" s="16" t="inlineStr">
        <is>
          <t>warbyparker.com/home-try-on</t>
        </is>
      </c>
      <c r="U44" s="9" t="inlineStr">
        <is>
          <t>OBS: huge case traffic (31M views) with low conversion (1.2%) - choice overload across models/tiers. Quiz narrows + captures email.</t>
        </is>
      </c>
      <c r="V44" s="9" t="inlineStr">
        <is>
          <t>Guided selection reduces decision friction on the highest-traffic category and builds the CRM list.</t>
        </is>
      </c>
      <c r="W44" s="9" t="inlineStr">
        <is>
          <t>Completes quiz; buys recommended set.</t>
        </is>
      </c>
      <c r="X44" s="16" t="inlineStr">
        <is>
          <t>+</t>
        </is>
      </c>
      <c r="Y44" s="16" t="inlineStr">
        <is>
          <t>Slight +</t>
        </is>
      </c>
      <c r="Z44" s="16" t="inlineStr">
        <is>
          <t>Med</t>
        </is>
      </c>
      <c r="AA44" s="16" t="inlineStr">
        <is>
          <t>Accretive</t>
        </is>
      </c>
      <c r="AB44" s="10" t="inlineStr">
        <is>
          <t>N</t>
        </is>
      </c>
      <c r="AC44" s="23" t="n">
        <v>0</v>
      </c>
      <c r="AD44" s="10" t="inlineStr">
        <is>
          <t>N</t>
        </is>
      </c>
      <c r="AE44" s="16" t="inlineStr">
        <is>
          <t>Quiz tool + compatibility map</t>
        </is>
      </c>
      <c r="AF44" s="16" t="inlineStr">
        <is>
          <t>Moderate</t>
        </is>
      </c>
      <c r="AG44" s="16" t="inlineStr">
        <is>
          <t>8-14 Days</t>
        </is>
      </c>
      <c r="AH44" s="10" t="n">
        <v>3</v>
      </c>
      <c r="AI44" s="10" t="n">
        <v>3</v>
      </c>
      <c r="AJ44" s="10" t="n">
        <v>3</v>
      </c>
      <c r="AK44" s="10" t="n">
        <v>3</v>
      </c>
      <c r="AL44" s="10" t="n">
        <v>5</v>
      </c>
      <c r="AM44" s="24">
        <f>ROUND(AH44*AI44*AJ44*AK44*AL44/3125*100,1)</f>
        <v/>
      </c>
      <c r="AN44" s="9" t="inlineStr">
        <is>
          <t>Quiz entry vs direct PLP</t>
        </is>
      </c>
      <c r="AO44" s="16" t="inlineStr">
        <is>
          <t>Quiz CVR, capture</t>
        </is>
      </c>
      <c r="AP44" s="16" t="inlineStr">
        <is>
          <t>Completion rate</t>
        </is>
      </c>
      <c r="AQ44" s="16" t="inlineStr">
        <is>
          <t>Unassigned</t>
        </is>
      </c>
      <c r="AR44" s="16" t="inlineStr">
        <is>
          <t>Backlog</t>
        </is>
      </c>
      <c r="AS44" s="16" t="inlineStr"/>
    </row>
    <row r="45">
      <c r="A45" s="20" t="inlineStr">
        <is>
          <t>ID50</t>
        </is>
      </c>
      <c r="B45" s="20" t="n">
        <v>42</v>
      </c>
      <c r="C45" s="19" t="inlineStr">
        <is>
          <t>Sticky offer/free-ship bar + cart drawer recommendations</t>
        </is>
      </c>
      <c r="D45" s="25" t="inlineStr">
        <is>
          <t>Persistent top bar showing current offer + free-ship progress; slide-out cart drawer with 'you may also like' + progress bar so adding items never leaves the page.</t>
        </is>
      </c>
      <c r="E45" s="19" t="inlineStr">
        <is>
          <t>AOV</t>
        </is>
      </c>
      <c r="F45" s="19" t="inlineStr">
        <is>
          <t>AOV</t>
        </is>
      </c>
      <c r="G45" s="19" t="inlineStr">
        <is>
          <t>Conversion Rate</t>
        </is>
      </c>
      <c r="H45" s="19" t="inlineStr">
        <is>
          <t>All shoppers</t>
        </is>
      </c>
      <c r="I45" s="19" t="inlineStr">
        <is>
          <t>New &amp; Repeat</t>
        </is>
      </c>
      <c r="J45" s="19" t="inlineStr">
        <is>
          <t>Cross-category</t>
        </is>
      </c>
      <c r="K45" s="19" t="inlineStr">
        <is>
          <t>Cart drawer/bar</t>
        </is>
      </c>
      <c r="L45" s="19" t="inlineStr">
        <is>
          <t>all</t>
        </is>
      </c>
      <c r="M45" s="19" t="inlineStr">
        <is>
          <t>Any page / ATC</t>
        </is>
      </c>
      <c r="N45" s="19" t="inlineStr">
        <is>
          <t>Free-ship progress</t>
        </is>
      </c>
      <c r="O45" s="19" t="inlineStr">
        <is>
          <t>Global bar + cart drawer</t>
        </is>
      </c>
      <c r="P45" s="19" t="inlineStr">
        <is>
          <t>Website/App</t>
        </is>
      </c>
      <c r="Q45" s="19" t="inlineStr">
        <is>
          <t>Cart</t>
        </is>
      </c>
      <c r="R45" s="19" t="inlineStr">
        <is>
          <t>Standard high-AOV cart drawer</t>
        </is>
      </c>
      <c r="S45" s="19" t="inlineStr"/>
      <c r="T45" s="19" t="inlineStr">
        <is>
          <t>internal best practice</t>
        </is>
      </c>
      <c r="U45" s="25" t="inlineStr">
        <is>
          <t>INF: keeping shoppers in-flow while showing progress + recs is a proven AOV+CVR lever; complements threshold ideas.</t>
        </is>
      </c>
      <c r="V45" s="25" t="inlineStr">
        <is>
          <t>Frictionless add + visible progress compounds the threshold and attach mechanics.</t>
        </is>
      </c>
      <c r="W45" s="25" t="inlineStr">
        <is>
          <t>Adds more without leaving; hits threshold.</t>
        </is>
      </c>
      <c r="X45" s="19" t="inlineStr">
        <is>
          <t>+</t>
        </is>
      </c>
      <c r="Y45" s="19" t="inlineStr">
        <is>
          <t>+</t>
        </is>
      </c>
      <c r="Z45" s="19" t="inlineStr">
        <is>
          <t>Med</t>
        </is>
      </c>
      <c r="AA45" s="19" t="inlineStr">
        <is>
          <t>Accretive</t>
        </is>
      </c>
      <c r="AB45" s="20" t="inlineStr">
        <is>
          <t>N</t>
        </is>
      </c>
      <c r="AC45" s="26" t="n">
        <v>0</v>
      </c>
      <c r="AD45" s="20" t="inlineStr">
        <is>
          <t>N</t>
        </is>
      </c>
      <c r="AE45" s="19" t="inlineStr">
        <is>
          <t>Front-end cart drawer</t>
        </is>
      </c>
      <c r="AF45" s="19" t="inlineStr">
        <is>
          <t>Moderate</t>
        </is>
      </c>
      <c r="AG45" s="19" t="inlineStr">
        <is>
          <t>8-14 Days</t>
        </is>
      </c>
      <c r="AH45" s="20" t="n">
        <v>3</v>
      </c>
      <c r="AI45" s="20" t="n">
        <v>3</v>
      </c>
      <c r="AJ45" s="20" t="n">
        <v>3</v>
      </c>
      <c r="AK45" s="20" t="n">
        <v>3</v>
      </c>
      <c r="AL45" s="20" t="n">
        <v>5</v>
      </c>
      <c r="AM45" s="27">
        <f>ROUND(AH45*AI45*AJ45*AK45*AL45/3125*100,1)</f>
        <v/>
      </c>
      <c r="AN45" s="25" t="inlineStr">
        <is>
          <t>Cart drawer vs full-page cart</t>
        </is>
      </c>
      <c r="AO45" s="19" t="inlineStr">
        <is>
          <t>AOV, ATC-&gt;purchase</t>
        </is>
      </c>
      <c r="AP45" s="19" t="inlineStr">
        <is>
          <t>Perf</t>
        </is>
      </c>
      <c r="AQ45" s="19" t="inlineStr">
        <is>
          <t>Unassigned</t>
        </is>
      </c>
      <c r="AR45" s="19" t="inlineStr">
        <is>
          <t>Backlog</t>
        </is>
      </c>
      <c r="AS45" s="19" t="inlineStr"/>
    </row>
    <row r="46">
      <c r="A46" s="10" t="inlineStr">
        <is>
          <t>ID56</t>
        </is>
      </c>
      <c r="B46" s="10" t="n">
        <v>43</v>
      </c>
      <c r="C46" s="16" t="inlineStr">
        <is>
          <t>'Gifting for him/her/tech-lover' curated finder</t>
        </is>
      </c>
      <c r="D46" s="9" t="inlineStr">
        <is>
          <t>A gift finder by recipient + budget that assembles a bundle; capture gifter email; push in festive/wedding windows.</t>
        </is>
      </c>
      <c r="E46" s="16" t="inlineStr">
        <is>
          <t>New User Conversion</t>
        </is>
      </c>
      <c r="F46" s="16" t="inlineStr">
        <is>
          <t>New User Conversion</t>
        </is>
      </c>
      <c r="G46" s="16" t="inlineStr">
        <is>
          <t>AOV</t>
        </is>
      </c>
      <c r="H46" s="16" t="inlineStr">
        <is>
          <t>Gift shoppers</t>
        </is>
      </c>
      <c r="I46" s="16" t="inlineStr">
        <is>
          <t>New</t>
        </is>
      </c>
      <c r="J46" s="16" t="inlineStr">
        <is>
          <t>Gifting</t>
        </is>
      </c>
      <c r="K46" s="16" t="inlineStr">
        <is>
          <t>Gift finder</t>
        </is>
      </c>
      <c r="L46" s="16" t="inlineStr">
        <is>
          <t>1600,1604</t>
        </is>
      </c>
      <c r="M46" s="16" t="inlineStr">
        <is>
          <t>Gifting nav / festive</t>
        </is>
      </c>
      <c r="N46" s="16" t="inlineStr">
        <is>
          <t>Curated bundle</t>
        </is>
      </c>
      <c r="O46" s="16" t="inlineStr">
        <is>
          <t>Gift finder + CRM</t>
        </is>
      </c>
      <c r="P46" s="16" t="inlineStr">
        <is>
          <t>Website/App/CRM</t>
        </is>
      </c>
      <c r="Q46" s="16" t="inlineStr">
        <is>
          <t>Discovery</t>
        </is>
      </c>
      <c r="R46" s="16" t="inlineStr">
        <is>
          <t>Nicobar concierge; Bellroy gift sets</t>
        </is>
      </c>
      <c r="S46" s="16" t="inlineStr"/>
      <c r="T46" s="16" t="inlineStr">
        <is>
          <t>nicobar.com/pages/gifting-service</t>
        </is>
      </c>
      <c r="U46" s="9" t="inlineStr">
        <is>
          <t>OBS: gifting under-activated (Rs3.2M) despite gift cards + corporate gifting infra; festive/wedding are large Indian moments.</t>
        </is>
      </c>
      <c r="V46" s="9" t="inlineStr">
        <is>
          <t>Gift finders convert new, higher-AOV customers and are strongly seasonal.</t>
        </is>
      </c>
      <c r="W46" s="9" t="inlineStr">
        <is>
          <t>Buys a curated gift; new customer acquired.</t>
        </is>
      </c>
      <c r="X46" s="16" t="inlineStr">
        <is>
          <t>+</t>
        </is>
      </c>
      <c r="Y46" s="16" t="inlineStr">
        <is>
          <t>+</t>
        </is>
      </c>
      <c r="Z46" s="16" t="inlineStr">
        <is>
          <t>Med (seasonal)</t>
        </is>
      </c>
      <c r="AA46" s="16" t="inlineStr">
        <is>
          <t>Accretive</t>
        </is>
      </c>
      <c r="AB46" s="10" t="inlineStr">
        <is>
          <t>N</t>
        </is>
      </c>
      <c r="AC46" s="23" t="n">
        <v>0</v>
      </c>
      <c r="AD46" s="10" t="inlineStr">
        <is>
          <t>N</t>
        </is>
      </c>
      <c r="AE46" s="16" t="inlineStr">
        <is>
          <t>Finder + merch</t>
        </is>
      </c>
      <c r="AF46" s="16" t="inlineStr">
        <is>
          <t>Moderate</t>
        </is>
      </c>
      <c r="AG46" s="16" t="inlineStr">
        <is>
          <t>8-14 Days</t>
        </is>
      </c>
      <c r="AH46" s="10" t="n">
        <v>3</v>
      </c>
      <c r="AI46" s="10" t="n">
        <v>3</v>
      </c>
      <c r="AJ46" s="10" t="n">
        <v>3</v>
      </c>
      <c r="AK46" s="10" t="n">
        <v>3</v>
      </c>
      <c r="AL46" s="10" t="n">
        <v>5</v>
      </c>
      <c r="AM46" s="24">
        <f>ROUND(AH46*AI46*AJ46*AK46*AL46/3125*100,1)</f>
        <v/>
      </c>
      <c r="AN46" s="9" t="inlineStr">
        <is>
          <t>Gift finder vs gifting PLP</t>
        </is>
      </c>
      <c r="AO46" s="16" t="inlineStr">
        <is>
          <t>Gifting revenue, new users</t>
        </is>
      </c>
      <c r="AP46" s="16" t="inlineStr">
        <is>
          <t>CVR</t>
        </is>
      </c>
      <c r="AQ46" s="16" t="inlineStr">
        <is>
          <t>Unassigned</t>
        </is>
      </c>
      <c r="AR46" s="16" t="inlineStr">
        <is>
          <t>Backlog</t>
        </is>
      </c>
      <c r="AS46" s="16" t="inlineStr"/>
    </row>
    <row r="47">
      <c r="A47" s="20" t="inlineStr">
        <is>
          <t>ID08</t>
        </is>
      </c>
      <c r="B47" s="20" t="n">
        <v>44</v>
      </c>
      <c r="C47" s="19" t="inlineStr">
        <is>
          <t>Spend ladder: tiered % on basket size (buy-more-save-more)</t>
        </is>
      </c>
      <c r="D47" s="25" t="inlineStr">
        <is>
          <t>Sitewide (or category) ladder: spend Rs1,999 save 5%, Rs2,999 save 10%, Rs3,999 save 12% - auto-applied, shown as cart progress.</t>
        </is>
      </c>
      <c r="E47" s="19" t="inlineStr">
        <is>
          <t>AOV</t>
        </is>
      </c>
      <c r="F47" s="19" t="inlineStr">
        <is>
          <t>AOV</t>
        </is>
      </c>
      <c r="G47" s="19" t="inlineStr">
        <is>
          <t>Revenue per Visitor</t>
        </is>
      </c>
      <c r="H47" s="19" t="inlineStr">
        <is>
          <t>Multi-item shoppers</t>
        </is>
      </c>
      <c r="I47" s="19" t="inlineStr">
        <is>
          <t>New &amp; Repeat</t>
        </is>
      </c>
      <c r="J47" s="19" t="inlineStr">
        <is>
          <t>Cross-category</t>
        </is>
      </c>
      <c r="K47" s="19" t="inlineStr">
        <is>
          <t>Spend ladder</t>
        </is>
      </c>
      <c r="L47" s="19" t="inlineStr">
        <is>
          <t>all</t>
        </is>
      </c>
      <c r="M47" s="19" t="inlineStr">
        <is>
          <t>Cart below tier</t>
        </is>
      </c>
      <c r="N47" s="19" t="inlineStr">
        <is>
          <t>5/10/12% at Rs1,999/2,999/3,999</t>
        </is>
      </c>
      <c r="O47" s="19" t="inlineStr">
        <is>
          <t>Cart progress bar</t>
        </is>
      </c>
      <c r="P47" s="19" t="inlineStr">
        <is>
          <t>Website/App</t>
        </is>
      </c>
      <c r="Q47" s="19" t="inlineStr">
        <is>
          <t>Cart</t>
        </is>
      </c>
      <c r="R47" s="19" t="inlineStr">
        <is>
          <t>XYXX pack ladder; Nicobar high threshold; Wildcraft buy-2 Rs500</t>
        </is>
      </c>
      <c r="S47" s="19" t="inlineStr"/>
      <c r="T47" s="19" t="inlineStr">
        <is>
          <t>xyxxcrew.com</t>
        </is>
      </c>
      <c r="U47" s="25" t="inlineStr">
        <is>
          <t>INF: needs Cart Threshold distribution to set rungs; use where GWP inventory not ready. Discount-based so guard margin.</t>
        </is>
      </c>
      <c r="V47" s="25" t="inlineStr">
        <is>
          <t>Explicit marginal reward for the next rupee band; simplest to launch if GWP logistics lag.</t>
        </is>
      </c>
      <c r="W47" s="25" t="inlineStr">
        <is>
          <t>Adds item to reach next tier.</t>
        </is>
      </c>
      <c r="X47" s="19" t="inlineStr">
        <is>
          <t>Slight +</t>
        </is>
      </c>
      <c r="Y47" s="19" t="inlineStr">
        <is>
          <t>+5-10%</t>
        </is>
      </c>
      <c r="Z47" s="19" t="inlineStr">
        <is>
          <t>Med-High</t>
        </is>
      </c>
      <c r="AA47" s="19" t="inlineStr">
        <is>
          <t>Dilutive (control depth)</t>
        </is>
      </c>
      <c r="AB47" s="20" t="inlineStr">
        <is>
          <t>Y</t>
        </is>
      </c>
      <c r="AC47" s="26" t="n">
        <v>0.1</v>
      </c>
      <c r="AD47" s="20" t="inlineStr">
        <is>
          <t>N</t>
        </is>
      </c>
      <c r="AE47" s="19" t="inlineStr">
        <is>
          <t>Cart promo engine</t>
        </is>
      </c>
      <c r="AF47" s="19" t="inlineStr">
        <is>
          <t>Easy</t>
        </is>
      </c>
      <c r="AG47" s="19" t="inlineStr">
        <is>
          <t>4-7 Days</t>
        </is>
      </c>
      <c r="AH47" s="20" t="n">
        <v>4</v>
      </c>
      <c r="AI47" s="20" t="n">
        <v>3</v>
      </c>
      <c r="AJ47" s="20" t="n">
        <v>4</v>
      </c>
      <c r="AK47" s="20" t="n">
        <v>4</v>
      </c>
      <c r="AL47" s="20" t="n">
        <v>2</v>
      </c>
      <c r="AM47" s="27">
        <f>ROUND(AH47*AI47*AJ47*AK47*AL47/3125*100,1)</f>
        <v/>
      </c>
      <c r="AN47" s="25" t="inlineStr">
        <is>
          <t>Spend ladder vs GWP ladder head-to-head</t>
        </is>
      </c>
      <c r="AO47" s="19" t="inlineStr">
        <is>
          <t>AOV vs margin</t>
        </is>
      </c>
      <c r="AP47" s="19" t="inlineStr">
        <is>
          <t>Blended discount %</t>
        </is>
      </c>
      <c r="AQ47" s="19" t="inlineStr">
        <is>
          <t>Unassigned</t>
        </is>
      </c>
      <c r="AR47" s="19" t="inlineStr">
        <is>
          <t>Backlog</t>
        </is>
      </c>
      <c r="AS47" s="19" t="inlineStr"/>
    </row>
    <row r="48">
      <c r="A48" s="10" t="inlineStr">
        <is>
          <t>ID42</t>
        </is>
      </c>
      <c r="B48" s="10" t="n">
        <v>45</v>
      </c>
      <c r="C48" s="16" t="inlineStr">
        <is>
          <t>Order-bump before payment ('Add gift wrap / express / protection')</t>
        </is>
      </c>
      <c r="D48" s="9" t="inlineStr">
        <is>
          <t>On the checkout page add a single order-bump checkbox: premium gift wrap (+Rs99), priority dispatch (+Rs), or 2-yr protection on power banks/bags.</t>
        </is>
      </c>
      <c r="E48" s="16" t="inlineStr">
        <is>
          <t>AOV</t>
        </is>
      </c>
      <c r="F48" s="16" t="inlineStr">
        <is>
          <t>AOV</t>
        </is>
      </c>
      <c r="G48" s="16" t="inlineStr">
        <is>
          <t>Contribution margin</t>
        </is>
      </c>
      <c r="H48" s="16" t="inlineStr">
        <is>
          <t>All checkout</t>
        </is>
      </c>
      <c r="I48" s="16" t="inlineStr">
        <is>
          <t>New &amp; Repeat</t>
        </is>
      </c>
      <c r="J48" s="16" t="inlineStr">
        <is>
          <t>Cross-category</t>
        </is>
      </c>
      <c r="K48" s="16" t="inlineStr">
        <is>
          <t>Order bump</t>
        </is>
      </c>
      <c r="L48" s="16" t="inlineStr">
        <is>
          <t>all</t>
        </is>
      </c>
      <c r="M48" s="16" t="inlineStr">
        <is>
          <t>Checkout</t>
        </is>
      </c>
      <c r="N48" s="16" t="inlineStr">
        <is>
          <t>Paid add-on</t>
        </is>
      </c>
      <c r="O48" s="16" t="inlineStr">
        <is>
          <t>Checkout</t>
        </is>
      </c>
      <c r="P48" s="16" t="inlineStr">
        <is>
          <t>Website/App</t>
        </is>
      </c>
      <c r="Q48" s="16" t="inlineStr">
        <is>
          <t>Checkout</t>
        </is>
      </c>
      <c r="R48" s="16" t="inlineStr">
        <is>
          <t>Shopify order bumps; gift-wrap add-ons</t>
        </is>
      </c>
      <c r="S48" s="16" t="inlineStr"/>
      <c r="T48" s="16" t="inlineStr">
        <is>
          <t>internal best practice</t>
        </is>
      </c>
      <c r="U48" s="9" t="inlineStr">
        <is>
          <t>INF: gift demand + premium buyers; near-zero-COGS paid add-ons (wrap, priority) are pure margin.</t>
        </is>
      </c>
      <c r="V48" s="9" t="inlineStr">
        <is>
          <t>Order-bumps capture willingness-to-pay for convenience/gifting at ~100% margin.</t>
        </is>
      </c>
      <c r="W48" s="9" t="inlineStr">
        <is>
          <t>Adds a paid service.</t>
        </is>
      </c>
      <c r="X48" s="16" t="inlineStr">
        <is>
          <t>Neutral</t>
        </is>
      </c>
      <c r="Y48" s="16" t="inlineStr">
        <is>
          <t>+2-4%</t>
        </is>
      </c>
      <c r="Z48" s="16" t="inlineStr">
        <is>
          <t>Low-Med</t>
        </is>
      </c>
      <c r="AA48" s="16" t="inlineStr">
        <is>
          <t>Accretive</t>
        </is>
      </c>
      <c r="AB48" s="10" t="inlineStr">
        <is>
          <t>N</t>
        </is>
      </c>
      <c r="AC48" s="23" t="n">
        <v>0</v>
      </c>
      <c r="AD48" s="10" t="inlineStr">
        <is>
          <t>N</t>
        </is>
      </c>
      <c r="AE48" s="16" t="inlineStr">
        <is>
          <t>Checkout bump</t>
        </is>
      </c>
      <c r="AF48" s="16" t="inlineStr">
        <is>
          <t>Moderate</t>
        </is>
      </c>
      <c r="AG48" s="16" t="inlineStr">
        <is>
          <t>8-14 Days</t>
        </is>
      </c>
      <c r="AH48" s="10" t="n">
        <v>2</v>
      </c>
      <c r="AI48" s="10" t="n">
        <v>4</v>
      </c>
      <c r="AJ48" s="10" t="n">
        <v>3</v>
      </c>
      <c r="AK48" s="10" t="n">
        <v>3</v>
      </c>
      <c r="AL48" s="10" t="n">
        <v>5</v>
      </c>
      <c r="AM48" s="24">
        <f>ROUND(AH48*AI48*AJ48*AK48*AL48/3125*100,1)</f>
        <v/>
      </c>
      <c r="AN48" s="9" t="inlineStr">
        <is>
          <t>Order-bump vs none</t>
        </is>
      </c>
      <c r="AO48" s="16" t="inlineStr">
        <is>
          <t>Bump take rate</t>
        </is>
      </c>
      <c r="AP48" s="16" t="inlineStr">
        <is>
          <t>Checkout friction</t>
        </is>
      </c>
      <c r="AQ48" s="16" t="inlineStr">
        <is>
          <t>Unassigned</t>
        </is>
      </c>
      <c r="AR48" s="16" t="inlineStr">
        <is>
          <t>Backlog</t>
        </is>
      </c>
      <c r="AS48" s="16" t="inlineStr"/>
    </row>
    <row r="49">
      <c r="A49" s="20" t="inlineStr">
        <is>
          <t>ID22</t>
        </is>
      </c>
      <c r="B49" s="20" t="n">
        <v>46</v>
      </c>
      <c r="C49" s="19" t="inlineStr">
        <is>
          <t>Dormant-customer winback (segmented, category-aware)</t>
        </is>
      </c>
      <c r="D49" s="25" t="inlineStr">
        <is>
          <t>Winback series to lapsed buyers (90-180d) referencing their last category: e.g. a case buyer -&gt; 'new models for your phone + a fresh case offer'; a bag buyer -&gt; new drops + organiser attach.</t>
        </is>
      </c>
      <c r="E49" s="19" t="inlineStr">
        <is>
          <t>Frequency</t>
        </is>
      </c>
      <c r="F49" s="19" t="inlineStr">
        <is>
          <t>Repeat Purchase</t>
        </is>
      </c>
      <c r="G49" s="19" t="inlineStr">
        <is>
          <t>Revenue from CRM audiences</t>
        </is>
      </c>
      <c r="H49" s="19" t="inlineStr">
        <is>
          <t>Dormant buyers</t>
        </is>
      </c>
      <c r="I49" s="19" t="inlineStr">
        <is>
          <t>Dormant</t>
        </is>
      </c>
      <c r="J49" s="19" t="inlineStr">
        <is>
          <t>Cross-category</t>
        </is>
      </c>
      <c r="K49" s="19" t="inlineStr">
        <is>
          <t>Winback</t>
        </is>
      </c>
      <c r="L49" s="19" t="inlineStr">
        <is>
          <t>all</t>
        </is>
      </c>
      <c r="M49" s="19" t="inlineStr">
        <is>
          <t>No purchase 90-180d</t>
        </is>
      </c>
      <c r="N49" s="19" t="inlineStr">
        <is>
          <t>Segmented incentive (case fresh-up, etc.)</t>
        </is>
      </c>
      <c r="O49" s="19" t="inlineStr">
        <is>
          <t>Email/SMS</t>
        </is>
      </c>
      <c r="P49" s="19" t="inlineStr">
        <is>
          <t>CRM</t>
        </is>
      </c>
      <c r="Q49" s="19" t="inlineStr">
        <is>
          <t>Reactivation</t>
        </is>
      </c>
      <c r="R49" s="19" t="inlineStr">
        <is>
          <t>Standard winback; Sugar points reactivation</t>
        </is>
      </c>
      <c r="S49" s="19" t="inlineStr"/>
      <c r="T49" s="19" t="inlineStr">
        <is>
          <t>internal best practice</t>
        </is>
      </c>
      <c r="U49" s="25" t="inlineStr">
        <is>
          <t>OBS: Returning cohort drives 57% of revenue; reactivating dormant buyers is cheaper than new acquisition (new CVR only 0.69%).</t>
        </is>
      </c>
      <c r="V49" s="25" t="inlineStr">
        <is>
          <t>Lapsed buyers already trust the brand; category-relevant reasons (new phone, worn-out case) re-trigger need.</t>
        </is>
      </c>
      <c r="W49" s="25" t="inlineStr">
        <is>
          <t>Reactivates and repurchases.</t>
        </is>
      </c>
      <c r="X49" s="19" t="inlineStr">
        <is>
          <t>Neutral</t>
        </is>
      </c>
      <c r="Y49" s="19" t="inlineStr">
        <is>
          <t>Neutral</t>
        </is>
      </c>
      <c r="Z49" s="19" t="inlineStr">
        <is>
          <t>Med-High</t>
        </is>
      </c>
      <c r="AA49" s="19" t="inlineStr">
        <is>
          <t>Neutral (bounded offer)</t>
        </is>
      </c>
      <c r="AB49" s="20" t="inlineStr">
        <is>
          <t>Y</t>
        </is>
      </c>
      <c r="AC49" s="26" t="n">
        <v>0.1</v>
      </c>
      <c r="AD49" s="20" t="inlineStr">
        <is>
          <t>N</t>
        </is>
      </c>
      <c r="AE49" s="19" t="inlineStr">
        <is>
          <t>CRM segments</t>
        </is>
      </c>
      <c r="AF49" s="19" t="inlineStr">
        <is>
          <t>Moderate</t>
        </is>
      </c>
      <c r="AG49" s="19" t="inlineStr">
        <is>
          <t>8-14 Days</t>
        </is>
      </c>
      <c r="AH49" s="20" t="n">
        <v>4</v>
      </c>
      <c r="AI49" s="20" t="n">
        <v>3</v>
      </c>
      <c r="AJ49" s="20" t="n">
        <v>3</v>
      </c>
      <c r="AK49" s="20" t="n">
        <v>3</v>
      </c>
      <c r="AL49" s="20" t="n">
        <v>3</v>
      </c>
      <c r="AM49" s="27">
        <f>ROUND(AH49*AI49*AJ49*AK49*AL49/3125*100,1)</f>
        <v/>
      </c>
      <c r="AN49" s="25" t="inlineStr">
        <is>
          <t>Winback vs holdout by segment</t>
        </is>
      </c>
      <c r="AO49" s="19" t="inlineStr">
        <is>
          <t>Reactivation rate</t>
        </is>
      </c>
      <c r="AP49" s="19" t="inlineStr">
        <is>
          <t>Discount ROI</t>
        </is>
      </c>
      <c r="AQ49" s="19" t="inlineStr">
        <is>
          <t>Unassigned</t>
        </is>
      </c>
      <c r="AR49" s="19" t="inlineStr">
        <is>
          <t>Backlog</t>
        </is>
      </c>
      <c r="AS49" s="19" t="inlineStr"/>
    </row>
    <row r="50">
      <c r="A50" s="10" t="inlineStr">
        <is>
          <t>ID29</t>
        </is>
      </c>
      <c r="B50" s="10" t="n">
        <v>47</v>
      </c>
      <c r="C50" s="16" t="inlineStr">
        <is>
          <t>Paid-Social landing-page &amp; offer match (huge low-CVR volume)</t>
        </is>
      </c>
      <c r="D50" s="9" t="inlineStr">
        <is>
          <t>Build dedicated product/collection LPs for Meta/IG traffic that match the ad creative + a first-order hook; route ads to best-CVR PDPs not the homepage; add quiz/guided entry for cold traffic.</t>
        </is>
      </c>
      <c r="E50" s="16" t="inlineStr">
        <is>
          <t>CVR</t>
        </is>
      </c>
      <c r="F50" s="16" t="inlineStr">
        <is>
          <t>Conversion Rate</t>
        </is>
      </c>
      <c r="G50" s="16" t="inlineStr">
        <is>
          <t>Revenue per Visitor</t>
        </is>
      </c>
      <c r="H50" s="16" t="inlineStr">
        <is>
          <t>Paid Social visitors</t>
        </is>
      </c>
      <c r="I50" s="16" t="inlineStr">
        <is>
          <t>New</t>
        </is>
      </c>
      <c r="J50" s="16" t="inlineStr">
        <is>
          <t>Cross-category</t>
        </is>
      </c>
      <c r="K50" s="16" t="inlineStr">
        <is>
          <t>Paid LP</t>
        </is>
      </c>
      <c r="L50" s="16" t="inlineStr">
        <is>
          <t>hero SKUs</t>
        </is>
      </c>
      <c r="M50" s="16" t="inlineStr">
        <is>
          <t>Paid Social click</t>
        </is>
      </c>
      <c r="N50" s="16" t="inlineStr">
        <is>
          <t>First-order hook</t>
        </is>
      </c>
      <c r="O50" s="16" t="inlineStr">
        <is>
          <t>Dedicated LPs</t>
        </is>
      </c>
      <c r="P50" s="16" t="inlineStr">
        <is>
          <t>Website/App</t>
        </is>
      </c>
      <c r="Q50" s="16" t="inlineStr">
        <is>
          <t>Acquisition</t>
        </is>
      </c>
      <c r="R50" s="16" t="inlineStr">
        <is>
          <t>Warby quiz; DTC LP best practice</t>
        </is>
      </c>
      <c r="S50" s="16" t="inlineStr"/>
      <c r="T50" s="16" t="inlineStr">
        <is>
          <t>warbyparker.com/home-try-on</t>
        </is>
      </c>
      <c r="U50" s="9" t="inlineStr">
        <is>
          <t>OBS: Paid Social = 29.2M sessions (biggest channel) but CVR 0.38% &amp; RPV Rs9.3 (lowest). Even +0.1pp CVR on this volume = ~29k orders.</t>
        </is>
      </c>
      <c r="V50" s="9" t="inlineStr">
        <is>
          <t>The gap is message-match + LP relevance, not intent; tiny CVR gains on the largest channel are worth the most absolute revenue.</t>
        </is>
      </c>
      <c r="W50" s="9" t="inlineStr">
        <is>
          <t>Cold social traffic converts better.</t>
        </is>
      </c>
      <c r="X50" s="16" t="inlineStr">
        <is>
          <t>++ (on huge base)</t>
        </is>
      </c>
      <c r="Y50" s="16" t="inlineStr">
        <is>
          <t>Neutral</t>
        </is>
      </c>
      <c r="Z50" s="16" t="inlineStr">
        <is>
          <t>High</t>
        </is>
      </c>
      <c r="AA50" s="16" t="inlineStr">
        <is>
          <t>Neutral</t>
        </is>
      </c>
      <c r="AB50" s="10" t="inlineStr">
        <is>
          <t>Y</t>
        </is>
      </c>
      <c r="AC50" s="23" t="n">
        <v>0.13</v>
      </c>
      <c r="AD50" s="10" t="inlineStr">
        <is>
          <t>N</t>
        </is>
      </c>
      <c r="AE50" s="16" t="inlineStr">
        <is>
          <t>LP builder + routing</t>
        </is>
      </c>
      <c r="AF50" s="16" t="inlineStr">
        <is>
          <t>Moderate</t>
        </is>
      </c>
      <c r="AG50" s="16" t="inlineStr">
        <is>
          <t>8-14 Days</t>
        </is>
      </c>
      <c r="AH50" s="10" t="n">
        <v>4</v>
      </c>
      <c r="AI50" s="10" t="n">
        <v>3</v>
      </c>
      <c r="AJ50" s="10" t="n">
        <v>3</v>
      </c>
      <c r="AK50" s="10" t="n">
        <v>3</v>
      </c>
      <c r="AL50" s="10" t="n">
        <v>3</v>
      </c>
      <c r="AM50" s="24">
        <f>ROUND(AH50*AI50*AJ50*AK50*AL50/3125*100,1)</f>
        <v/>
      </c>
      <c r="AN50" s="9" t="inlineStr">
        <is>
          <t>Matched LP vs homepage routing for Meta</t>
        </is>
      </c>
      <c r="AO50" s="16" t="inlineStr">
        <is>
          <t>Paid Social CVR/RPV</t>
        </is>
      </c>
      <c r="AP50" s="16" t="inlineStr">
        <is>
          <t>CAC, blended margin</t>
        </is>
      </c>
      <c r="AQ50" s="16" t="inlineStr">
        <is>
          <t>Unassigned</t>
        </is>
      </c>
      <c r="AR50" s="16" t="inlineStr">
        <is>
          <t>Backlog</t>
        </is>
      </c>
      <c r="AS50" s="16" t="inlineStr"/>
    </row>
    <row r="51">
      <c r="A51" s="20" t="inlineStr">
        <is>
          <t>ID30</t>
        </is>
      </c>
      <c r="B51" s="20" t="n">
        <v>48</v>
      </c>
      <c r="C51" s="19" t="inlineStr">
        <is>
          <t>Relaunch &amp; surface the Rewards programme at checkout</t>
        </is>
      </c>
      <c r="D51" s="25" t="inlineStr">
        <is>
          <t>Make the existing /rewards points programme visible: show points earned on PDP/cart ('Earn 120 pts'), redeem-at-checkout slider, and a post-purchase 'you earned X pts' nudge.</t>
        </is>
      </c>
      <c r="E51" s="19" t="inlineStr">
        <is>
          <t>Frequency</t>
        </is>
      </c>
      <c r="F51" s="19" t="inlineStr">
        <is>
          <t>Repeat Purchase</t>
        </is>
      </c>
      <c r="G51" s="19" t="inlineStr">
        <is>
          <t>Revenue from CRM audiences</t>
        </is>
      </c>
      <c r="H51" s="19" t="inlineStr">
        <is>
          <t>All buyers</t>
        </is>
      </c>
      <c r="I51" s="19" t="inlineStr">
        <is>
          <t>Repeat</t>
        </is>
      </c>
      <c r="J51" s="19" t="inlineStr">
        <is>
          <t>Cross-category</t>
        </is>
      </c>
      <c r="K51" s="19" t="inlineStr">
        <is>
          <t>Loyalty</t>
        </is>
      </c>
      <c r="L51" s="19" t="inlineStr">
        <is>
          <t>all</t>
        </is>
      </c>
      <c r="M51" s="19" t="inlineStr">
        <is>
          <t>PDP/cart/post-purchase</t>
        </is>
      </c>
      <c r="N51" s="19" t="inlineStr">
        <is>
          <t>Points earn/redeem</t>
        </is>
      </c>
      <c r="O51" s="19" t="inlineStr">
        <is>
          <t>PDP/Cart/Checkout/Thank-you</t>
        </is>
      </c>
      <c r="P51" s="19" t="inlineStr">
        <is>
          <t>Website/App/CRM</t>
        </is>
      </c>
      <c r="Q51" s="19" t="inlineStr">
        <is>
          <t>Retention</t>
        </is>
      </c>
      <c r="R51" s="19" t="inlineStr">
        <is>
          <t>Sugar points; Gymshark XP; Mokobara Moko Club</t>
        </is>
      </c>
      <c r="S51" s="19" t="inlineStr"/>
      <c r="T51" s="19" t="inlineStr">
        <is>
          <t>sugarcosmetics.com/pages/faqs</t>
        </is>
      </c>
      <c r="U51" s="25" t="inlineStr">
        <is>
          <t>OBS: DO has a /rewards + /trendingOffers programme but it is invisible in the buying flow; repeat cohort already drives 57% of revenue.</t>
        </is>
      </c>
      <c r="V51" s="25" t="inlineStr">
        <is>
          <t>Surfacing earn/redeem creates a reason to return and to complete now; leverages an asset that already exists.</t>
        </is>
      </c>
      <c r="W51" s="25" t="inlineStr">
        <is>
          <t>Joins/uses points; returns to redeem.</t>
        </is>
      </c>
      <c r="X51" s="19" t="inlineStr">
        <is>
          <t>Slight +</t>
        </is>
      </c>
      <c r="Y51" s="19" t="inlineStr">
        <is>
          <t>Neutral</t>
        </is>
      </c>
      <c r="Z51" s="19" t="inlineStr">
        <is>
          <t>Med</t>
        </is>
      </c>
      <c r="AA51" s="19" t="inlineStr">
        <is>
          <t>Neutral</t>
        </is>
      </c>
      <c r="AB51" s="20" t="inlineStr">
        <is>
          <t>N</t>
        </is>
      </c>
      <c r="AC51" s="26" t="n">
        <v>0</v>
      </c>
      <c r="AD51" s="20" t="inlineStr">
        <is>
          <t>N</t>
        </is>
      </c>
      <c r="AE51" s="19" t="inlineStr">
        <is>
          <t>Loyalty widget surfacing</t>
        </is>
      </c>
      <c r="AF51" s="19" t="inlineStr">
        <is>
          <t>Moderate</t>
        </is>
      </c>
      <c r="AG51" s="19" t="inlineStr">
        <is>
          <t>8-14 Days</t>
        </is>
      </c>
      <c r="AH51" s="20" t="n">
        <v>3</v>
      </c>
      <c r="AI51" s="20" t="n">
        <v>3</v>
      </c>
      <c r="AJ51" s="20" t="n">
        <v>3</v>
      </c>
      <c r="AK51" s="20" t="n">
        <v>3</v>
      </c>
      <c r="AL51" s="20" t="n">
        <v>4</v>
      </c>
      <c r="AM51" s="27">
        <f>ROUND(AH51*AI51*AJ51*AK51*AL51/3125*100,1)</f>
        <v/>
      </c>
      <c r="AN51" s="25" t="inlineStr">
        <is>
          <t>Points visibility vs hidden</t>
        </is>
      </c>
      <c r="AO51" s="19" t="inlineStr">
        <is>
          <t>Repeat rate, redemption</t>
        </is>
      </c>
      <c r="AP51" s="19" t="inlineStr">
        <is>
          <t>Points liability</t>
        </is>
      </c>
      <c r="AQ51" s="19" t="inlineStr">
        <is>
          <t>Unassigned</t>
        </is>
      </c>
      <c r="AR51" s="19" t="inlineStr">
        <is>
          <t>Backlog</t>
        </is>
      </c>
      <c r="AS51" s="19" t="inlineStr"/>
    </row>
    <row r="52">
      <c r="A52" s="10" t="inlineStr">
        <is>
          <t>ID34</t>
        </is>
      </c>
      <c r="B52" s="10" t="n">
        <v>49</v>
      </c>
      <c r="C52" s="16" t="inlineStr">
        <is>
          <t>Back-to-office / travel season carry push</t>
        </is>
      </c>
      <c r="D52" s="9" t="inlineStr">
        <is>
          <t>Seasonal 'Back to Office' &amp; 'Travel' edits bundling backpack + laptop sleeve + tech organiser + power bank; use-case merchandising ('Shop by use case').</t>
        </is>
      </c>
      <c r="E52" s="16" t="inlineStr">
        <is>
          <t>AOV</t>
        </is>
      </c>
      <c r="F52" s="16" t="inlineStr">
        <is>
          <t>Cross-category Purchase</t>
        </is>
      </c>
      <c r="G52" s="16" t="inlineStr">
        <is>
          <t>Category Penetration</t>
        </is>
      </c>
      <c r="H52" s="16" t="inlineStr">
        <is>
          <t>Commuters/travellers</t>
        </is>
      </c>
      <c r="I52" s="16" t="inlineStr">
        <is>
          <t>New &amp; Repeat</t>
        </is>
      </c>
      <c r="J52" s="16" t="inlineStr">
        <is>
          <t>Backpacks</t>
        </is>
      </c>
      <c r="K52" s="16" t="inlineStr">
        <is>
          <t>Use-case bundle</t>
        </is>
      </c>
      <c r="L52" s="16" t="inlineStr">
        <is>
          <t>1201,1204,1703,1809</t>
        </is>
      </c>
      <c r="M52" s="16" t="inlineStr">
        <is>
          <t>Season / travel intent</t>
        </is>
      </c>
      <c r="N52" s="16" t="inlineStr">
        <is>
          <t>Use-case kit</t>
        </is>
      </c>
      <c r="O52" s="16" t="inlineStr">
        <is>
          <t>Use-case hub + CRM</t>
        </is>
      </c>
      <c r="P52" s="16" t="inlineStr">
        <is>
          <t>All</t>
        </is>
      </c>
      <c r="Q52" s="16" t="inlineStr">
        <is>
          <t>Discovery</t>
        </is>
      </c>
      <c r="R52" s="16" t="inlineStr">
        <is>
          <t>Away travel bundles; Bellroy carry systems</t>
        </is>
      </c>
      <c r="S52" s="16" t="inlineStr"/>
      <c r="T52" s="16" t="inlineStr">
        <is>
          <t>awaytravel.com</t>
        </is>
      </c>
      <c r="U52" s="9" t="inlineStr">
        <is>
          <t>OBS: bags + sleeves + organisers + power banks are all sizeable; bags convert poorly solo (0.77% view-&gt;purchase) - use-case framing gives a reason.</t>
        </is>
      </c>
      <c r="V52" s="9" t="inlineStr">
        <is>
          <t>Use-case (not category) merchandising sells the whole solution and lifts multi-category baskets.</t>
        </is>
      </c>
      <c r="W52" s="9" t="inlineStr">
        <is>
          <t>Buys a carry solution, not one item.</t>
        </is>
      </c>
      <c r="X52" s="16" t="inlineStr">
        <is>
          <t>+</t>
        </is>
      </c>
      <c r="Y52" s="16" t="inlineStr">
        <is>
          <t>+</t>
        </is>
      </c>
      <c r="Z52" s="16" t="inlineStr">
        <is>
          <t>Med</t>
        </is>
      </c>
      <c r="AA52" s="16" t="inlineStr">
        <is>
          <t>Neutral</t>
        </is>
      </c>
      <c r="AB52" s="10" t="inlineStr">
        <is>
          <t>N</t>
        </is>
      </c>
      <c r="AC52" s="23" t="n">
        <v>0</v>
      </c>
      <c r="AD52" s="10" t="inlineStr">
        <is>
          <t>N</t>
        </is>
      </c>
      <c r="AE52" s="16" t="inlineStr">
        <is>
          <t>Merch collections</t>
        </is>
      </c>
      <c r="AF52" s="16" t="inlineStr">
        <is>
          <t>Moderate</t>
        </is>
      </c>
      <c r="AG52" s="16" t="inlineStr">
        <is>
          <t>8-14 Days</t>
        </is>
      </c>
      <c r="AH52" s="10" t="n">
        <v>3</v>
      </c>
      <c r="AI52" s="10" t="n">
        <v>3</v>
      </c>
      <c r="AJ52" s="10" t="n">
        <v>3</v>
      </c>
      <c r="AK52" s="10" t="n">
        <v>3</v>
      </c>
      <c r="AL52" s="10" t="n">
        <v>4</v>
      </c>
      <c r="AM52" s="24">
        <f>ROUND(AH52*AI52*AJ52*AK52*AL52/3125*100,1)</f>
        <v/>
      </c>
      <c r="AN52" s="9" t="inlineStr">
        <is>
          <t>Use-case hub vs category browse</t>
        </is>
      </c>
      <c r="AO52" s="16" t="inlineStr">
        <is>
          <t>Multi-cat orders</t>
        </is>
      </c>
      <c r="AP52" s="16" t="inlineStr">
        <is>
          <t>CVR</t>
        </is>
      </c>
      <c r="AQ52" s="16" t="inlineStr">
        <is>
          <t>Unassigned</t>
        </is>
      </c>
      <c r="AR52" s="16" t="inlineStr">
        <is>
          <t>Backlog</t>
        </is>
      </c>
      <c r="AS52" s="16" t="inlineStr"/>
    </row>
    <row r="53">
      <c r="A53" s="20" t="inlineStr">
        <is>
          <t>ID36</t>
        </is>
      </c>
      <c r="B53" s="20" t="n">
        <v>50</v>
      </c>
      <c r="C53" s="19" t="inlineStr">
        <is>
          <t>Mystery / choice-of-gift at premium threshold</t>
        </is>
      </c>
      <c r="D53" s="25" t="inlineStr">
        <is>
          <t>At a high threshold (e.g. Rs3,999) let customers CHOOSE their free gift from 3 options, or a 'mystery gift'; limited-inventory framing.</t>
        </is>
      </c>
      <c r="E53" s="19" t="inlineStr">
        <is>
          <t>AOV</t>
        </is>
      </c>
      <c r="F53" s="19" t="inlineStr">
        <is>
          <t>AOV</t>
        </is>
      </c>
      <c r="G53" s="19" t="inlineStr">
        <is>
          <t>Units per Transaction</t>
        </is>
      </c>
      <c r="H53" s="19" t="inlineStr">
        <is>
          <t>Higher-AOV carts</t>
        </is>
      </c>
      <c r="I53" s="19" t="inlineStr">
        <is>
          <t>New &amp; Repeat</t>
        </is>
      </c>
      <c r="J53" s="19" t="inlineStr">
        <is>
          <t>Cross-category</t>
        </is>
      </c>
      <c r="K53" s="19" t="inlineStr">
        <is>
          <t>Choice GWP</t>
        </is>
      </c>
      <c r="L53" s="19" t="inlineStr">
        <is>
          <t>ladder</t>
        </is>
      </c>
      <c r="M53" s="19" t="inlineStr">
        <is>
          <t>Cart near Rs3,999</t>
        </is>
      </c>
      <c r="N53" s="19" t="inlineStr">
        <is>
          <t>Choice/mystery gift</t>
        </is>
      </c>
      <c r="O53" s="19" t="inlineStr">
        <is>
          <t>Cart</t>
        </is>
      </c>
      <c r="P53" s="19" t="inlineStr">
        <is>
          <t>Website/App</t>
        </is>
      </c>
      <c r="Q53" s="19" t="inlineStr">
        <is>
          <t>Cart</t>
        </is>
      </c>
      <c r="R53" s="19" t="inlineStr">
        <is>
          <t>Sugar/Mamaearth GWP; beauty choice-gift</t>
        </is>
      </c>
      <c r="S53" s="19" t="inlineStr"/>
      <c r="T53" s="19" t="inlineStr">
        <is>
          <t>grabon.in/mamaearth</t>
        </is>
      </c>
      <c r="U53" s="25" t="inlineStr">
        <is>
          <t>INF: choice increases perceived value &amp; engagement vs fixed GWP; complements ID06 ladder at the top rung.</t>
        </is>
      </c>
      <c r="V53" s="25" t="inlineStr">
        <is>
          <t>Agency over the gift raises perceived value and pushes premium baskets past the top rung.</t>
        </is>
      </c>
      <c r="W53" s="25" t="inlineStr">
        <is>
          <t>Builds basket to Rs3,999 to pick a gift.</t>
        </is>
      </c>
      <c r="X53" s="19" t="inlineStr">
        <is>
          <t>Neutral</t>
        </is>
      </c>
      <c r="Y53" s="19" t="inlineStr">
        <is>
          <t>+</t>
        </is>
      </c>
      <c r="Z53" s="19" t="inlineStr">
        <is>
          <t>Med</t>
        </is>
      </c>
      <c r="AA53" s="19" t="inlineStr">
        <is>
          <t>Neutral</t>
        </is>
      </c>
      <c r="AB53" s="20" t="inlineStr">
        <is>
          <t>N</t>
        </is>
      </c>
      <c r="AC53" s="26" t="n">
        <v>0</v>
      </c>
      <c r="AD53" s="20" t="inlineStr">
        <is>
          <t>Y</t>
        </is>
      </c>
      <c r="AE53" s="19" t="inlineStr">
        <is>
          <t>Cart GWP engine</t>
        </is>
      </c>
      <c r="AF53" s="19" t="inlineStr">
        <is>
          <t>Moderate</t>
        </is>
      </c>
      <c r="AG53" s="19" t="inlineStr">
        <is>
          <t>8-14 Days</t>
        </is>
      </c>
      <c r="AH53" s="20" t="n">
        <v>3</v>
      </c>
      <c r="AI53" s="20" t="n">
        <v>3</v>
      </c>
      <c r="AJ53" s="20" t="n">
        <v>3</v>
      </c>
      <c r="AK53" s="20" t="n">
        <v>3</v>
      </c>
      <c r="AL53" s="20" t="n">
        <v>4</v>
      </c>
      <c r="AM53" s="27">
        <f>ROUND(AH53*AI53*AJ53*AK53*AL53/3125*100,1)</f>
        <v/>
      </c>
      <c r="AN53" s="25" t="inlineStr">
        <is>
          <t>Choice vs fixed GWP at top rung</t>
        </is>
      </c>
      <c r="AO53" s="19" t="inlineStr">
        <is>
          <t>% carts hitting Rs3,999</t>
        </is>
      </c>
      <c r="AP53" s="19" t="inlineStr">
        <is>
          <t>Gift COGS</t>
        </is>
      </c>
      <c r="AQ53" s="19" t="inlineStr">
        <is>
          <t>Unassigned</t>
        </is>
      </c>
      <c r="AR53" s="19" t="inlineStr">
        <is>
          <t>Backlog</t>
        </is>
      </c>
      <c r="AS53" s="19" t="inlineStr"/>
    </row>
    <row r="54">
      <c r="A54" s="10" t="inlineStr">
        <is>
          <t>ID52</t>
        </is>
      </c>
      <c r="B54" s="10" t="n">
        <v>51</v>
      </c>
      <c r="C54" s="16" t="inlineStr">
        <is>
          <t>Category-penetration nudge for single-category repeat buyers</t>
        </is>
      </c>
      <c r="D54" s="9" t="inlineStr">
        <is>
          <t>Identify buyers who only ever buy one category (e.g. only cases) and CRM-introduce the adjacent category (chargers, organisers) with a first-in-category incentive.</t>
        </is>
      </c>
      <c r="E54" s="16" t="inlineStr">
        <is>
          <t>Category Penetration</t>
        </is>
      </c>
      <c r="F54" s="16" t="inlineStr">
        <is>
          <t>Cross-category Purchase</t>
        </is>
      </c>
      <c r="G54" s="16" t="inlineStr">
        <is>
          <t>Repeat Purchase</t>
        </is>
      </c>
      <c r="H54" s="16" t="inlineStr">
        <is>
          <t>Single-category repeat buyers</t>
        </is>
      </c>
      <c r="I54" s="16" t="inlineStr">
        <is>
          <t>O2/O3+</t>
        </is>
      </c>
      <c r="J54" s="16" t="inlineStr">
        <is>
          <t>Cross-category</t>
        </is>
      </c>
      <c r="K54" s="16" t="inlineStr">
        <is>
          <t>Category penetration</t>
        </is>
      </c>
      <c r="L54" s="16" t="inlineStr">
        <is>
          <t>adjacent</t>
        </is>
      </c>
      <c r="M54" s="16" t="inlineStr">
        <is>
          <t>2+ orders in one category only</t>
        </is>
      </c>
      <c r="N54" s="16" t="inlineStr">
        <is>
          <t>First-in-new-category incentive</t>
        </is>
      </c>
      <c r="O54" s="16" t="inlineStr">
        <is>
          <t>Email/SMS</t>
        </is>
      </c>
      <c r="P54" s="16" t="inlineStr">
        <is>
          <t>CRM</t>
        </is>
      </c>
      <c r="Q54" s="16" t="inlineStr">
        <is>
          <t>Retention</t>
        </is>
      </c>
      <c r="R54" s="16" t="inlineStr">
        <is>
          <t>Peak Design ecosystem expansion</t>
        </is>
      </c>
      <c r="S54" s="16" t="inlineStr"/>
      <c r="T54" s="16" t="inlineStr">
        <is>
          <t>internal best practice</t>
        </is>
      </c>
      <c r="U54" s="9" t="inlineStr">
        <is>
          <t>INF: many DO buyers likely mono-category (cases); expanding them into power/organisers/bags raises LTV.</t>
        </is>
      </c>
      <c r="V54" s="9" t="inlineStr">
        <is>
          <t>Cross-category adoption is the strongest LTV driver; targeting mono-buyers is efficient.</t>
        </is>
      </c>
      <c r="W54" s="9" t="inlineStr">
        <is>
          <t>Buys a second category.</t>
        </is>
      </c>
      <c r="X54" s="16" t="inlineStr">
        <is>
          <t>Neutral</t>
        </is>
      </c>
      <c r="Y54" s="16" t="inlineStr">
        <is>
          <t>Neutral</t>
        </is>
      </c>
      <c r="Z54" s="16" t="inlineStr">
        <is>
          <t>Med</t>
        </is>
      </c>
      <c r="AA54" s="16" t="inlineStr">
        <is>
          <t>Neutral</t>
        </is>
      </c>
      <c r="AB54" s="10" t="inlineStr">
        <is>
          <t>Y</t>
        </is>
      </c>
      <c r="AC54" s="23" t="n">
        <v>0.1</v>
      </c>
      <c r="AD54" s="10" t="inlineStr">
        <is>
          <t>N</t>
        </is>
      </c>
      <c r="AE54" s="16" t="inlineStr">
        <is>
          <t>CRM segments</t>
        </is>
      </c>
      <c r="AF54" s="16" t="inlineStr">
        <is>
          <t>Moderate</t>
        </is>
      </c>
      <c r="AG54" s="16" t="inlineStr">
        <is>
          <t>8-14 Days</t>
        </is>
      </c>
      <c r="AH54" s="10" t="n">
        <v>3</v>
      </c>
      <c r="AI54" s="10" t="n">
        <v>3</v>
      </c>
      <c r="AJ54" s="10" t="n">
        <v>3</v>
      </c>
      <c r="AK54" s="10" t="n">
        <v>3</v>
      </c>
      <c r="AL54" s="10" t="n">
        <v>4</v>
      </c>
      <c r="AM54" s="24">
        <f>ROUND(AH54*AI54*AJ54*AK54*AL54/3125*100,1)</f>
        <v/>
      </c>
      <c r="AN54" s="9" t="inlineStr">
        <is>
          <t>Cross-cat intro vs holdout</t>
        </is>
      </c>
      <c r="AO54" s="16" t="inlineStr">
        <is>
          <t>Cross-category rate</t>
        </is>
      </c>
      <c r="AP54" s="16" t="inlineStr">
        <is>
          <t>Discount ROI</t>
        </is>
      </c>
      <c r="AQ54" s="16" t="inlineStr">
        <is>
          <t>Unassigned</t>
        </is>
      </c>
      <c r="AR54" s="16" t="inlineStr">
        <is>
          <t>Backlog</t>
        </is>
      </c>
      <c r="AS54" s="16" t="inlineStr"/>
    </row>
    <row r="55">
      <c r="A55" s="20" t="inlineStr">
        <is>
          <t>ID54</t>
        </is>
      </c>
      <c r="B55" s="20" t="n">
        <v>52</v>
      </c>
      <c r="C55" s="19" t="inlineStr">
        <is>
          <t>Festive/Big-sale AOV architecture (not just % off)</t>
        </is>
      </c>
      <c r="D55" s="25" t="inlineStr">
        <is>
          <t>For the next big sale, lead with GWP ladders, bundles and prepaid/UPI offers rather than only sitewide % off; cap markdowns on hero SKUs and push bundles as the 'best deal'.</t>
        </is>
      </c>
      <c r="E55" s="19" t="inlineStr">
        <is>
          <t>AOV</t>
        </is>
      </c>
      <c r="F55" s="19" t="inlineStr">
        <is>
          <t>AOV</t>
        </is>
      </c>
      <c r="G55" s="19" t="inlineStr">
        <is>
          <t>Contribution margin</t>
        </is>
      </c>
      <c r="H55" s="19" t="inlineStr">
        <is>
          <t>Sale shoppers</t>
        </is>
      </c>
      <c r="I55" s="19" t="inlineStr">
        <is>
          <t>New &amp; Repeat</t>
        </is>
      </c>
      <c r="J55" s="19" t="inlineStr">
        <is>
          <t>Cross-category</t>
        </is>
      </c>
      <c r="K55" s="19" t="inlineStr">
        <is>
          <t>Sale architecture</t>
        </is>
      </c>
      <c r="L55" s="19" t="inlineStr">
        <is>
          <t>all</t>
        </is>
      </c>
      <c r="M55" s="19" t="inlineStr">
        <is>
          <t>Sale event</t>
        </is>
      </c>
      <c r="N55" s="19" t="inlineStr">
        <is>
          <t>GWP + bundles + payment offers</t>
        </is>
      </c>
      <c r="O55" s="19" t="inlineStr">
        <is>
          <t>Sale hub + cart</t>
        </is>
      </c>
      <c r="P55" s="19" t="inlineStr">
        <is>
          <t>All</t>
        </is>
      </c>
      <c r="Q55" s="19" t="inlineStr">
        <is>
          <t>Full funnel</t>
        </is>
      </c>
      <c r="R55" s="19" t="inlineStr">
        <is>
          <t>dbrand no-stack bundle-as-best-deal; Casetify escalator in sale</t>
        </is>
      </c>
      <c r="S55" s="19" t="inlineStr"/>
      <c r="T55" s="19" t="inlineStr">
        <is>
          <t>dbrand.knoji.com</t>
        </is>
      </c>
      <c r="U55" s="25" t="inlineStr">
        <is>
          <t>OBS: March 2026 spike (Rs271M, 2.9x avg month) shows DO already has big-sale muscle; architecting for AOV/margin (not pure discount) protects contribution.</t>
        </is>
      </c>
      <c r="V55" s="25" t="inlineStr">
        <is>
          <t>Sales drive volume; steering that volume into bundles/GWP/prepaid protects margin and lifts AOV.</t>
        </is>
      </c>
      <c r="W55" s="25" t="inlineStr">
        <is>
          <t>Buys bundles at sale, not just cheapest item.</t>
        </is>
      </c>
      <c r="X55" s="19" t="inlineStr">
        <is>
          <t>+</t>
        </is>
      </c>
      <c r="Y55" s="19" t="inlineStr">
        <is>
          <t>+</t>
        </is>
      </c>
      <c r="Z55" s="19" t="inlineStr">
        <is>
          <t>High (event)</t>
        </is>
      </c>
      <c r="AA55" s="19" t="inlineStr">
        <is>
          <t>Protects margin vs % off</t>
        </is>
      </c>
      <c r="AB55" s="20" t="inlineStr">
        <is>
          <t>Y</t>
        </is>
      </c>
      <c r="AC55" s="26" t="n">
        <v>0.1</v>
      </c>
      <c r="AD55" s="20" t="inlineStr">
        <is>
          <t>Y</t>
        </is>
      </c>
      <c r="AE55" s="19" t="inlineStr">
        <is>
          <t>Sale merch + cart rules</t>
        </is>
      </c>
      <c r="AF55" s="19" t="inlineStr">
        <is>
          <t>Moderate</t>
        </is>
      </c>
      <c r="AG55" s="19" t="inlineStr">
        <is>
          <t>15-30 Days</t>
        </is>
      </c>
      <c r="AH55" s="20" t="n">
        <v>4</v>
      </c>
      <c r="AI55" s="20" t="n">
        <v>3</v>
      </c>
      <c r="AJ55" s="20" t="n">
        <v>3</v>
      </c>
      <c r="AK55" s="20" t="n">
        <v>2</v>
      </c>
      <c r="AL55" s="20" t="n">
        <v>4</v>
      </c>
      <c r="AM55" s="27">
        <f>ROUND(AH55*AI55*AJ55*AK55*AL55/3125*100,1)</f>
        <v/>
      </c>
      <c r="AN55" s="25" t="inlineStr">
        <is>
          <t>AOV-led sale mechanics vs % -led</t>
        </is>
      </c>
      <c r="AO55" s="19" t="inlineStr">
        <is>
          <t>Sale AOV, contribution</t>
        </is>
      </c>
      <c r="AP55" s="19" t="inlineStr">
        <is>
          <t>Volume, margin</t>
        </is>
      </c>
      <c r="AQ55" s="19" t="inlineStr">
        <is>
          <t>Unassigned</t>
        </is>
      </c>
      <c r="AR55" s="19" t="inlineStr">
        <is>
          <t>Backlog</t>
        </is>
      </c>
      <c r="AS55" s="19" t="inlineStr"/>
    </row>
    <row r="56">
      <c r="A56" s="10" t="inlineStr">
        <is>
          <t>ID41</t>
        </is>
      </c>
      <c r="B56" s="10" t="n">
        <v>53</v>
      </c>
      <c r="C56" s="16" t="inlineStr">
        <is>
          <t>Wishlist -&gt; nudge &amp; share</t>
        </is>
      </c>
      <c r="D56" s="9" t="inlineStr">
        <is>
          <t>Add/strengthen wishlist with price-drop + low-stock nudges and 'share your wishlist' (gift hinting) for occasions.</t>
        </is>
      </c>
      <c r="E56" s="16" t="inlineStr">
        <is>
          <t>CVR</t>
        </is>
      </c>
      <c r="F56" s="16" t="inlineStr">
        <is>
          <t>Repeat Purchase</t>
        </is>
      </c>
      <c r="G56" s="16" t="inlineStr">
        <is>
          <t>Revenue from CRM audiences</t>
        </is>
      </c>
      <c r="H56" s="16" t="inlineStr">
        <is>
          <t>Logged-in browsers</t>
        </is>
      </c>
      <c r="I56" s="16" t="inlineStr">
        <is>
          <t>Repeat</t>
        </is>
      </c>
      <c r="J56" s="16" t="inlineStr">
        <is>
          <t>Cross-category</t>
        </is>
      </c>
      <c r="K56" s="16" t="inlineStr">
        <is>
          <t>Wishlist</t>
        </is>
      </c>
      <c r="L56" s="16" t="inlineStr">
        <is>
          <t>all</t>
        </is>
      </c>
      <c r="M56" s="16" t="inlineStr">
        <is>
          <t>Wishlist add</t>
        </is>
      </c>
      <c r="N56" s="16" t="inlineStr">
        <is>
          <t>Price-drop/stock nudge</t>
        </is>
      </c>
      <c r="O56" s="16" t="inlineStr">
        <is>
          <t>Wishlist + CRM</t>
        </is>
      </c>
      <c r="P56" s="16" t="inlineStr">
        <is>
          <t>Website/App/CRM</t>
        </is>
      </c>
      <c r="Q56" s="16" t="inlineStr">
        <is>
          <t>Consideration</t>
        </is>
      </c>
      <c r="R56" s="16" t="inlineStr">
        <is>
          <t>Standard wishlist triggers</t>
        </is>
      </c>
      <c r="S56" s="16" t="inlineStr"/>
      <c r="T56" s="16" t="inlineStr">
        <is>
          <t>internal best practice</t>
        </is>
      </c>
      <c r="U56" s="9" t="inlineStr">
        <is>
          <t>INF: gifting + considered categories (bags, power banks) benefit from save-for-later + gift hinting.</t>
        </is>
      </c>
      <c r="V56" s="9" t="inlineStr">
        <is>
          <t>Wishlists capture intent and enable triggered, high-relevance nudges + gifting demand.</t>
        </is>
      </c>
      <c r="W56" s="9" t="inlineStr">
        <is>
          <t>Saves, returns via nudge, or receives as gift.</t>
        </is>
      </c>
      <c r="X56" s="16" t="inlineStr">
        <is>
          <t>Slight +</t>
        </is>
      </c>
      <c r="Y56" s="16" t="inlineStr">
        <is>
          <t>Neutral</t>
        </is>
      </c>
      <c r="Z56" s="16" t="inlineStr">
        <is>
          <t>Low-Med</t>
        </is>
      </c>
      <c r="AA56" s="16" t="inlineStr">
        <is>
          <t>Accretive</t>
        </is>
      </c>
      <c r="AB56" s="10" t="inlineStr">
        <is>
          <t>N</t>
        </is>
      </c>
      <c r="AC56" s="23" t="n">
        <v>0</v>
      </c>
      <c r="AD56" s="10" t="inlineStr">
        <is>
          <t>N</t>
        </is>
      </c>
      <c r="AE56" s="16" t="inlineStr">
        <is>
          <t>Wishlist + CRM</t>
        </is>
      </c>
      <c r="AF56" s="16" t="inlineStr">
        <is>
          <t>Moderate</t>
        </is>
      </c>
      <c r="AG56" s="16" t="inlineStr">
        <is>
          <t>8-14 Days</t>
        </is>
      </c>
      <c r="AH56" s="10" t="n">
        <v>2</v>
      </c>
      <c r="AI56" s="10" t="n">
        <v>3</v>
      </c>
      <c r="AJ56" s="10" t="n">
        <v>3</v>
      </c>
      <c r="AK56" s="10" t="n">
        <v>3</v>
      </c>
      <c r="AL56" s="10" t="n">
        <v>5</v>
      </c>
      <c r="AM56" s="24">
        <f>ROUND(AH56*AI56*AJ56*AK56*AL56/3125*100,1)</f>
        <v/>
      </c>
      <c r="AN56" s="9" t="inlineStr">
        <is>
          <t>Wishlist nudges vs none</t>
        </is>
      </c>
      <c r="AO56" s="16" t="inlineStr">
        <is>
          <t>Wishlist conversion</t>
        </is>
      </c>
      <c r="AP56" s="16" t="inlineStr">
        <is>
          <t>Send fatigue</t>
        </is>
      </c>
      <c r="AQ56" s="16" t="inlineStr">
        <is>
          <t>Unassigned</t>
        </is>
      </c>
      <c r="AR56" s="16" t="inlineStr">
        <is>
          <t>Backlog</t>
        </is>
      </c>
      <c r="AS56" s="16" t="inlineStr"/>
    </row>
    <row r="57">
      <c r="A57" s="20" t="inlineStr">
        <is>
          <t>ID55</t>
        </is>
      </c>
      <c r="B57" s="20" t="n">
        <v>54</v>
      </c>
      <c r="C57" s="19" t="inlineStr">
        <is>
          <t>Tablet/desktop high-AOV experience polish</t>
        </is>
      </c>
      <c r="D57" s="25" t="inlineStr">
        <is>
          <t>For desktop/tablet (higher CVR + AOV), lean into richer bundle/kit merchandising and 'complete the setup' since these users buy bigger baskets.</t>
        </is>
      </c>
      <c r="E57" s="19" t="inlineStr">
        <is>
          <t>AOV</t>
        </is>
      </c>
      <c r="F57" s="19" t="inlineStr">
        <is>
          <t>AOV</t>
        </is>
      </c>
      <c r="G57" s="19" t="inlineStr">
        <is>
          <t>Conversion Rate</t>
        </is>
      </c>
      <c r="H57" s="19" t="inlineStr">
        <is>
          <t>Desktop/tablet users</t>
        </is>
      </c>
      <c r="I57" s="19" t="inlineStr">
        <is>
          <t>New &amp; Repeat</t>
        </is>
      </c>
      <c r="J57" s="19" t="inlineStr">
        <is>
          <t>Cross-category</t>
        </is>
      </c>
      <c r="K57" s="19" t="inlineStr">
        <is>
          <t>Device-tailored merch</t>
        </is>
      </c>
      <c r="L57" s="19" t="inlineStr">
        <is>
          <t>bundles</t>
        </is>
      </c>
      <c r="M57" s="19" t="inlineStr">
        <is>
          <t>Desktop/tablet session</t>
        </is>
      </c>
      <c r="N57" s="19" t="inlineStr">
        <is>
          <t>Kit/bundle emphasis</t>
        </is>
      </c>
      <c r="O57" s="19" t="inlineStr">
        <is>
          <t>Desktop PDP/PLP</t>
        </is>
      </c>
      <c r="P57" s="19" t="inlineStr">
        <is>
          <t>Website</t>
        </is>
      </c>
      <c r="Q57" s="19" t="inlineStr">
        <is>
          <t>Consideration</t>
        </is>
      </c>
      <c r="R57" s="19" t="inlineStr">
        <is>
          <t>Device-tailored merch best practice</t>
        </is>
      </c>
      <c r="S57" s="19" t="inlineStr"/>
      <c r="T57" s="19" t="inlineStr">
        <is>
          <t>internal best practice</t>
        </is>
      </c>
      <c r="U57" s="25" t="inlineStr">
        <is>
          <t>OBS: Desktop CVR 1.96% &amp; AOV Rs2,784 &gt; mobile; desktop users are more considered/higher-value - lean bundles there.</t>
        </is>
      </c>
      <c r="V57" s="25" t="inlineStr">
        <is>
          <t>Match merchandising depth to the higher-intent, higher-AOV device audience.</t>
        </is>
      </c>
      <c r="W57" s="25" t="inlineStr">
        <is>
          <t>Builds bigger baskets on desktop.</t>
        </is>
      </c>
      <c r="X57" s="19" t="inlineStr">
        <is>
          <t>Neutral</t>
        </is>
      </c>
      <c r="Y57" s="19" t="inlineStr">
        <is>
          <t>+</t>
        </is>
      </c>
      <c r="Z57" s="19" t="inlineStr">
        <is>
          <t>Low-Med</t>
        </is>
      </c>
      <c r="AA57" s="19" t="inlineStr">
        <is>
          <t>Accretive</t>
        </is>
      </c>
      <c r="AB57" s="20" t="inlineStr">
        <is>
          <t>N</t>
        </is>
      </c>
      <c r="AC57" s="26" t="n">
        <v>0</v>
      </c>
      <c r="AD57" s="20" t="inlineStr">
        <is>
          <t>N</t>
        </is>
      </c>
      <c r="AE57" s="19" t="inlineStr">
        <is>
          <t>Responsive merch</t>
        </is>
      </c>
      <c r="AF57" s="19" t="inlineStr">
        <is>
          <t>Moderate</t>
        </is>
      </c>
      <c r="AG57" s="19" t="inlineStr">
        <is>
          <t>8-14 Days</t>
        </is>
      </c>
      <c r="AH57" s="20" t="n">
        <v>2</v>
      </c>
      <c r="AI57" s="20" t="n">
        <v>3</v>
      </c>
      <c r="AJ57" s="20" t="n">
        <v>3</v>
      </c>
      <c r="AK57" s="20" t="n">
        <v>3</v>
      </c>
      <c r="AL57" s="20" t="n">
        <v>5</v>
      </c>
      <c r="AM57" s="27">
        <f>ROUND(AH57*AI57*AJ57*AK57*AL57/3125*100,1)</f>
        <v/>
      </c>
      <c r="AN57" s="25" t="inlineStr">
        <is>
          <t>Bundle-heavy desktop vs control</t>
        </is>
      </c>
      <c r="AO57" s="19" t="inlineStr">
        <is>
          <t>Desktop AOV</t>
        </is>
      </c>
      <c r="AP57" s="19" t="inlineStr">
        <is>
          <t>CVR</t>
        </is>
      </c>
      <c r="AQ57" s="19" t="inlineStr">
        <is>
          <t>Unassigned</t>
        </is>
      </c>
      <c r="AR57" s="19" t="inlineStr">
        <is>
          <t>Backlog</t>
        </is>
      </c>
      <c r="AS57" s="19" t="inlineStr"/>
    </row>
    <row r="58">
      <c r="A58" s="10" t="inlineStr">
        <is>
          <t>ID31</t>
        </is>
      </c>
      <c r="B58" s="10" t="n">
        <v>55</v>
      </c>
      <c r="C58" s="16" t="inlineStr">
        <is>
          <t>Referral give-get programme</t>
        </is>
      </c>
      <c r="D58" s="9" t="inlineStr">
        <is>
          <t>Launch 'Give Rs200, Get Rs200' referral with prepaid-instant / COD-post-delivery guard; promote on thank-you page + account + CRM.</t>
        </is>
      </c>
      <c r="E58" s="16" t="inlineStr">
        <is>
          <t>New User Conversion</t>
        </is>
      </c>
      <c r="F58" s="16" t="inlineStr">
        <is>
          <t>New User Conversion</t>
        </is>
      </c>
      <c r="G58" s="16" t="inlineStr">
        <is>
          <t>Repeat Purchase</t>
        </is>
      </c>
      <c r="H58" s="16" t="inlineStr">
        <is>
          <t>Existing buyers</t>
        </is>
      </c>
      <c r="I58" s="16" t="inlineStr">
        <is>
          <t>Repeat</t>
        </is>
      </c>
      <c r="J58" s="16" t="inlineStr">
        <is>
          <t>Cross-category</t>
        </is>
      </c>
      <c r="K58" s="16" t="inlineStr">
        <is>
          <t>Referral</t>
        </is>
      </c>
      <c r="L58" s="16" t="inlineStr">
        <is>
          <t>all</t>
        </is>
      </c>
      <c r="M58" s="16" t="inlineStr">
        <is>
          <t>Post-purchase / account</t>
        </is>
      </c>
      <c r="N58" s="16" t="inlineStr">
        <is>
          <t>Give Rs200 / Get Rs200</t>
        </is>
      </c>
      <c r="O58" s="16" t="inlineStr">
        <is>
          <t>Thank-you + account + CRM</t>
        </is>
      </c>
      <c r="P58" s="16" t="inlineStr">
        <is>
          <t>CRM/Website</t>
        </is>
      </c>
      <c r="Q58" s="16" t="inlineStr">
        <is>
          <t>Retention/Acquisition</t>
        </is>
      </c>
      <c r="R58" s="16" t="inlineStr">
        <is>
          <t>Mokobara give-get; Sugar 750pts referral</t>
        </is>
      </c>
      <c r="S58" s="16" t="inlineStr"/>
      <c r="T58" s="16" t="inlineStr">
        <is>
          <t>grabon.in/sugar-cosmetics</t>
        </is>
      </c>
      <c r="U58" s="9" t="inlineStr">
        <is>
          <t>INF: repeat customers are strong advocates (high review counts); referral is CAC-efficient vs Paid Social RPV Rs9.3.</t>
        </is>
      </c>
      <c r="V58" s="9" t="inlineStr">
        <is>
          <t>Referral acquires lookalike buyers at low CAC and gives repeat buyers a reason to re-engage.</t>
        </is>
      </c>
      <c r="W58" s="9" t="inlineStr">
        <is>
          <t>Refers friends; both purchase.</t>
        </is>
      </c>
      <c r="X58" s="16" t="inlineStr">
        <is>
          <t>+</t>
        </is>
      </c>
      <c r="Y58" s="16" t="inlineStr">
        <is>
          <t>Neutral</t>
        </is>
      </c>
      <c r="Z58" s="16" t="inlineStr">
        <is>
          <t>Med</t>
        </is>
      </c>
      <c r="AA58" s="16" t="inlineStr">
        <is>
          <t>Dilutive (both-side credit)</t>
        </is>
      </c>
      <c r="AB58" s="10" t="inlineStr">
        <is>
          <t>Y</t>
        </is>
      </c>
      <c r="AC58" s="23" t="n">
        <v>0.1</v>
      </c>
      <c r="AD58" s="10" t="inlineStr">
        <is>
          <t>N</t>
        </is>
      </c>
      <c r="AE58" s="16" t="inlineStr">
        <is>
          <t>Referral platform</t>
        </is>
      </c>
      <c r="AF58" s="16" t="inlineStr">
        <is>
          <t>Moderate</t>
        </is>
      </c>
      <c r="AG58" s="16" t="inlineStr">
        <is>
          <t>8-14 Days</t>
        </is>
      </c>
      <c r="AH58" s="10" t="n">
        <v>3</v>
      </c>
      <c r="AI58" s="10" t="n">
        <v>3</v>
      </c>
      <c r="AJ58" s="10" t="n">
        <v>3</v>
      </c>
      <c r="AK58" s="10" t="n">
        <v>3</v>
      </c>
      <c r="AL58" s="10" t="n">
        <v>3</v>
      </c>
      <c r="AM58" s="24">
        <f>ROUND(AH58*AI58*AJ58*AK58*AL58/3125*100,1)</f>
        <v/>
      </c>
      <c r="AN58" s="9" t="inlineStr">
        <is>
          <t>Referral launch, track K-factor</t>
        </is>
      </c>
      <c r="AO58" s="16" t="inlineStr">
        <is>
          <t>Referred orders, CAC</t>
        </is>
      </c>
      <c r="AP58" s="16" t="inlineStr">
        <is>
          <t>Fraud, margin</t>
        </is>
      </c>
      <c r="AQ58" s="16" t="inlineStr">
        <is>
          <t>Unassigned</t>
        </is>
      </c>
      <c r="AR58" s="16" t="inlineStr">
        <is>
          <t>Backlog</t>
        </is>
      </c>
      <c r="AS58" s="16" t="inlineStr"/>
    </row>
    <row r="59">
      <c r="A59" s="20" t="inlineStr">
        <is>
          <t>ID45</t>
        </is>
      </c>
      <c r="B59" s="20" t="n">
        <v>56</v>
      </c>
      <c r="C59" s="19" t="inlineStr">
        <is>
          <t>'Complete the set' for wallets &amp; EDC gifting</t>
        </is>
      </c>
      <c r="D59" s="25" t="inlineStr">
        <is>
          <t>Bundle wallet + card holder + keychain as an EDC/gifting set; push in gifting hub and to men's-wallet buyers.</t>
        </is>
      </c>
      <c r="E59" s="19" t="inlineStr">
        <is>
          <t>AOV</t>
        </is>
      </c>
      <c r="F59" s="19" t="inlineStr">
        <is>
          <t>Cross-category Purchase</t>
        </is>
      </c>
      <c r="G59" s="19" t="inlineStr">
        <is>
          <t>AOV</t>
        </is>
      </c>
      <c r="H59" s="19" t="inlineStr">
        <is>
          <t>Wallet/gift buyers</t>
        </is>
      </c>
      <c r="I59" s="19" t="inlineStr">
        <is>
          <t>New &amp; Repeat</t>
        </is>
      </c>
      <c r="J59" s="19" t="inlineStr">
        <is>
          <t>Wallets</t>
        </is>
      </c>
      <c r="K59" s="19" t="inlineStr">
        <is>
          <t>EDC set</t>
        </is>
      </c>
      <c r="L59" s="19" t="inlineStr">
        <is>
          <t>1301,1304,1305</t>
        </is>
      </c>
      <c r="M59" s="19" t="inlineStr">
        <is>
          <t>Wallet PDP</t>
        </is>
      </c>
      <c r="N59" s="19" t="inlineStr">
        <is>
          <t>EDC set -12%</t>
        </is>
      </c>
      <c r="O59" s="19" t="inlineStr">
        <is>
          <t>PDP + gifting hub</t>
        </is>
      </c>
      <c r="P59" s="19" t="inlineStr">
        <is>
          <t>Website/App</t>
        </is>
      </c>
      <c r="Q59" s="19" t="inlineStr">
        <is>
          <t>Consideration</t>
        </is>
      </c>
      <c r="R59" s="19" t="inlineStr">
        <is>
          <t>Ridge kits; Bellroy value sets</t>
        </is>
      </c>
      <c r="S59" s="19" t="inlineStr"/>
      <c r="T59" s="19" t="inlineStr">
        <is>
          <t>ridge.com/collections/kits</t>
        </is>
      </c>
      <c r="U59" s="25" t="inlineStr">
        <is>
          <t>OBS: wallets (13xx) ~Rs28M and gifting under-activated; wallets are a classic giftable EDC set.</t>
        </is>
      </c>
      <c r="V59" s="25" t="inlineStr">
        <is>
          <t>Wallets are gifted as sets; bundling lifts a small but giftable category.</t>
        </is>
      </c>
      <c r="W59" s="25" t="inlineStr">
        <is>
          <t>Buys EDC set / gift.</t>
        </is>
      </c>
      <c r="X59" s="19" t="inlineStr">
        <is>
          <t>Neutral</t>
        </is>
      </c>
      <c r="Y59" s="19" t="inlineStr">
        <is>
          <t>+</t>
        </is>
      </c>
      <c r="Z59" s="19" t="inlineStr">
        <is>
          <t>Low-Med</t>
        </is>
      </c>
      <c r="AA59" s="19" t="inlineStr">
        <is>
          <t>Neutral</t>
        </is>
      </c>
      <c r="AB59" s="20" t="inlineStr">
        <is>
          <t>Y</t>
        </is>
      </c>
      <c r="AC59" s="26" t="n">
        <v>0.12</v>
      </c>
      <c r="AD59" s="20" t="inlineStr">
        <is>
          <t>N</t>
        </is>
      </c>
      <c r="AE59" s="19" t="inlineStr">
        <is>
          <t>Bundle SKU</t>
        </is>
      </c>
      <c r="AF59" s="19" t="inlineStr">
        <is>
          <t>Moderate</t>
        </is>
      </c>
      <c r="AG59" s="19" t="inlineStr">
        <is>
          <t>8-14 Days</t>
        </is>
      </c>
      <c r="AH59" s="20" t="n">
        <v>2</v>
      </c>
      <c r="AI59" s="20" t="n">
        <v>3</v>
      </c>
      <c r="AJ59" s="20" t="n">
        <v>3</v>
      </c>
      <c r="AK59" s="20" t="n">
        <v>3</v>
      </c>
      <c r="AL59" s="20" t="n">
        <v>4</v>
      </c>
      <c r="AM59" s="27">
        <f>ROUND(AH59*AI59*AJ59*AK59*AL59/3125*100,1)</f>
        <v/>
      </c>
      <c r="AN59" s="25" t="inlineStr">
        <is>
          <t>EDC set vs solo wallet</t>
        </is>
      </c>
      <c r="AO59" s="19" t="inlineStr">
        <is>
          <t>Wallet AOV</t>
        </is>
      </c>
      <c r="AP59" s="19" t="inlineStr">
        <is>
          <t>CVR</t>
        </is>
      </c>
      <c r="AQ59" s="19" t="inlineStr">
        <is>
          <t>Unassigned</t>
        </is>
      </c>
      <c r="AR59" s="19" t="inlineStr">
        <is>
          <t>Backlog</t>
        </is>
      </c>
      <c r="AS59" s="19" t="inlineStr"/>
    </row>
    <row r="60">
      <c r="A60" s="10" t="inlineStr">
        <is>
          <t>ID40</t>
        </is>
      </c>
      <c r="B60" s="10" t="n">
        <v>57</v>
      </c>
      <c r="C60" s="16" t="inlineStr">
        <is>
          <t>Paid low-cost membership ('DO Club')</t>
        </is>
      </c>
      <c r="D60" s="9" t="inlineStr">
        <is>
          <t>Test a Rs299/6-month membership: free shipping no-min + extra 5% + early access to drops + birthday gift. Pitch at checkout to repeat buyers.</t>
        </is>
      </c>
      <c r="E60" s="16" t="inlineStr">
        <is>
          <t>Frequency</t>
        </is>
      </c>
      <c r="F60" s="16" t="inlineStr">
        <is>
          <t>Repeat Purchase</t>
        </is>
      </c>
      <c r="G60" s="16" t="inlineStr">
        <is>
          <t>AOV</t>
        </is>
      </c>
      <c r="H60" s="16" t="inlineStr">
        <is>
          <t>Repeat buyers</t>
        </is>
      </c>
      <c r="I60" s="16" t="inlineStr">
        <is>
          <t>O2/O3+</t>
        </is>
      </c>
      <c r="J60" s="16" t="inlineStr">
        <is>
          <t>Cross-category</t>
        </is>
      </c>
      <c r="K60" s="16" t="inlineStr">
        <is>
          <t>Membership</t>
        </is>
      </c>
      <c r="L60" s="16" t="inlineStr">
        <is>
          <t>all</t>
        </is>
      </c>
      <c r="M60" s="16" t="inlineStr">
        <is>
          <t>Checkout / account</t>
        </is>
      </c>
      <c r="N60" s="16" t="inlineStr">
        <is>
          <t>Rs299/6mo perks</t>
        </is>
      </c>
      <c r="O60" s="16" t="inlineStr">
        <is>
          <t>Checkout + account</t>
        </is>
      </c>
      <c r="P60" s="16" t="inlineStr">
        <is>
          <t>Website/App</t>
        </is>
      </c>
      <c r="Q60" s="16" t="inlineStr">
        <is>
          <t>Retention</t>
        </is>
      </c>
      <c r="R60" s="16" t="inlineStr">
        <is>
          <t>Mokobara Moko Club Rs499; Bewakoof TriBe Rs99</t>
        </is>
      </c>
      <c r="S60" s="16" t="inlineStr"/>
      <c r="T60" s="16" t="inlineStr">
        <is>
          <t>grabon.in/mokobara</t>
        </is>
      </c>
      <c r="U60" s="9" t="inlineStr">
        <is>
          <t>INF: repeat cohort = 57% of revenue; a paid membership converts free-shipping into a retention loop &amp; prepaid float.</t>
        </is>
      </c>
      <c r="V60" s="9" t="inlineStr">
        <is>
          <t>Sunk-cost membership drives frequency and locks in the most valuable cohort.</t>
        </is>
      </c>
      <c r="W60" s="9" t="inlineStr">
        <is>
          <t>Joins; buys more often.</t>
        </is>
      </c>
      <c r="X60" s="16" t="inlineStr">
        <is>
          <t>Neutral</t>
        </is>
      </c>
      <c r="Y60" s="16" t="inlineStr">
        <is>
          <t>+</t>
        </is>
      </c>
      <c r="Z60" s="16" t="inlineStr">
        <is>
          <t>Med</t>
        </is>
      </c>
      <c r="AA60" s="16" t="inlineStr">
        <is>
          <t>Neutral</t>
        </is>
      </c>
      <c r="AB60" s="10" t="inlineStr">
        <is>
          <t>Y</t>
        </is>
      </c>
      <c r="AC60" s="23" t="n">
        <v>0.05</v>
      </c>
      <c r="AD60" s="10" t="inlineStr">
        <is>
          <t>N</t>
        </is>
      </c>
      <c r="AE60" s="16" t="inlineStr">
        <is>
          <t>Membership module</t>
        </is>
      </c>
      <c r="AF60" s="16" t="inlineStr">
        <is>
          <t>Hard</t>
        </is>
      </c>
      <c r="AG60" s="16" t="inlineStr">
        <is>
          <t>15-30 Days</t>
        </is>
      </c>
      <c r="AH60" s="10" t="n">
        <v>3</v>
      </c>
      <c r="AI60" s="10" t="n">
        <v>2</v>
      </c>
      <c r="AJ60" s="10" t="n">
        <v>2</v>
      </c>
      <c r="AK60" s="10" t="n">
        <v>2</v>
      </c>
      <c r="AL60" s="10" t="n">
        <v>3</v>
      </c>
      <c r="AM60" s="24">
        <f>ROUND(AH60*AI60*AJ60*AK60*AL60/3125*100,1)</f>
        <v/>
      </c>
      <c r="AN60" s="9" t="inlineStr">
        <is>
          <t>Membership pilot to repeat cohort</t>
        </is>
      </c>
      <c r="AO60" s="16" t="inlineStr">
        <is>
          <t>Member repeat rate, LTV</t>
        </is>
      </c>
      <c r="AP60" s="16" t="inlineStr">
        <is>
          <t>Margin, free-ship cost</t>
        </is>
      </c>
      <c r="AQ60" s="16" t="inlineStr">
        <is>
          <t>Unassigned</t>
        </is>
      </c>
      <c r="AR60" s="16" t="inlineStr">
        <is>
          <t>Backlog</t>
        </is>
      </c>
      <c r="AS60" s="16" t="inlineStr"/>
    </row>
  </sheetData>
  <autoFilter ref="A3:AS60"/>
  <mergeCells count="2">
    <mergeCell ref="A2:AS2"/>
    <mergeCell ref="A1:AS1"/>
  </mergeCells>
  <conditionalFormatting sqref="AM4:AM60">
    <cfRule type="colorScale" priority="1">
      <colorScale>
        <cfvo type="num" val="0"/>
        <cfvo type="num" val="30"/>
        <cfvo type="num" val="70"/>
        <color rgb="00F8696B"/>
        <color rgb="00FFEB84"/>
        <color rgb="0063BE7B"/>
      </colorScale>
    </cfRule>
  </conditionalFormatting>
  <conditionalFormatting sqref="AL4:AL60">
    <cfRule type="cellIs" priority="2" operator="lessThanOrEqual" dxfId="0">
      <formula>2</formula>
    </cfRule>
    <cfRule type="cellIs" priority="3" operator="greaterThanOrEqual" dxfId="1">
      <formula>4</formula>
    </cfRule>
  </conditionalFormatting>
  <conditionalFormatting sqref="AG4:AG60">
    <cfRule type="expression" priority="4" dxfId="2">
      <formula>EXACT($AG4,"Same Day")</formula>
    </cfRule>
    <cfRule type="expression" priority="5" dxfId="2">
      <formula>EXACT($AG4,"1-3 Days")</formula>
    </cfRule>
    <cfRule type="expression" priority="6" dxfId="2">
      <formula>EXACT($AG4,"4-7 Days")</formula>
    </cfRule>
  </conditionalFormatting>
  <conditionalFormatting sqref="AB4:AB60">
    <cfRule type="expression" priority="7" dxfId="3">
      <formula>EXACT($AB4,"Y")</formula>
    </cfRule>
  </conditionalFormatting>
  <dataValidations count="9">
    <dataValidation sqref="AR4 AR5 AR6 AR7 AR8 AR9 AR10 AR11 AR12 AR13 AR14 AR15 AR16 AR17 AR18 AR19 AR20 AR21 AR22 AR23 AR24 AR25 AR26 AR27 AR28 AR29 AR30 AR31 AR32 AR33 AR34 AR35 AR36 AR37 AR38 AR39 AR40 AR41 AR42 AR43 AR44 AR45 AR46 AR47 AR48 AR49 AR50 AR51 AR52 AR53 AR54 AR55 AR56 AR57 AR58 AR59 AR60" showDropDown="0" showInputMessage="0" showErrorMessage="0" allowBlank="1" type="list">
      <formula1>"Backlog,Prioritised,In Build,Live / Testing,Won,Killed,On Hold"</formula1>
    </dataValidation>
    <dataValidation sqref="AQ4 AQ5 AQ6 AQ7 AQ8 AQ9 AQ10 AQ11 AQ12 AQ13 AQ14 AQ15 AQ16 AQ17 AQ18 AQ19 AQ20 AQ21 AQ22 AQ23 AQ24 AQ25 AQ26 AQ27 AQ28 AQ29 AQ30 AQ31 AQ32 AQ33 AQ34 AQ35 AQ36 AQ37 AQ38 AQ39 AQ40 AQ41 AQ42 AQ43 AQ44 AQ45 AQ46 AQ47 AQ48 AQ49 AQ50 AQ51 AQ52 AQ53 AQ54 AQ55 AQ56 AQ57 AQ58 AQ59 AQ60" showDropDown="0" showInputMessage="0" showErrorMessage="0" allowBlank="1" type="list">
      <formula1>"Growth,CRM,Merchandising,Product/Eng,Performance Mktg,Retention,Design,Unassigned"</formula1>
    </dataValidation>
    <dataValidation sqref="E4 E5 E6 E7 E8 E9 E10 E11 E12 E13 E14 E15 E16 E17 E18 E19 E20 E21 E22 E23 E24 E25 E26 E27 E28 E29 E30 E31 E32 E33 E34 E35 E36 E37 E38 E39 E40 E41 E42 E43 E44 E45 E46 E47 E48 E49 E50 E51 E52 E53 E54 E55 E56 E57 E58 E59 E60" showDropDown="0" showInputMessage="0" showErrorMessage="0" allowBlank="1" type="list">
      <formula1>"CVR,AOV,Frequency,Traffic Monetisation,Cross-category Purchase,Category Penetration,Revenue from CRM audiences,Revenue from existing traffic,New User Conversion,Contribution margin,Checkout Completion"</formula1>
    </dataValidation>
    <dataValidation sqref="AH4 AH5 AH6 AH7 AH8 AH9 AH10 AH11 AH12 AH13 AH14 AH15 AH16 AH17 AH18 AH19 AH20 AH21 AH22 AH23 AH24 AH25 AH26 AH27 AH28 AH29 AH30 AH31 AH32 AH33 AH34 AH35 AH36 AH37 AH38 AH39 AH40 AH41 AH42 AH43 AH44 AH45 AH46 AH47 AH48 AH49 AH50 AH51 AH52 AH53 AH54 AH55 AH56 AH57 AH58 AH59 AH60" showDropDown="0" showInputMessage="0" showErrorMessage="0" allowBlank="1" type="list">
      <formula1>"1,2,3,4,5"</formula1>
    </dataValidation>
    <dataValidation sqref="AI4 AI5 AI6 AI7 AI8 AI9 AI10 AI11 AI12 AI13 AI14 AI15 AI16 AI17 AI18 AI19 AI20 AI21 AI22 AI23 AI24 AI25 AI26 AI27 AI28 AI29 AI30 AI31 AI32 AI33 AI34 AI35 AI36 AI37 AI38 AI39 AI40 AI41 AI42 AI43 AI44 AI45 AI46 AI47 AI48 AI49 AI50 AI51 AI52 AI53 AI54 AI55 AI56 AI57 AI58 AI59 AI60" showDropDown="0" showInputMessage="0" showErrorMessage="0" allowBlank="1" type="list">
      <formula1>"1,2,3,4,5"</formula1>
    </dataValidation>
    <dataValidation sqref="AJ4 AJ5 AJ6 AJ7 AJ8 AJ9 AJ10 AJ11 AJ12 AJ13 AJ14 AJ15 AJ16 AJ17 AJ18 AJ19 AJ20 AJ21 AJ22 AJ23 AJ24 AJ25 AJ26 AJ27 AJ28 AJ29 AJ30 AJ31 AJ32 AJ33 AJ34 AJ35 AJ36 AJ37 AJ38 AJ39 AJ40 AJ41 AJ42 AJ43 AJ44 AJ45 AJ46 AJ47 AJ48 AJ49 AJ50 AJ51 AJ52 AJ53 AJ54 AJ55 AJ56 AJ57 AJ58 AJ59 AJ60" showDropDown="0" showInputMessage="0" showErrorMessage="0" allowBlank="1" type="list">
      <formula1>"1,2,3,4,5"</formula1>
    </dataValidation>
    <dataValidation sqref="AK4 AK5 AK6 AK7 AK8 AK9 AK10 AK11 AK12 AK13 AK14 AK15 AK16 AK17 AK18 AK19 AK20 AK21 AK22 AK23 AK24 AK25 AK26 AK27 AK28 AK29 AK30 AK31 AK32 AK33 AK34 AK35 AK36 AK37 AK38 AK39 AK40 AK41 AK42 AK43 AK44 AK45 AK46 AK47 AK48 AK49 AK50 AK51 AK52 AK53 AK54 AK55 AK56 AK57 AK58 AK59 AK60" showDropDown="0" showInputMessage="0" showErrorMessage="0" allowBlank="1" type="list">
      <formula1>"1,2,3,4,5"</formula1>
    </dataValidation>
    <dataValidation sqref="AL4 AL5 AL6 AL7 AL8 AL9 AL10 AL11 AL12 AL13 AL14 AL15 AL16 AL17 AL18 AL19 AL20 AL21 AL22 AL23 AL24 AL25 AL26 AL27 AL28 AL29 AL30 AL31 AL32 AL33 AL34 AL35 AL36 AL37 AL38 AL39 AL40 AL41 AL42 AL43 AL44 AL45 AL46 AL47 AL48 AL49 AL50 AL51 AL52 AL53 AL54 AL55 AL56 AL57 AL58 AL59 AL60" showDropDown="0" showInputMessage="0" showErrorMessage="0" allowBlank="1" type="list">
      <formula1>"1,2,3,4,5"</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8"/>
  <sheetViews>
    <sheetView workbookViewId="0">
      <pane ySplit="3" topLeftCell="A4" activePane="bottomLeft" state="frozen"/>
      <selection pane="bottomLeft" activeCell="A1" sqref="A1"/>
    </sheetView>
  </sheetViews>
  <sheetFormatPr baseColWidth="8" defaultRowHeight="15"/>
  <cols>
    <col width="5" customWidth="1" min="1" max="1"/>
    <col width="28" customWidth="1" min="2" max="2"/>
    <col width="54" customWidth="1" min="3" max="3"/>
    <col width="18" customWidth="1" min="4" max="4"/>
    <col width="22" customWidth="1" min="5" max="5"/>
    <col width="26" customWidth="1" min="6" max="6"/>
    <col width="22" customWidth="1" min="7" max="7"/>
    <col width="26" customWidth="1" min="8" max="8"/>
    <col width="22" customWidth="1" min="9" max="9"/>
    <col width="12" customWidth="1" min="10" max="10"/>
    <col width="12" customWidth="1" min="11" max="11"/>
    <col width="14" customWidth="1" min="12" max="12"/>
    <col width="11" customWidth="1" min="13" max="13"/>
    <col width="30" customWidth="1" min="14" max="14"/>
    <col width="12" customWidth="1" min="15" max="15"/>
  </cols>
  <sheetData>
    <row r="1" ht="30" customHeight="1">
      <c r="A1" s="22" t="inlineStr">
        <is>
          <t>LAUNCH THIS WEEK  -&gt;  hand directly to the revenue team</t>
        </is>
      </c>
    </row>
    <row r="2" ht="22" customHeight="1">
      <c r="A2" s="2" t="inlineStr">
        <is>
          <t>The 15 highest-priority interventions that can realistically go live within 7 days. Tactical &amp; specific.</t>
        </is>
      </c>
    </row>
    <row r="3" ht="34" customHeight="1">
      <c r="A3" s="14" t="inlineStr">
        <is>
          <t>Rank</t>
        </is>
      </c>
      <c r="B3" s="14" t="inlineStr">
        <is>
          <t>Initiative</t>
        </is>
      </c>
      <c r="C3" s="14" t="inlineStr">
        <is>
          <t>Exact Action</t>
        </is>
      </c>
      <c r="D3" s="14" t="inlineStr">
        <is>
          <t>Target Segment</t>
        </is>
      </c>
      <c r="E3" s="14" t="inlineStr">
        <is>
          <t>Category / SKU</t>
        </is>
      </c>
      <c r="F3" s="14" t="inlineStr">
        <is>
          <t>Offer / Mechanic</t>
        </is>
      </c>
      <c r="G3" s="14" t="inlineStr">
        <is>
          <t>Placement</t>
        </is>
      </c>
      <c r="H3" s="14" t="inlineStr">
        <is>
          <t>Required Assets</t>
        </is>
      </c>
      <c r="I3" s="14" t="inlineStr">
        <is>
          <t>Required Tech</t>
        </is>
      </c>
      <c r="J3" s="14" t="inlineStr">
        <is>
          <t>Owner</t>
        </is>
      </c>
      <c r="K3" s="14" t="inlineStr">
        <is>
          <t>Time to Launch</t>
        </is>
      </c>
      <c r="L3" s="14" t="inlineStr">
        <is>
          <t>Exp. Revenue Impact</t>
        </is>
      </c>
      <c r="M3" s="14" t="inlineStr">
        <is>
          <t>Margin Risk</t>
        </is>
      </c>
      <c r="N3" s="14" t="inlineStr">
        <is>
          <t>Measurement Plan</t>
        </is>
      </c>
      <c r="O3" s="14" t="inlineStr">
        <is>
          <t>Go / Test / Hold</t>
        </is>
      </c>
    </row>
    <row r="4">
      <c r="A4" s="10" t="n">
        <v>1</v>
      </c>
      <c r="B4" s="16" t="inlineStr">
        <is>
          <t>Phone Case Attach Engine (screen guard + charm + strap)</t>
        </is>
      </c>
      <c r="C4" s="9" t="inlineStr">
        <is>
          <t>On every phone-case PDP + cart, show a 'Complete your case' rail: matching tempered-glass screen guard, MagSafe charm/grip and lanyard at 30-50% off ONLY when added with the case. Auto-apply in cart.</t>
        </is>
      </c>
      <c r="D4" s="16" t="inlineStr">
        <is>
          <t>All case buyers</t>
        </is>
      </c>
      <c r="E4" s="16" t="inlineStr">
        <is>
          <t>Phone Cases / 1101,1103,1815,1812</t>
        </is>
      </c>
      <c r="F4" s="16" t="inlineStr">
        <is>
          <t>30-50% off attach items with a case</t>
        </is>
      </c>
      <c r="G4" s="16" t="inlineStr">
        <is>
          <t>PDP below CTA + Cart FBT rail</t>
        </is>
      </c>
      <c r="H4" s="16" t="inlineStr">
        <is>
          <t>Copy + creative + PDP/cart slots</t>
        </is>
      </c>
      <c r="I4" s="16" t="inlineStr">
        <is>
          <t>Merch rule / FBT widget</t>
        </is>
      </c>
      <c r="J4" s="16" t="inlineStr">
        <is>
          <t>Unassigned</t>
        </is>
      </c>
      <c r="K4" s="10" t="inlineStr">
        <is>
          <t>4-7 Days</t>
        </is>
      </c>
      <c r="L4" s="10" t="inlineStr">
        <is>
          <t>High</t>
        </is>
      </c>
      <c r="M4" s="10" t="inlineStr">
        <is>
          <t>Low</t>
        </is>
      </c>
      <c r="N4" s="9" t="inlineStr">
        <is>
          <t>+Rs AOV &amp; UPT on case orders</t>
        </is>
      </c>
      <c r="O4" s="10" t="inlineStr">
        <is>
          <t>Go</t>
        </is>
      </c>
    </row>
    <row r="5">
      <c r="A5" s="20" t="n">
        <v>2</v>
      </c>
      <c r="B5" s="19" t="inlineStr">
        <is>
          <t>Cart &amp; checkout abandonment flow (email+SMS+push)</t>
        </is>
      </c>
      <c r="C5" s="25" t="inlineStr">
        <is>
          <t>3-step abandonment series: 30min reminder, 24h with social proof, 48h with a modest incentive/free-ship reminder. Trigger separately for ATC-abandon vs checkout-abandon.</t>
        </is>
      </c>
      <c r="D5" s="19" t="inlineStr">
        <is>
          <t>Abandoners</t>
        </is>
      </c>
      <c r="E5" s="19" t="inlineStr">
        <is>
          <t>Cross-category / all</t>
        </is>
      </c>
      <c r="F5" s="19" t="inlineStr">
        <is>
          <t>Reminder; light incentive on step 3</t>
        </is>
      </c>
      <c r="G5" s="19" t="inlineStr">
        <is>
          <t>Email/SMS/Push</t>
        </is>
      </c>
      <c r="H5" s="19" t="inlineStr">
        <is>
          <t>Copy + creative + PDP/cart slots</t>
        </is>
      </c>
      <c r="I5" s="19" t="inlineStr">
        <is>
          <t>CRM/ESP flows + events</t>
        </is>
      </c>
      <c r="J5" s="19" t="inlineStr">
        <is>
          <t>Unassigned</t>
        </is>
      </c>
      <c r="K5" s="20" t="inlineStr">
        <is>
          <t>4-7 Days</t>
        </is>
      </c>
      <c r="L5" s="20" t="inlineStr">
        <is>
          <t>High</t>
        </is>
      </c>
      <c r="M5" s="20" t="inlineStr">
        <is>
          <t>Low</t>
        </is>
      </c>
      <c r="N5" s="25" t="inlineStr">
        <is>
          <t>Recovered revenue per abandoner</t>
        </is>
      </c>
      <c r="O5" s="20" t="inlineStr">
        <is>
          <t>Go</t>
        </is>
      </c>
    </row>
    <row r="6">
      <c r="A6" s="10" t="n">
        <v>3</v>
      </c>
      <c r="B6" s="16" t="inlineStr">
        <is>
          <t>Cart low-price add-on rail (impulse SKUs)</t>
        </is>
      </c>
      <c r="C6" s="9" t="inlineStr">
        <is>
          <t>In cart, show a horizontal 'Add for a little more' rail of high-margin impulse SKUs &lt;Rs499 (cable binds, screen guards, grips, coasters, charms) one-tap add.</t>
        </is>
      </c>
      <c r="D6" s="16" t="inlineStr">
        <is>
          <t>All carts</t>
        </is>
      </c>
      <c r="E6" s="16" t="inlineStr">
        <is>
          <t>Impulse tech / 1811,1812,1815,1705</t>
        </is>
      </c>
      <c r="F6" s="16" t="inlineStr">
        <is>
          <t>No discount - convenience placement</t>
        </is>
      </c>
      <c r="G6" s="16" t="inlineStr">
        <is>
          <t>Cart add-on rail</t>
        </is>
      </c>
      <c r="H6" s="16" t="inlineStr">
        <is>
          <t>Copy + creative + PDP/cart slots</t>
        </is>
      </c>
      <c r="I6" s="16" t="inlineStr">
        <is>
          <t>Cart widget</t>
        </is>
      </c>
      <c r="J6" s="16" t="inlineStr">
        <is>
          <t>Unassigned</t>
        </is>
      </c>
      <c r="K6" s="10" t="inlineStr">
        <is>
          <t>4-7 Days</t>
        </is>
      </c>
      <c r="L6" s="10" t="inlineStr">
        <is>
          <t>Med</t>
        </is>
      </c>
      <c r="M6" s="10" t="inlineStr">
        <is>
          <t>Low</t>
        </is>
      </c>
      <c r="N6" s="9" t="inlineStr">
        <is>
          <t>Attach rate of add-on SKUs</t>
        </is>
      </c>
      <c r="O6" s="10" t="inlineStr">
        <is>
          <t>Go</t>
        </is>
      </c>
    </row>
    <row r="7">
      <c r="A7" s="20" t="n">
        <v>4</v>
      </c>
      <c r="B7" s="19" t="inlineStr">
        <is>
          <t>Bestseller &amp; high-margin SKU prioritisation on PLP/home</t>
        </is>
      </c>
      <c r="C7" s="25" t="inlineStr">
        <is>
          <t>Re-sort PLPs and homepage rails to lead with proven high-CVR, high-margin bestsellers (Wrap-Lock cable, Orbis sling, Valet tray, Loop power banks, top case models); pin 'Bestseller' badges.</t>
        </is>
      </c>
      <c r="D7" s="19" t="inlineStr">
        <is>
          <t>All browsers</t>
        </is>
      </c>
      <c r="E7" s="19" t="inlineStr">
        <is>
          <t>Cross-category / bestsellers</t>
        </is>
      </c>
      <c r="F7" s="19" t="inlineStr">
        <is>
          <t>None</t>
        </is>
      </c>
      <c r="G7" s="19" t="inlineStr">
        <is>
          <t>PLP sort + homepage</t>
        </is>
      </c>
      <c r="H7" s="19" t="inlineStr">
        <is>
          <t>Copy + creative + PDP/cart slots</t>
        </is>
      </c>
      <c r="I7" s="19" t="inlineStr">
        <is>
          <t>Merch sort rules</t>
        </is>
      </c>
      <c r="J7" s="19" t="inlineStr">
        <is>
          <t>Unassigned</t>
        </is>
      </c>
      <c r="K7" s="20" t="inlineStr">
        <is>
          <t>Same Day</t>
        </is>
      </c>
      <c r="L7" s="20" t="inlineStr">
        <is>
          <t>Med</t>
        </is>
      </c>
      <c r="M7" s="20" t="inlineStr">
        <is>
          <t>Low</t>
        </is>
      </c>
      <c r="N7" s="25" t="inlineStr">
        <is>
          <t>PLP CVR, RPV</t>
        </is>
      </c>
      <c r="O7" s="20" t="inlineStr">
        <is>
          <t>Go</t>
        </is>
      </c>
    </row>
    <row r="8">
      <c r="A8" s="10" t="n">
        <v>5</v>
      </c>
      <c r="B8" s="16" t="inlineStr">
        <is>
          <t>Prepaid free-shipping + Rs79 COD-fee reframing</t>
        </is>
      </c>
      <c r="C8" s="9" t="inlineStr">
        <is>
          <t>Make free shipping explicit and prepaid-gated with a visible bar ('You're Rs X from free shipping - pay online'); show the Rs79 COD fee as a saveable line at checkout with a one-tap 'Switch to UPI &amp; save Rs79 + free ship'.</t>
        </is>
      </c>
      <c r="D8" s="16" t="inlineStr">
        <is>
          <t>COD-inclined shoppers</t>
        </is>
      </c>
      <c r="E8" s="16" t="inlineStr">
        <is>
          <t>Cross-category / all</t>
        </is>
      </c>
      <c r="F8" s="16" t="inlineStr">
        <is>
          <t>Free ship + waive COD fee on prepaid</t>
        </is>
      </c>
      <c r="G8" s="16" t="inlineStr">
        <is>
          <t>Cart + Checkout</t>
        </is>
      </c>
      <c r="H8" s="16" t="inlineStr">
        <is>
          <t>Copy + creative + PDP/cart slots</t>
        </is>
      </c>
      <c r="I8" s="16" t="inlineStr">
        <is>
          <t>Checkout config</t>
        </is>
      </c>
      <c r="J8" s="16" t="inlineStr">
        <is>
          <t>Unassigned</t>
        </is>
      </c>
      <c r="K8" s="10" t="inlineStr">
        <is>
          <t>4-7 Days</t>
        </is>
      </c>
      <c r="L8" s="10" t="inlineStr">
        <is>
          <t>High</t>
        </is>
      </c>
      <c r="M8" s="10" t="inlineStr">
        <is>
          <t>Low</t>
        </is>
      </c>
      <c r="N8" s="9" t="inlineStr">
        <is>
          <t>Prepaid share, checkout completion</t>
        </is>
      </c>
      <c r="O8" s="10" t="inlineStr">
        <is>
          <t>Go</t>
        </is>
      </c>
    </row>
    <row r="9">
      <c r="A9" s="20" t="n">
        <v>6</v>
      </c>
      <c r="B9" s="19" t="inlineStr">
        <is>
          <t>Power Bank + MagSafe Case cross-sell bundle</t>
        </is>
      </c>
      <c r="C9" s="25" t="inlineStr">
        <is>
          <t>On Loop Qi2 power-bank PDPs, add 'Powers up perfectly with' a MagSafe case at bundle price = power bank + case -10%. Reverse: on MagSafe case PDPs surface Loop power bank.</t>
        </is>
      </c>
      <c r="D9" s="19" t="inlineStr">
        <is>
          <t>Power-bank &amp; MagSafe shoppers</t>
        </is>
      </c>
      <c r="E9" s="19" t="inlineStr">
        <is>
          <t>Power Banks / 1809,1103</t>
        </is>
      </c>
      <c r="F9" s="19" t="inlineStr">
        <is>
          <t>Bundle -10% vs buying separately</t>
        </is>
      </c>
      <c r="G9" s="19" t="inlineStr">
        <is>
          <t>PDP FBT + Cart</t>
        </is>
      </c>
      <c r="H9" s="19" t="inlineStr">
        <is>
          <t>Copy + creative + PDP/cart slots</t>
        </is>
      </c>
      <c r="I9" s="19" t="inlineStr">
        <is>
          <t>FBT widget</t>
        </is>
      </c>
      <c r="J9" s="19" t="inlineStr">
        <is>
          <t>Unassigned</t>
        </is>
      </c>
      <c r="K9" s="20" t="inlineStr">
        <is>
          <t>4-7 Days</t>
        </is>
      </c>
      <c r="L9" s="20" t="inlineStr">
        <is>
          <t>High</t>
        </is>
      </c>
      <c r="M9" s="20" t="inlineStr">
        <is>
          <t>Low</t>
        </is>
      </c>
      <c r="N9" s="25" t="inlineStr">
        <is>
          <t>Attach rate power bank&lt;-&gt;case</t>
        </is>
      </c>
      <c r="O9" s="20" t="inlineStr">
        <is>
          <t>Go</t>
        </is>
      </c>
    </row>
    <row r="10">
      <c r="A10" s="10" t="n">
        <v>7</v>
      </c>
      <c r="B10" s="16" t="inlineStr">
        <is>
          <t>Watch-band multi-pack ('Band Wardrobe')</t>
        </is>
      </c>
      <c r="C10" s="9" t="inlineStr">
        <is>
          <t>On Apple Watch band PDPs offer buy-2-save-15% / buy-3-save-20% across bands (mix leather/sport/nylon). 'Build your band wardrobe' selector.</t>
        </is>
      </c>
      <c r="D10" s="16" t="inlineStr">
        <is>
          <t>Watch-band shoppers</t>
        </is>
      </c>
      <c r="E10" s="16" t="inlineStr">
        <is>
          <t>Apple Watch Bands / 1801</t>
        </is>
      </c>
      <c r="F10" s="16" t="inlineStr">
        <is>
          <t>Buy 2 -15%, 3+ -20%</t>
        </is>
      </c>
      <c r="G10" s="16" t="inlineStr">
        <is>
          <t>PDP selector + PLP banner</t>
        </is>
      </c>
      <c r="H10" s="16" t="inlineStr">
        <is>
          <t>Copy + creative + PDP/cart slots</t>
        </is>
      </c>
      <c r="I10" s="16" t="inlineStr">
        <is>
          <t>Qty-tier promo</t>
        </is>
      </c>
      <c r="J10" s="16" t="inlineStr">
        <is>
          <t>Unassigned</t>
        </is>
      </c>
      <c r="K10" s="10" t="inlineStr">
        <is>
          <t>4-7 Days</t>
        </is>
      </c>
      <c r="L10" s="10" t="inlineStr">
        <is>
          <t>Med-High</t>
        </is>
      </c>
      <c r="M10" s="10" t="inlineStr">
        <is>
          <t>Low</t>
        </is>
      </c>
      <c r="N10" s="9" t="inlineStr">
        <is>
          <t>UPT on band orders</t>
        </is>
      </c>
      <c r="O10" s="10" t="inlineStr">
        <is>
          <t>Go</t>
        </is>
      </c>
    </row>
    <row r="11">
      <c r="A11" s="20" t="n">
        <v>8</v>
      </c>
      <c r="B11" s="19" t="inlineStr">
        <is>
          <t>Reviews &amp; UGC amplification on high-traffic PDPs</t>
        </is>
      </c>
      <c r="C11" s="25" t="inlineStr">
        <is>
          <t>Surface photo reviews, review count and Q&amp;A prominently on top PDPs; seed Q&amp;A for compatibility questions (fits which phone) to cut pre-purchase doubt.</t>
        </is>
      </c>
      <c r="D11" s="19" t="inlineStr">
        <is>
          <t>PDP visitors</t>
        </is>
      </c>
      <c r="E11" s="19" t="inlineStr">
        <is>
          <t>Cross-category / top PDPs</t>
        </is>
      </c>
      <c r="F11" s="19" t="inlineStr">
        <is>
          <t>None</t>
        </is>
      </c>
      <c r="G11" s="19" t="inlineStr">
        <is>
          <t>PDP</t>
        </is>
      </c>
      <c r="H11" s="19" t="inlineStr">
        <is>
          <t>Copy + creative + PDP/cart slots</t>
        </is>
      </c>
      <c r="I11" s="19" t="inlineStr">
        <is>
          <t>Reviews widget</t>
        </is>
      </c>
      <c r="J11" s="19" t="inlineStr">
        <is>
          <t>Unassigned</t>
        </is>
      </c>
      <c r="K11" s="20" t="inlineStr">
        <is>
          <t>4-7 Days</t>
        </is>
      </c>
      <c r="L11" s="20" t="inlineStr">
        <is>
          <t>Med</t>
        </is>
      </c>
      <c r="M11" s="20" t="inlineStr">
        <is>
          <t>Low</t>
        </is>
      </c>
      <c r="N11" s="25" t="inlineStr">
        <is>
          <t>PDP CVR</t>
        </is>
      </c>
      <c r="O11" s="20" t="inlineStr">
        <is>
          <t>Go</t>
        </is>
      </c>
    </row>
    <row r="12">
      <c r="A12" s="10" t="n">
        <v>9</v>
      </c>
      <c r="B12" s="16" t="inlineStr">
        <is>
          <t>Prepaid-only deeper offer to convert COD share</t>
        </is>
      </c>
      <c r="C12" s="9" t="inlineStr">
        <is>
          <t>Offer the best price/gift ONLY on prepaid (COD gets base price); reframe as 'prepaid perks' not a COD penalty. Protects margin via RTO reduction.</t>
        </is>
      </c>
      <c r="D12" s="16" t="inlineStr">
        <is>
          <t>COD-preferring</t>
        </is>
      </c>
      <c r="E12" s="16" t="inlineStr">
        <is>
          <t>Cross-category / all</t>
        </is>
      </c>
      <c r="F12" s="16" t="inlineStr">
        <is>
          <t>Prepaid-only extra 5% / gift</t>
        </is>
      </c>
      <c r="G12" s="16" t="inlineStr">
        <is>
          <t>Checkout</t>
        </is>
      </c>
      <c r="H12" s="16" t="inlineStr">
        <is>
          <t>Copy + creative + PDP/cart slots</t>
        </is>
      </c>
      <c r="I12" s="16" t="inlineStr">
        <is>
          <t>Checkout rules</t>
        </is>
      </c>
      <c r="J12" s="16" t="inlineStr">
        <is>
          <t>Unassigned</t>
        </is>
      </c>
      <c r="K12" s="10" t="inlineStr">
        <is>
          <t>4-7 Days</t>
        </is>
      </c>
      <c r="L12" s="10" t="inlineStr">
        <is>
          <t>Med</t>
        </is>
      </c>
      <c r="M12" s="10" t="inlineStr">
        <is>
          <t>Low</t>
        </is>
      </c>
      <c r="N12" s="9" t="inlineStr">
        <is>
          <t>Prepaid share, contribution/order</t>
        </is>
      </c>
      <c r="O12" s="10" t="inlineStr">
        <is>
          <t>Go</t>
        </is>
      </c>
    </row>
    <row r="13">
      <c r="A13" s="20" t="n">
        <v>10</v>
      </c>
      <c r="B13" s="19" t="inlineStr">
        <is>
          <t>Second-order accelerator coupon on thank-you + email</t>
        </is>
      </c>
      <c r="C13" s="25" t="inlineStr">
        <is>
          <t>Give every first-time buyer a time-boxed next-order incentive (e.g. Rs200 off next order within 30 days, min Rs1,499) on the thank-you page and in the order-confirmation email/SMS.</t>
        </is>
      </c>
      <c r="D13" s="19" t="inlineStr">
        <is>
          <t>First-order buyers</t>
        </is>
      </c>
      <c r="E13" s="19" t="inlineStr">
        <is>
          <t>Cross-category / all</t>
        </is>
      </c>
      <c r="F13" s="19" t="inlineStr">
        <is>
          <t>Rs200 off next order in 30 days (min Rs1,499)</t>
        </is>
      </c>
      <c r="G13" s="19" t="inlineStr">
        <is>
          <t>Thank-you + email/SMS</t>
        </is>
      </c>
      <c r="H13" s="19" t="inlineStr">
        <is>
          <t>Copy + creative + PDP/cart slots</t>
        </is>
      </c>
      <c r="I13" s="19" t="inlineStr">
        <is>
          <t>Coupon + CRM flow</t>
        </is>
      </c>
      <c r="J13" s="19" t="inlineStr">
        <is>
          <t>Unassigned</t>
        </is>
      </c>
      <c r="K13" s="20" t="inlineStr">
        <is>
          <t>4-7 Days</t>
        </is>
      </c>
      <c r="L13" s="20" t="inlineStr">
        <is>
          <t>High</t>
        </is>
      </c>
      <c r="M13" s="20" t="inlineStr">
        <is>
          <t>Med</t>
        </is>
      </c>
      <c r="N13" s="25" t="inlineStr">
        <is>
          <t>30/60-day repeat rate</t>
        </is>
      </c>
      <c r="O13" s="20" t="inlineStr">
        <is>
          <t>Test</t>
        </is>
      </c>
    </row>
    <row r="14">
      <c r="A14" s="10" t="n">
        <v>11</v>
      </c>
      <c r="B14" s="16" t="inlineStr">
        <is>
          <t>First-order offer clarity + email/phone capture popup</t>
        </is>
      </c>
      <c r="C14" s="9" t="inlineStr">
        <is>
          <t>Tighten the welcome popup: 'Get Rs300 off your first order over Rs2,299 - unlock now' with email+phone capture, then persist the code in a sticky bar. Route to a first-time-buyer LP.</t>
        </is>
      </c>
      <c r="D14" s="16" t="inlineStr">
        <is>
          <t>New visitors</t>
        </is>
      </c>
      <c r="E14" s="16" t="inlineStr">
        <is>
          <t>Cross-category / all</t>
        </is>
      </c>
      <c r="F14" s="16" t="inlineStr">
        <is>
          <t>WELCOME300 (Rs300 off &gt; Rs2,299)</t>
        </is>
      </c>
      <c r="G14" s="16" t="inlineStr">
        <is>
          <t>Popup + sticky bar + LP</t>
        </is>
      </c>
      <c r="H14" s="16" t="inlineStr">
        <is>
          <t>Copy + creative + PDP/cart slots</t>
        </is>
      </c>
      <c r="I14" s="16" t="inlineStr">
        <is>
          <t>Popup + CRM</t>
        </is>
      </c>
      <c r="J14" s="16" t="inlineStr">
        <is>
          <t>Unassigned</t>
        </is>
      </c>
      <c r="K14" s="10" t="inlineStr">
        <is>
          <t>4-7 Days</t>
        </is>
      </c>
      <c r="L14" s="10" t="inlineStr">
        <is>
          <t>Med-High</t>
        </is>
      </c>
      <c r="M14" s="10" t="inlineStr">
        <is>
          <t>Med</t>
        </is>
      </c>
      <c r="N14" s="9" t="inlineStr">
        <is>
          <t>Capture rate, new-user CVR</t>
        </is>
      </c>
      <c r="O14" s="10" t="inlineStr">
        <is>
          <t>Test</t>
        </is>
      </c>
    </row>
    <row r="15">
      <c r="A15" s="20" t="n">
        <v>12</v>
      </c>
      <c r="B15" s="19" t="inlineStr">
        <is>
          <t>Return/exchange-friendly messaging to unlock high-consideration bags</t>
        </is>
      </c>
      <c r="C15" s="25" t="inlineStr">
        <is>
          <t>Add prominent easy-returns + warranty + '30-day trial' style reassurance on backpack/luggage/premium-bag PDPs; show real reviews &amp; durability proof.</t>
        </is>
      </c>
      <c r="D15" s="19" t="inlineStr">
        <is>
          <t>Bag shoppers</t>
        </is>
      </c>
      <c r="E15" s="19" t="inlineStr">
        <is>
          <t>Backpacks / 1201,1202</t>
        </is>
      </c>
      <c r="F15" s="19" t="inlineStr">
        <is>
          <t>Trial/returns reassurance</t>
        </is>
      </c>
      <c r="G15" s="19" t="inlineStr">
        <is>
          <t>Bag PDPs</t>
        </is>
      </c>
      <c r="H15" s="19" t="inlineStr">
        <is>
          <t>Copy + creative + PDP/cart slots</t>
        </is>
      </c>
      <c r="I15" s="19" t="inlineStr">
        <is>
          <t>PDP content + returns policy</t>
        </is>
      </c>
      <c r="J15" s="19" t="inlineStr">
        <is>
          <t>Unassigned</t>
        </is>
      </c>
      <c r="K15" s="20" t="inlineStr">
        <is>
          <t>4-7 Days</t>
        </is>
      </c>
      <c r="L15" s="20" t="inlineStr">
        <is>
          <t>Med</t>
        </is>
      </c>
      <c r="M15" s="20" t="inlineStr">
        <is>
          <t>Low</t>
        </is>
      </c>
      <c r="N15" s="25" t="inlineStr">
        <is>
          <t>Bag CVR</t>
        </is>
      </c>
      <c r="O15" s="20" t="inlineStr">
        <is>
          <t>Go</t>
        </is>
      </c>
    </row>
    <row r="16">
      <c r="A16" s="10" t="n">
        <v>13</v>
      </c>
      <c r="B16" s="16" t="inlineStr">
        <is>
          <t>Price anchoring &amp; 'you save' on MRP-discount SKUs</t>
        </is>
      </c>
      <c r="C16" s="9" t="inlineStr">
        <is>
          <t>Consistently show MRP struck-through + 'You save Rs X (Y%)' on PDP/PLP/cart, plus per-unit savings on multi-buy. Add compare module for case tiers (Beam vs Nimbus vs Stride).</t>
        </is>
      </c>
      <c r="D16" s="16" t="inlineStr">
        <is>
          <t>Deal-sensitive shoppers</t>
        </is>
      </c>
      <c r="E16" s="16" t="inlineStr">
        <is>
          <t>Phone Cases / 1101,1103</t>
        </is>
      </c>
      <c r="F16" s="16" t="inlineStr">
        <is>
          <t>Communicate existing MRP discount</t>
        </is>
      </c>
      <c r="G16" s="16" t="inlineStr">
        <is>
          <t>PDP/PLP/Cart</t>
        </is>
      </c>
      <c r="H16" s="16" t="inlineStr">
        <is>
          <t>Copy + creative + PDP/cart slots</t>
        </is>
      </c>
      <c r="I16" s="16" t="inlineStr">
        <is>
          <t>PDP/PLP template</t>
        </is>
      </c>
      <c r="J16" s="16" t="inlineStr">
        <is>
          <t>Unassigned</t>
        </is>
      </c>
      <c r="K16" s="10" t="inlineStr">
        <is>
          <t>4-7 Days</t>
        </is>
      </c>
      <c r="L16" s="10" t="inlineStr">
        <is>
          <t>Med</t>
        </is>
      </c>
      <c r="M16" s="10" t="inlineStr">
        <is>
          <t>Low</t>
        </is>
      </c>
      <c r="N16" s="9" t="inlineStr">
        <is>
          <t>CVR, tier mix</t>
        </is>
      </c>
      <c r="O16" s="10" t="inlineStr">
        <is>
          <t>Test</t>
        </is>
      </c>
    </row>
    <row r="17">
      <c r="A17" s="20" t="n">
        <v>14</v>
      </c>
      <c r="B17" s="19" t="inlineStr">
        <is>
          <t>Price-point stores ('Under Rs999', 'Rs999-1999', 'Premium')</t>
        </is>
      </c>
      <c r="C17" s="25" t="inlineStr">
        <is>
          <t>Add shop-by-price navigation and landing pages: 'Under Rs999' (impulse/gift entry), 'Rs999-1,999', 'Premium Rs2,000+'. Feature high-CVR, high-margin SKUs first.</t>
        </is>
      </c>
      <c r="D17" s="19" t="inlineStr">
        <is>
          <t>Browsers/gifters</t>
        </is>
      </c>
      <c r="E17" s="19" t="inlineStr">
        <is>
          <t>Cross-category / all</t>
        </is>
      </c>
      <c r="F17" s="19" t="inlineStr">
        <is>
          <t>None</t>
        </is>
      </c>
      <c r="G17" s="19" t="inlineStr">
        <is>
          <t>Nav + collection pages</t>
        </is>
      </c>
      <c r="H17" s="19" t="inlineStr">
        <is>
          <t>Copy + creative + PDP/cart slots</t>
        </is>
      </c>
      <c r="I17" s="19" t="inlineStr">
        <is>
          <t>Merch collections</t>
        </is>
      </c>
      <c r="J17" s="19" t="inlineStr">
        <is>
          <t>Unassigned</t>
        </is>
      </c>
      <c r="K17" s="20" t="inlineStr">
        <is>
          <t>4-7 Days</t>
        </is>
      </c>
      <c r="L17" s="20" t="inlineStr">
        <is>
          <t>Med</t>
        </is>
      </c>
      <c r="M17" s="20" t="inlineStr">
        <is>
          <t>Low</t>
        </is>
      </c>
      <c r="N17" s="25" t="inlineStr">
        <is>
          <t>PLP CVR, new-user CVR</t>
        </is>
      </c>
      <c r="O17" s="20" t="inlineStr">
        <is>
          <t>Test</t>
        </is>
      </c>
    </row>
    <row r="18">
      <c r="A18" s="10" t="n">
        <v>15</v>
      </c>
      <c r="B18" s="16" t="inlineStr">
        <is>
          <t>Bank/UPI offer strip surfaced across funnel</t>
        </is>
      </c>
      <c r="C18" s="9" t="inlineStr">
        <is>
          <t>Surface live bank/UPI/cashback offers (HDFC SmartBuy, UPI cashback) as a strip on PDP/cart/checkout with 'view all offers' - reduce reliance on brand discounts.</t>
        </is>
      </c>
      <c r="D18" s="16" t="inlineStr">
        <is>
          <t>Deal-sensitive</t>
        </is>
      </c>
      <c r="E18" s="16" t="inlineStr">
        <is>
          <t>Cross-category / all</t>
        </is>
      </c>
      <c r="F18" s="16" t="inlineStr">
        <is>
          <t>Bank/UPI cashback (funded by partners)</t>
        </is>
      </c>
      <c r="G18" s="16" t="inlineStr">
        <is>
          <t>PDP/Cart/Checkout</t>
        </is>
      </c>
      <c r="H18" s="16" t="inlineStr">
        <is>
          <t>Copy + creative + PDP/cart slots</t>
        </is>
      </c>
      <c r="I18" s="16" t="inlineStr">
        <is>
          <t>Offers strip</t>
        </is>
      </c>
      <c r="J18" s="16" t="inlineStr">
        <is>
          <t>Unassigned</t>
        </is>
      </c>
      <c r="K18" s="10" t="inlineStr">
        <is>
          <t>4-7 Days</t>
        </is>
      </c>
      <c r="L18" s="10" t="inlineStr">
        <is>
          <t>Med</t>
        </is>
      </c>
      <c r="M18" s="10" t="inlineStr">
        <is>
          <t>Low</t>
        </is>
      </c>
      <c r="N18" s="9" t="inlineStr">
        <is>
          <t>CVR, prepaid share</t>
        </is>
      </c>
      <c r="O18" s="10" t="inlineStr">
        <is>
          <t>Test</t>
        </is>
      </c>
    </row>
  </sheetData>
  <autoFilter ref="A3:O18"/>
  <mergeCells count="2">
    <mergeCell ref="A1:O1"/>
    <mergeCell ref="A2:O2"/>
  </mergeCells>
  <conditionalFormatting sqref="O4:O18">
    <cfRule type="expression" priority="1" dxfId="1">
      <formula>EXACT($O4,"Go")</formula>
    </cfRule>
    <cfRule type="expression" priority="2" dxfId="3">
      <formula>EXACT($O4,"Test")</formula>
    </cfRule>
    <cfRule type="expression" priority="3" dxfId="0">
      <formula>EXACT($O4,"Hold")</formula>
    </cfRule>
  </conditionalFormatting>
  <conditionalFormatting sqref="M4:M18">
    <cfRule type="expression" priority="4" dxfId="1">
      <formula>EXACT($M4,"Low")</formula>
    </cfRule>
    <cfRule type="expression" priority="5" dxfId="3">
      <formula>EXACT($M4,"Med")</formula>
    </cfRule>
    <cfRule type="expression" priority="6" dxfId="0">
      <formula>EXACT($M4,"High")</formula>
    </cfRule>
  </conditionalFormatting>
  <dataValidations count="2">
    <dataValidation sqref="O4 O5 O6 O7 O8 O9 O10 O11 O12 O13 O14 O15 O16 O17 O18" showDropDown="0" showInputMessage="0" showErrorMessage="0" allowBlank="1" type="list">
      <formula1>"Go,Test,Hold"</formula1>
    </dataValidation>
    <dataValidation sqref="J4 J5 J6 J7 J8 J9 J10 J11 J12 J13 J14 J15 J16 J17 J18" showDropDown="0" showInputMessage="0" showErrorMessage="0" allowBlank="1" type="list">
      <formula1>"Growth,CRM,Merchandising,Product/Eng,Performance Mktg,Retention,Design,Unassigned"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workbookViewId="0">
      <pane ySplit="3" topLeftCell="A4" activePane="bottomLeft" state="frozen"/>
      <selection pane="bottomLeft" activeCell="A1" sqref="A1"/>
    </sheetView>
  </sheetViews>
  <sheetFormatPr baseColWidth="8" defaultRowHeight="15"/>
  <cols>
    <col width="14" customWidth="1" min="1" max="1"/>
    <col width="8" customWidth="1" min="2" max="2"/>
    <col width="16" customWidth="1" min="3" max="3"/>
    <col width="20" customWidth="1" min="4" max="4"/>
    <col width="50" customWidth="1" min="5" max="5"/>
    <col width="40" customWidth="1" min="6" max="6"/>
    <col width="14" customWidth="1" min="7" max="7"/>
    <col width="34" customWidth="1" min="8" max="8"/>
    <col width="22" customWidth="1" min="9" max="9"/>
    <col width="34" customWidth="1" min="10" max="10"/>
    <col width="11" customWidth="1" min="11" max="11"/>
    <col width="11" customWidth="1" min="12" max="12"/>
  </cols>
  <sheetData>
    <row r="1" ht="30" customHeight="1">
      <c r="A1" s="22" t="inlineStr">
        <is>
          <t>D2C BRAND TACTIC DATABASE</t>
        </is>
      </c>
    </row>
    <row r="2" ht="22" customHeight="1">
      <c r="A2" s="2" t="inlineStr">
        <is>
          <t>Real tactics from India &amp; international D2C brands. Status = 'Reported' (search-index snippets; egress blocked live sites) - re-verify prices/thresholds before publishing.</t>
        </is>
      </c>
    </row>
    <row r="3" ht="34" customHeight="1">
      <c r="A3" s="14" t="inlineStr">
        <is>
          <t>Brand</t>
        </is>
      </c>
      <c r="B3" s="14" t="inlineStr">
        <is>
          <t>Country</t>
        </is>
      </c>
      <c r="C3" s="14" t="inlineStr">
        <is>
          <t>Category</t>
        </is>
      </c>
      <c r="D3" s="14" t="inlineStr">
        <is>
          <t>Tactic Category</t>
        </is>
      </c>
      <c r="E3" s="14" t="inlineStr">
        <is>
          <t>Exact Mechanic</t>
        </is>
      </c>
      <c r="F3" s="14" t="inlineStr">
        <is>
          <t>Customer Proposition / Why It Works</t>
        </is>
      </c>
      <c r="G3" s="14" t="inlineStr">
        <is>
          <t>Objective (CVR/AOV/Freq)</t>
        </is>
      </c>
      <c r="H3" s="14" t="inlineStr">
        <is>
          <t>Applicability to DailyObjects</t>
        </is>
      </c>
      <c r="I3" s="14" t="inlineStr">
        <is>
          <t>DO Category</t>
        </is>
      </c>
      <c r="J3" s="14" t="inlineStr">
        <is>
          <t>Source URL</t>
        </is>
      </c>
      <c r="K3" s="14" t="inlineStr">
        <is>
          <t>Confidence</t>
        </is>
      </c>
      <c r="L3" s="14" t="inlineStr">
        <is>
          <t>Observed?</t>
        </is>
      </c>
    </row>
    <row r="4">
      <c r="A4" s="16" t="inlineStr">
        <is>
          <t>boAt</t>
        </is>
      </c>
      <c r="B4" s="10" t="inlineStr">
        <is>
          <t>India</t>
        </is>
      </c>
      <c r="C4" s="16" t="inlineStr">
        <is>
          <t>Audio/Tech</t>
        </is>
      </c>
      <c r="D4" s="16" t="inlineStr">
        <is>
          <t>Payment (prepaid)</t>
        </is>
      </c>
      <c r="E4" s="9" t="inlineStr">
        <is>
          <t>Code BOATHEAD = flat extra 5% off ALL prepaid orders on top of sale</t>
        </is>
      </c>
      <c r="F4" s="9" t="inlineStr">
        <is>
          <t>Frames paying online as 'save more'; cuts RTO</t>
        </is>
      </c>
      <c r="G4" s="10" t="inlineStr">
        <is>
          <t>CVR+Margin</t>
        </is>
      </c>
      <c r="H4" s="9" t="inlineStr">
        <is>
          <t>Sitewide prepaid nudge; cases/power banks</t>
        </is>
      </c>
      <c r="I4" s="16" t="inlineStr">
        <is>
          <t>(map to DO)</t>
        </is>
      </c>
      <c r="J4" s="16" t="inlineStr">
        <is>
          <t>grabon.in/boat-coupons</t>
        </is>
      </c>
      <c r="K4" s="10" t="inlineStr">
        <is>
          <t>Med</t>
        </is>
      </c>
      <c r="L4" s="10" t="inlineStr">
        <is>
          <t>Reported</t>
        </is>
      </c>
    </row>
    <row r="5">
      <c r="A5" s="19" t="inlineStr">
        <is>
          <t>boAt</t>
        </is>
      </c>
      <c r="B5" s="20" t="inlineStr">
        <is>
          <t>India</t>
        </is>
      </c>
      <c r="C5" s="19" t="inlineStr">
        <is>
          <t>Audio/Tech</t>
        </is>
      </c>
      <c r="D5" s="19" t="inlineStr">
        <is>
          <t>Payment (UPI)</t>
        </is>
      </c>
      <c r="E5" s="25" t="inlineStr">
        <is>
          <t>Flash extra 15% off on UPI + up to Rs150 cashback via PhonePe/GPay; stacks with bank offers</t>
        </is>
      </c>
      <c r="F5" s="25" t="inlineStr">
        <is>
          <t>Layered discounts feel like a treasure hunt; instant prepaid</t>
        </is>
      </c>
      <c r="G5" s="20" t="inlineStr">
        <is>
          <t>CVR</t>
        </is>
      </c>
      <c r="H5" s="25" t="inlineStr">
        <is>
          <t>Payday UPI cashback windows</t>
        </is>
      </c>
      <c r="I5" s="19" t="inlineStr">
        <is>
          <t>(map to DO)</t>
        </is>
      </c>
      <c r="J5" s="19" t="inlineStr">
        <is>
          <t>grabon.in/boat-coupons</t>
        </is>
      </c>
      <c r="K5" s="20" t="inlineStr">
        <is>
          <t>Med</t>
        </is>
      </c>
      <c r="L5" s="20" t="inlineStr">
        <is>
          <t>Reported</t>
        </is>
      </c>
    </row>
    <row r="6">
      <c r="A6" s="16" t="inlineStr">
        <is>
          <t>boAt</t>
        </is>
      </c>
      <c r="B6" s="10" t="inlineStr">
        <is>
          <t>India</t>
        </is>
      </c>
      <c r="C6" s="16" t="inlineStr">
        <is>
          <t>Audio/Tech</t>
        </is>
      </c>
      <c r="D6" s="16" t="inlineStr">
        <is>
          <t>Launch anchoring</t>
        </is>
      </c>
      <c r="E6" s="9" t="inlineStr">
        <is>
          <t>New SKU launched at '55% off Rs19,999 RRP -&gt; Rs8,999 for first customers'</t>
        </is>
      </c>
      <c r="F6" s="9" t="inlineStr">
        <is>
          <t>Introductory RRP anchor makes new SKU feel a steal</t>
        </is>
      </c>
      <c r="G6" s="10" t="inlineStr">
        <is>
          <t>CVR</t>
        </is>
      </c>
      <c r="H6" s="9" t="inlineStr">
        <is>
          <t>Loop/Surge launch pricing</t>
        </is>
      </c>
      <c r="I6" s="16" t="inlineStr">
        <is>
          <t>(map to DO)</t>
        </is>
      </c>
      <c r="J6" s="16" t="inlineStr">
        <is>
          <t>notebookcheck.net</t>
        </is>
      </c>
      <c r="K6" s="10" t="inlineStr">
        <is>
          <t>Med</t>
        </is>
      </c>
      <c r="L6" s="10" t="inlineStr">
        <is>
          <t>Reported</t>
        </is>
      </c>
    </row>
    <row r="7">
      <c r="A7" s="19" t="inlineStr">
        <is>
          <t>boAt</t>
        </is>
      </c>
      <c r="B7" s="20" t="inlineStr">
        <is>
          <t>India</t>
        </is>
      </c>
      <c r="C7" s="19" t="inlineStr">
        <is>
          <t>Audio/Tech</t>
        </is>
      </c>
      <c r="D7" s="19" t="inlineStr">
        <is>
          <t>Gift-card discount</t>
        </is>
      </c>
      <c r="E7" s="25" t="inlineStr">
        <is>
          <t>E-gift card = instant flat 8% off</t>
        </is>
      </c>
      <c r="F7" s="25" t="inlineStr">
        <is>
          <t>Prepaid float + self-gifting locks spend</t>
        </is>
      </c>
      <c r="G7" s="20" t="inlineStr">
        <is>
          <t>Frequency</t>
        </is>
      </c>
      <c r="H7" s="25" t="inlineStr">
        <is>
          <t>Gift-card / prepaid credit</t>
        </is>
      </c>
      <c r="I7" s="19" t="inlineStr">
        <is>
          <t>(map to DO)</t>
        </is>
      </c>
      <c r="J7" s="19" t="inlineStr">
        <is>
          <t>gopaisa.com/boat</t>
        </is>
      </c>
      <c r="K7" s="20" t="inlineStr">
        <is>
          <t>Med</t>
        </is>
      </c>
      <c r="L7" s="20" t="inlineStr">
        <is>
          <t>Reported</t>
        </is>
      </c>
    </row>
    <row r="8">
      <c r="A8" s="16" t="inlineStr">
        <is>
          <t>Noise</t>
        </is>
      </c>
      <c r="B8" s="10" t="inlineStr">
        <is>
          <t>India</t>
        </is>
      </c>
      <c r="C8" s="16" t="inlineStr">
        <is>
          <t>Wearables</t>
        </is>
      </c>
      <c r="D8" s="16" t="inlineStr">
        <is>
          <t>Bundle / cross-sell</t>
        </is>
      </c>
      <c r="E8" s="9" t="inlineStr">
        <is>
          <t>Smartwatch + TWS combo SKU at price below sum</t>
        </is>
      </c>
      <c r="F8" s="9" t="inlineStr">
        <is>
          <t>Two-device starter kit lifts basket in one click</t>
        </is>
      </c>
      <c r="G8" s="10" t="inlineStr">
        <is>
          <t>AOV</t>
        </is>
      </c>
      <c r="H8" s="9" t="inlineStr">
        <is>
          <t>Case + charger / band + charger combo</t>
        </is>
      </c>
      <c r="I8" s="16" t="inlineStr">
        <is>
          <t>(map to DO)</t>
        </is>
      </c>
      <c r="J8" s="16" t="inlineStr">
        <is>
          <t>gonoise.com</t>
        </is>
      </c>
      <c r="K8" s="10" t="inlineStr">
        <is>
          <t>Med</t>
        </is>
      </c>
      <c r="L8" s="10" t="inlineStr">
        <is>
          <t>Reported</t>
        </is>
      </c>
    </row>
    <row r="9">
      <c r="A9" s="19" t="inlineStr">
        <is>
          <t>Noise</t>
        </is>
      </c>
      <c r="B9" s="20" t="inlineStr">
        <is>
          <t>India</t>
        </is>
      </c>
      <c r="C9" s="19" t="inlineStr">
        <is>
          <t>Wearables</t>
        </is>
      </c>
      <c r="D9" s="19" t="inlineStr">
        <is>
          <t>Multi-buy tier</t>
        </is>
      </c>
      <c r="E9" s="25" t="inlineStr">
        <is>
          <t>FEST15=15% off buy 2; FEST20=20% off buy 3+</t>
        </is>
      </c>
      <c r="F9" s="25" t="inlineStr">
        <is>
          <t>Explicit ladder rewards adding a 3rd item</t>
        </is>
      </c>
      <c r="G9" s="20" t="inlineStr">
        <is>
          <t>AOV</t>
        </is>
      </c>
      <c r="H9" s="25" t="inlineStr">
        <is>
          <t>Buy-2/3 cases ladder</t>
        </is>
      </c>
      <c r="I9" s="19" t="inlineStr">
        <is>
          <t>(map to DO)</t>
        </is>
      </c>
      <c r="J9" s="19" t="inlineStr">
        <is>
          <t>gonoise.com</t>
        </is>
      </c>
      <c r="K9" s="20" t="inlineStr">
        <is>
          <t>Med</t>
        </is>
      </c>
      <c r="L9" s="20" t="inlineStr">
        <is>
          <t>Reported</t>
        </is>
      </c>
    </row>
    <row r="10">
      <c r="A10" s="16" t="inlineStr">
        <is>
          <t>Noise</t>
        </is>
      </c>
      <c r="B10" s="10" t="inlineStr">
        <is>
          <t>India</t>
        </is>
      </c>
      <c r="C10" s="16" t="inlineStr">
        <is>
          <t>Wearables</t>
        </is>
      </c>
      <c r="D10" s="16" t="inlineStr">
        <is>
          <t>Free shipping</t>
        </is>
      </c>
      <c r="E10" s="9" t="inlineStr">
        <is>
          <t>Free shipping ALL orders, no minimum</t>
        </is>
      </c>
      <c r="F10" s="9" t="inlineStr">
        <is>
          <t>Removes friction on low-ticket</t>
        </is>
      </c>
      <c r="G10" s="10" t="inlineStr">
        <is>
          <t>CVR</t>
        </is>
      </c>
      <c r="H10" s="9" t="inlineStr">
        <is>
          <t>Prepaid free-ship framing</t>
        </is>
      </c>
      <c r="I10" s="16" t="inlineStr">
        <is>
          <t>(map to DO)</t>
        </is>
      </c>
      <c r="J10" s="16" t="inlineStr">
        <is>
          <t>gonoise.com</t>
        </is>
      </c>
      <c r="K10" s="10" t="inlineStr">
        <is>
          <t>Med</t>
        </is>
      </c>
      <c r="L10" s="10" t="inlineStr">
        <is>
          <t>Reported</t>
        </is>
      </c>
    </row>
    <row r="11">
      <c r="A11" s="19" t="inlineStr">
        <is>
          <t>Boult</t>
        </is>
      </c>
      <c r="B11" s="20" t="inlineStr">
        <is>
          <t>India</t>
        </is>
      </c>
      <c r="C11" s="19" t="inlineStr">
        <is>
          <t>Audio</t>
        </is>
      </c>
      <c r="D11" s="19" t="inlineStr">
        <is>
          <t>Payment</t>
        </is>
      </c>
      <c r="E11" s="25" t="inlineStr">
        <is>
          <t>Rs100 instant cashback on prepaid; extra 5% UPI</t>
        </is>
      </c>
      <c r="F11" s="25" t="inlineStr">
        <is>
          <t>Cash incentive to prepay small ticket</t>
        </is>
      </c>
      <c r="G11" s="20" t="inlineStr">
        <is>
          <t>CVR</t>
        </is>
      </c>
      <c r="H11" s="25" t="inlineStr">
        <is>
          <t>Prepaid cashback</t>
        </is>
      </c>
      <c r="I11" s="19" t="inlineStr">
        <is>
          <t>(map to DO)</t>
        </is>
      </c>
      <c r="J11" s="19" t="inlineStr">
        <is>
          <t>grabon.in/boult-audio</t>
        </is>
      </c>
      <c r="K11" s="20" t="inlineStr">
        <is>
          <t>Med</t>
        </is>
      </c>
      <c r="L11" s="20" t="inlineStr">
        <is>
          <t>Reported</t>
        </is>
      </c>
    </row>
    <row r="12">
      <c r="A12" s="16" t="inlineStr">
        <is>
          <t>Mokobara</t>
        </is>
      </c>
      <c r="B12" s="10" t="inlineStr">
        <is>
          <t>India</t>
        </is>
      </c>
      <c r="C12" s="16" t="inlineStr">
        <is>
          <t>Luggage/Bags</t>
        </is>
      </c>
      <c r="D12" s="16" t="inlineStr">
        <is>
          <t>Paid membership</t>
        </is>
      </c>
      <c r="E12" s="9" t="inlineStr">
        <is>
          <t>Moko Club Rs499/6mo = extra 5% off + 100-day trial + priority access</t>
        </is>
      </c>
      <c r="F12" s="9" t="inlineStr">
        <is>
          <t>Sunk-cost membership drives repeat on high ticket</t>
        </is>
      </c>
      <c r="G12" s="10" t="inlineStr">
        <is>
          <t>Frequency+AOV</t>
        </is>
      </c>
      <c r="H12" s="9" t="inlineStr">
        <is>
          <t>Paid membership for bags buyers</t>
        </is>
      </c>
      <c r="I12" s="16" t="inlineStr">
        <is>
          <t>(map to DO)</t>
        </is>
      </c>
      <c r="J12" s="16" t="inlineStr">
        <is>
          <t>grabon.in/mokobara</t>
        </is>
      </c>
      <c r="K12" s="10" t="inlineStr">
        <is>
          <t>Med</t>
        </is>
      </c>
      <c r="L12" s="10" t="inlineStr">
        <is>
          <t>Reported</t>
        </is>
      </c>
    </row>
    <row r="13">
      <c r="A13" s="19" t="inlineStr">
        <is>
          <t>Mokobara</t>
        </is>
      </c>
      <c r="B13" s="20" t="inlineStr">
        <is>
          <t>India</t>
        </is>
      </c>
      <c r="C13" s="19" t="inlineStr">
        <is>
          <t>Luggage/Bags</t>
        </is>
      </c>
      <c r="D13" s="19" t="inlineStr">
        <is>
          <t>Risk reversal</t>
        </is>
      </c>
      <c r="E13" s="25" t="inlineStr">
        <is>
          <t>30-day trial + 6-year warranty</t>
        </is>
      </c>
      <c r="F13" s="25" t="inlineStr">
        <is>
          <t>Kills 'is it worth it' objection on premium</t>
        </is>
      </c>
      <c r="G13" s="20" t="inlineStr">
        <is>
          <t>CVR</t>
        </is>
      </c>
      <c r="H13" s="25" t="inlineStr">
        <is>
          <t>Backpack/luggage trial + warranty</t>
        </is>
      </c>
      <c r="I13" s="19" t="inlineStr">
        <is>
          <t>(map to DO)</t>
        </is>
      </c>
      <c r="J13" s="19" t="inlineStr">
        <is>
          <t>grabon.in/mokobara</t>
        </is>
      </c>
      <c r="K13" s="20" t="inlineStr">
        <is>
          <t>Med</t>
        </is>
      </c>
      <c r="L13" s="20" t="inlineStr">
        <is>
          <t>Reported</t>
        </is>
      </c>
    </row>
    <row r="14">
      <c r="A14" s="16" t="inlineStr">
        <is>
          <t>Mokobara</t>
        </is>
      </c>
      <c r="B14" s="10" t="inlineStr">
        <is>
          <t>India</t>
        </is>
      </c>
      <c r="C14" s="16" t="inlineStr">
        <is>
          <t>Luggage/Bags</t>
        </is>
      </c>
      <c r="D14" s="16" t="inlineStr">
        <is>
          <t>Set pricing</t>
        </is>
      </c>
      <c r="E14" s="9" t="inlineStr">
        <is>
          <t>Luggage 'sets' &amp; travel combos at reduced set price</t>
        </is>
      </c>
      <c r="F14" s="9" t="inlineStr">
        <is>
          <t>Set aspiration + AOV</t>
        </is>
      </c>
      <c r="G14" s="10" t="inlineStr">
        <is>
          <t>AOV</t>
        </is>
      </c>
      <c r="H14" s="9" t="inlineStr">
        <is>
          <t>Bag + organiser + sleeve set</t>
        </is>
      </c>
      <c r="I14" s="16" t="inlineStr">
        <is>
          <t>(map to DO)</t>
        </is>
      </c>
      <c r="J14" s="16" t="inlineStr">
        <is>
          <t>mokobara.com/collections/explore-iconic-luggage</t>
        </is>
      </c>
      <c r="K14" s="10" t="inlineStr">
        <is>
          <t>Med</t>
        </is>
      </c>
      <c r="L14" s="10" t="inlineStr">
        <is>
          <t>Reported</t>
        </is>
      </c>
    </row>
    <row r="15">
      <c r="A15" s="19" t="inlineStr">
        <is>
          <t>Mokobara</t>
        </is>
      </c>
      <c r="B15" s="20" t="inlineStr">
        <is>
          <t>India</t>
        </is>
      </c>
      <c r="C15" s="19" t="inlineStr">
        <is>
          <t>Luggage/Bags</t>
        </is>
      </c>
      <c r="D15" s="19" t="inlineStr">
        <is>
          <t>Referral</t>
        </is>
      </c>
      <c r="E15" s="25" t="inlineStr">
        <is>
          <t>Give-get referral for credit</t>
        </is>
      </c>
      <c r="F15" s="25" t="inlineStr">
        <is>
          <t>CAC-efficient aspirational acquisition</t>
        </is>
      </c>
      <c r="G15" s="20" t="inlineStr">
        <is>
          <t>Acquisition</t>
        </is>
      </c>
      <c r="H15" s="25" t="inlineStr">
        <is>
          <t>Referral credit</t>
        </is>
      </c>
      <c r="I15" s="19" t="inlineStr">
        <is>
          <t>(map to DO)</t>
        </is>
      </c>
      <c r="J15" s="19" t="inlineStr">
        <is>
          <t>desidime.com/stores/mokobara</t>
        </is>
      </c>
      <c r="K15" s="20" t="inlineStr">
        <is>
          <t>Med</t>
        </is>
      </c>
      <c r="L15" s="20" t="inlineStr">
        <is>
          <t>Reported</t>
        </is>
      </c>
    </row>
    <row r="16">
      <c r="A16" s="16" t="inlineStr">
        <is>
          <t>Zouk</t>
        </is>
      </c>
      <c r="B16" s="10" t="inlineStr">
        <is>
          <t>India</t>
        </is>
      </c>
      <c r="C16" s="16" t="inlineStr">
        <is>
          <t>Bags</t>
        </is>
      </c>
      <c r="D16" s="16" t="inlineStr">
        <is>
          <t>Bundle / cross-sell</t>
        </is>
      </c>
      <c r="E16" s="9" t="inlineStr">
        <is>
          <t>Named combo SKUs: 'Laptop Bag + Chain Wallet' at special price; combos up to 50% off</t>
        </is>
      </c>
      <c r="F16" s="9" t="inlineStr">
        <is>
          <t>Pairs hero (bag) with attach (wallet) - direct DO analogue</t>
        </is>
      </c>
      <c r="G16" s="10" t="inlineStr">
        <is>
          <t>AOV</t>
        </is>
      </c>
      <c r="H16" s="9" t="inlineStr">
        <is>
          <t>Backpack + wallet / sleeve combo</t>
        </is>
      </c>
      <c r="I16" s="16" t="inlineStr">
        <is>
          <t>(map to DO)</t>
        </is>
      </c>
      <c r="J16" s="16" t="inlineStr">
        <is>
          <t>zouk.co.in/products/ikat-wave-combo-laptop-bag-chain-wallet</t>
        </is>
      </c>
      <c r="K16" s="10" t="inlineStr">
        <is>
          <t>Med</t>
        </is>
      </c>
      <c r="L16" s="10" t="inlineStr">
        <is>
          <t>Reported</t>
        </is>
      </c>
    </row>
    <row r="17">
      <c r="A17" s="19" t="inlineStr">
        <is>
          <t>Zouk</t>
        </is>
      </c>
      <c r="B17" s="20" t="inlineStr">
        <is>
          <t>India</t>
        </is>
      </c>
      <c r="C17" s="19" t="inlineStr">
        <is>
          <t>Bags</t>
        </is>
      </c>
      <c r="D17" s="19" t="inlineStr">
        <is>
          <t>Payment / prepaid</t>
        </is>
      </c>
      <c r="E17" s="25" t="inlineStr">
        <is>
          <t>Free ship + faster dispatch + extra 5% off prepaid; stack bank offers</t>
        </is>
      </c>
      <c r="F17" s="25" t="inlineStr">
        <is>
          <t>Prepaid preference lowers RTO on bags</t>
        </is>
      </c>
      <c r="G17" s="20" t="inlineStr">
        <is>
          <t>CVR</t>
        </is>
      </c>
      <c r="H17" s="25" t="inlineStr">
        <is>
          <t>Prepaid incentive on bags</t>
        </is>
      </c>
      <c r="I17" s="19" t="inlineStr">
        <is>
          <t>(map to DO)</t>
        </is>
      </c>
      <c r="J17" s="19" t="inlineStr">
        <is>
          <t>couponorg.co.in/zouk</t>
        </is>
      </c>
      <c r="K17" s="20" t="inlineStr">
        <is>
          <t>Med</t>
        </is>
      </c>
      <c r="L17" s="20" t="inlineStr">
        <is>
          <t>Reported</t>
        </is>
      </c>
    </row>
    <row r="18">
      <c r="A18" s="16" t="inlineStr">
        <is>
          <t>Wildcraft</t>
        </is>
      </c>
      <c r="B18" s="10" t="inlineStr">
        <is>
          <t>India</t>
        </is>
      </c>
      <c r="C18" s="16" t="inlineStr">
        <is>
          <t>Bags/Luggage</t>
        </is>
      </c>
      <c r="D18" s="16" t="inlineStr">
        <is>
          <t>Multi-buy threshold</t>
        </is>
      </c>
      <c r="E18" s="9" t="inlineStr">
        <is>
          <t>'Buy 2 bags, flat Rs500 off'; Axis card extra 10%</t>
        </is>
      </c>
      <c r="F18" s="9" t="inlineStr">
        <is>
          <t>Fixed-rupee reward for 2nd bag + co-brand bank</t>
        </is>
      </c>
      <c r="G18" s="10" t="inlineStr">
        <is>
          <t>AOV</t>
        </is>
      </c>
      <c r="H18" s="9" t="inlineStr">
        <is>
          <t>Buy-2-bags reward</t>
        </is>
      </c>
      <c r="I18" s="16" t="inlineStr">
        <is>
          <t>(map to DO)</t>
        </is>
      </c>
      <c r="J18" s="16" t="inlineStr">
        <is>
          <t>grabon.in/wildcraft</t>
        </is>
      </c>
      <c r="K18" s="10" t="inlineStr">
        <is>
          <t>Med</t>
        </is>
      </c>
      <c r="L18" s="10" t="inlineStr">
        <is>
          <t>Reported</t>
        </is>
      </c>
    </row>
    <row r="19">
      <c r="A19" s="19" t="inlineStr">
        <is>
          <t>Nicobar</t>
        </is>
      </c>
      <c r="B19" s="20" t="inlineStr">
        <is>
          <t>India</t>
        </is>
      </c>
      <c r="C19" s="19" t="inlineStr">
        <is>
          <t>Lifestyle/Home</t>
        </is>
      </c>
      <c r="D19" s="19" t="inlineStr">
        <is>
          <t>Free-ship threshold</t>
        </is>
      </c>
      <c r="E19" s="25" t="inlineStr">
        <is>
          <t>Free domestic shipping above Rs5,000 (Rs1,000 home)</t>
        </is>
      </c>
      <c r="F19" s="25" t="inlineStr">
        <is>
          <t>High threshold pushes basket building</t>
        </is>
      </c>
      <c r="G19" s="20" t="inlineStr">
        <is>
          <t>AOV</t>
        </is>
      </c>
      <c r="H19" s="25" t="inlineStr">
        <is>
          <t>Tiered free-ship / GWP</t>
        </is>
      </c>
      <c r="I19" s="19" t="inlineStr">
        <is>
          <t>(map to DO)</t>
        </is>
      </c>
      <c r="J19" s="19" t="inlineStr">
        <is>
          <t>nicobar.com/pages/faq</t>
        </is>
      </c>
      <c r="K19" s="20" t="inlineStr">
        <is>
          <t>Med</t>
        </is>
      </c>
      <c r="L19" s="20" t="inlineStr">
        <is>
          <t>Reported</t>
        </is>
      </c>
    </row>
    <row r="20">
      <c r="A20" s="16" t="inlineStr">
        <is>
          <t>Nicobar</t>
        </is>
      </c>
      <c r="B20" s="10" t="inlineStr">
        <is>
          <t>India</t>
        </is>
      </c>
      <c r="C20" s="16" t="inlineStr">
        <is>
          <t>Lifestyle/Home</t>
        </is>
      </c>
      <c r="D20" s="16" t="inlineStr">
        <is>
          <t>Gifting concierge</t>
        </is>
      </c>
      <c r="E20" s="9" t="inlineStr">
        <is>
          <t>'India-Inspired Gifts' curated sets + concierge (curate to occasion/budget)</t>
        </is>
      </c>
      <c r="F20" s="9" t="inlineStr">
        <is>
          <t>Turns browsing into gift-basket AOV</t>
        </is>
      </c>
      <c r="G20" s="10" t="inlineStr">
        <is>
          <t>AOV</t>
        </is>
      </c>
      <c r="H20" s="9" t="inlineStr">
        <is>
          <t>Gifting concierge / curated sets</t>
        </is>
      </c>
      <c r="I20" s="16" t="inlineStr">
        <is>
          <t>(map to DO)</t>
        </is>
      </c>
      <c r="J20" s="16" t="inlineStr">
        <is>
          <t>nicobar.com/pages/gifting-service</t>
        </is>
      </c>
      <c r="K20" s="10" t="inlineStr">
        <is>
          <t>Med</t>
        </is>
      </c>
      <c r="L20" s="10" t="inlineStr">
        <is>
          <t>Reported</t>
        </is>
      </c>
    </row>
    <row r="21">
      <c r="A21" s="19" t="inlineStr">
        <is>
          <t>Nappa Dori</t>
        </is>
      </c>
      <c r="B21" s="20" t="inlineStr">
        <is>
          <t>India</t>
        </is>
      </c>
      <c r="C21" s="19" t="inlineStr">
        <is>
          <t>Leather/Bags</t>
        </is>
      </c>
      <c r="D21" s="19" t="inlineStr">
        <is>
          <t>Personalisation attach</t>
        </is>
      </c>
      <c r="E21" s="25" t="inlineStr">
        <is>
          <t>Monogram/initials add-on SKU on leather goods</t>
        </is>
      </c>
      <c r="F21" s="25" t="inlineStr">
        <is>
          <t>Personalisation raises value + kills returns</t>
        </is>
      </c>
      <c r="G21" s="20" t="inlineStr">
        <is>
          <t>AOV</t>
        </is>
      </c>
      <c r="H21" s="25" t="inlineStr">
        <is>
          <t>Monogram on wallets/sleeves/cases</t>
        </is>
      </c>
      <c r="I21" s="19" t="inlineStr">
        <is>
          <t>(map to DO)</t>
        </is>
      </c>
      <c r="J21" s="19" t="inlineStr">
        <is>
          <t>nappadori.com/products/item-personalization</t>
        </is>
      </c>
      <c r="K21" s="20" t="inlineStr">
        <is>
          <t>Med</t>
        </is>
      </c>
      <c r="L21" s="20" t="inlineStr">
        <is>
          <t>Reported</t>
        </is>
      </c>
    </row>
    <row r="22">
      <c r="A22" s="16" t="inlineStr">
        <is>
          <t>Nappa Dori</t>
        </is>
      </c>
      <c r="B22" s="10" t="inlineStr">
        <is>
          <t>India</t>
        </is>
      </c>
      <c r="C22" s="16" t="inlineStr">
        <is>
          <t>Leather/Bags</t>
        </is>
      </c>
      <c r="D22" s="16" t="inlineStr">
        <is>
          <t>Corporate/bulk</t>
        </is>
      </c>
      <c r="E22" s="9" t="inlineStr">
        <is>
          <t>Dedicated corporate gifting for bulk custom orders</t>
        </is>
      </c>
      <c r="F22" s="9" t="inlineStr">
        <is>
          <t>B2B lifts order size massively</t>
        </is>
      </c>
      <c r="G22" s="10" t="inlineStr">
        <is>
          <t>AOV</t>
        </is>
      </c>
      <c r="H22" s="9" t="inlineStr">
        <is>
          <t>Corporate gifting funnel</t>
        </is>
      </c>
      <c r="I22" s="16" t="inlineStr">
        <is>
          <t>(map to DO)</t>
        </is>
      </c>
      <c r="J22" s="16" t="inlineStr">
        <is>
          <t>nappadori.com/collections/corporate-gifting</t>
        </is>
      </c>
      <c r="K22" s="10" t="inlineStr">
        <is>
          <t>Med</t>
        </is>
      </c>
      <c r="L22" s="10" t="inlineStr">
        <is>
          <t>Reported</t>
        </is>
      </c>
    </row>
    <row r="23">
      <c r="A23" s="19" t="inlineStr">
        <is>
          <t>Bewakoof</t>
        </is>
      </c>
      <c r="B23" s="20" t="inlineStr">
        <is>
          <t>India</t>
        </is>
      </c>
      <c r="C23" s="19" t="inlineStr">
        <is>
          <t>Apparel</t>
        </is>
      </c>
      <c r="D23" s="19" t="inlineStr">
        <is>
          <t>Paid membership</t>
        </is>
      </c>
      <c r="E23" s="25" t="inlineStr">
        <is>
          <t>TriBe Rs99/3mo = free ship no-min + 24h early access + member coupons + cashback</t>
        </is>
      </c>
      <c r="F23" s="25" t="inlineStr">
        <is>
          <t>Membership beats free-ship threshold; frequency</t>
        </is>
      </c>
      <c r="G23" s="20" t="inlineStr">
        <is>
          <t>Frequency</t>
        </is>
      </c>
      <c r="H23" s="25" t="inlineStr">
        <is>
          <t>Low-cost membership</t>
        </is>
      </c>
      <c r="I23" s="19" t="inlineStr">
        <is>
          <t>(map to DO)</t>
        </is>
      </c>
      <c r="J23" s="19" t="inlineStr">
        <is>
          <t>godeal.online/bewakoof-tribe</t>
        </is>
      </c>
      <c r="K23" s="20" t="inlineStr">
        <is>
          <t>Med</t>
        </is>
      </c>
      <c r="L23" s="20" t="inlineStr">
        <is>
          <t>Reported</t>
        </is>
      </c>
    </row>
    <row r="24">
      <c r="A24" s="16" t="inlineStr">
        <is>
          <t>The Souled Store</t>
        </is>
      </c>
      <c r="B24" s="10" t="inlineStr">
        <is>
          <t>India</t>
        </is>
      </c>
      <c r="C24" s="16" t="inlineStr">
        <is>
          <t>Apparel</t>
        </is>
      </c>
      <c r="D24" s="16" t="inlineStr">
        <is>
          <t>Free-ship threshold</t>
        </is>
      </c>
      <c r="E24" s="9" t="inlineStr">
        <is>
          <t>Free shipping on prepaid orders &gt;= Rs499</t>
        </is>
      </c>
      <c r="F24" s="9" t="inlineStr">
        <is>
          <t>Classic nudge toward a 2nd item</t>
        </is>
      </c>
      <c r="G24" s="10" t="inlineStr">
        <is>
          <t>AOV</t>
        </is>
      </c>
      <c r="H24" s="9" t="inlineStr">
        <is>
          <t>Prepaid free-ship bar</t>
        </is>
      </c>
      <c r="I24" s="16" t="inlineStr">
        <is>
          <t>(map to DO)</t>
        </is>
      </c>
      <c r="J24" s="16" t="inlineStr">
        <is>
          <t>zoutons.com/the-souled-store</t>
        </is>
      </c>
      <c r="K24" s="10" t="inlineStr">
        <is>
          <t>Med</t>
        </is>
      </c>
      <c r="L24" s="10" t="inlineStr">
        <is>
          <t>Reported</t>
        </is>
      </c>
    </row>
    <row r="25">
      <c r="A25" s="19" t="inlineStr">
        <is>
          <t>The Souled Store</t>
        </is>
      </c>
      <c r="B25" s="20" t="inlineStr">
        <is>
          <t>India</t>
        </is>
      </c>
      <c r="C25" s="19" t="inlineStr">
        <is>
          <t>Apparel</t>
        </is>
      </c>
      <c r="D25" s="19" t="inlineStr">
        <is>
          <t>Combo pack SKU</t>
        </is>
      </c>
      <c r="E25" s="25" t="inlineStr">
        <is>
          <t>Buy-2/3 tees sold as single pack SKU; return-whole-pack rule</t>
        </is>
      </c>
      <c r="F25" s="25" t="inlineStr">
        <is>
          <t>Locks multi-unit; protects margin</t>
        </is>
      </c>
      <c r="G25" s="20" t="inlineStr">
        <is>
          <t>AOV</t>
        </is>
      </c>
      <c r="H25" s="25" t="inlineStr">
        <is>
          <t>Multi-pack cases SKU</t>
        </is>
      </c>
      <c r="I25" s="19" t="inlineStr">
        <is>
          <t>(map to DO)</t>
        </is>
      </c>
      <c r="J25" s="19" t="inlineStr">
        <is>
          <t>thesouledstore.com</t>
        </is>
      </c>
      <c r="K25" s="20" t="inlineStr">
        <is>
          <t>Med</t>
        </is>
      </c>
      <c r="L25" s="20" t="inlineStr">
        <is>
          <t>Reported</t>
        </is>
      </c>
    </row>
    <row r="26">
      <c r="A26" s="16" t="inlineStr">
        <is>
          <t>XYXX</t>
        </is>
      </c>
      <c r="B26" s="10" t="inlineStr">
        <is>
          <t>India</t>
        </is>
      </c>
      <c r="C26" s="16" t="inlineStr">
        <is>
          <t>Innerwear</t>
        </is>
      </c>
      <c r="D26" s="16" t="inlineStr">
        <is>
          <t>Pack ladder</t>
        </is>
      </c>
      <c r="E26" s="9" t="inlineStr">
        <is>
          <t>'Pick any 5 briefs Rs999'; multipacks save up to 37%</t>
        </is>
      </c>
      <c r="F26" s="9" t="inlineStr">
        <is>
          <t>Per-unit price drops as pack grows</t>
        </is>
      </c>
      <c r="G26" s="10" t="inlineStr">
        <is>
          <t>AOV</t>
        </is>
      </c>
      <c r="H26" s="9" t="inlineStr">
        <is>
          <t>Build-your-pack cases/organisers</t>
        </is>
      </c>
      <c r="I26" s="16" t="inlineStr">
        <is>
          <t>(map to DO)</t>
        </is>
      </c>
      <c r="J26" s="16" t="inlineStr">
        <is>
          <t>xyxxcrew.com/collections/buy-5-briefs-999</t>
        </is>
      </c>
      <c r="K26" s="10" t="inlineStr">
        <is>
          <t>Med</t>
        </is>
      </c>
      <c r="L26" s="10" t="inlineStr">
        <is>
          <t>Reported</t>
        </is>
      </c>
    </row>
    <row r="27">
      <c r="A27" s="19" t="inlineStr">
        <is>
          <t>Beardo</t>
        </is>
      </c>
      <c r="B27" s="20" t="inlineStr">
        <is>
          <t>India</t>
        </is>
      </c>
      <c r="C27" s="19" t="inlineStr">
        <is>
          <t>Grooming</t>
        </is>
      </c>
      <c r="D27" s="19" t="inlineStr">
        <is>
          <t>Multi-buy event</t>
        </is>
      </c>
      <c r="E27" s="25" t="inlineStr">
        <is>
          <t>'Buy 2 Get 2 Free' across range</t>
        </is>
      </c>
      <c r="F27" s="25" t="inlineStr">
        <is>
          <t>BOGO doubles units per order</t>
        </is>
      </c>
      <c r="G27" s="20" t="inlineStr">
        <is>
          <t>AOV</t>
        </is>
      </c>
      <c r="H27" s="25" t="inlineStr">
        <is>
          <t>Occasion BOGO on impulse SKUs</t>
        </is>
      </c>
      <c r="I27" s="19" t="inlineStr">
        <is>
          <t>(map to DO)</t>
        </is>
      </c>
      <c r="J27" s="19" t="inlineStr">
        <is>
          <t>beardo.in/collections/all-single-products</t>
        </is>
      </c>
      <c r="K27" s="20" t="inlineStr">
        <is>
          <t>Med</t>
        </is>
      </c>
      <c r="L27" s="20" t="inlineStr">
        <is>
          <t>Reported</t>
        </is>
      </c>
    </row>
    <row r="28">
      <c r="A28" s="16" t="inlineStr">
        <is>
          <t>mCaffeine</t>
        </is>
      </c>
      <c r="B28" s="10" t="inlineStr">
        <is>
          <t>India</t>
        </is>
      </c>
      <c r="C28" s="16" t="inlineStr">
        <is>
          <t>Beauty</t>
        </is>
      </c>
      <c r="D28" s="16" t="inlineStr">
        <is>
          <t>GWP ladder</t>
        </is>
      </c>
      <c r="E28" s="9" t="inlineStr">
        <is>
          <t>Free serum on orders &gt; Rs999; up to 2 free gifts auto-added at cart thresholds</t>
        </is>
      </c>
      <c r="F28" s="9" t="inlineStr">
        <is>
          <t>Tiered GWP pushes cart to next rung</t>
        </is>
      </c>
      <c r="G28" s="10" t="inlineStr">
        <is>
          <t>AOV</t>
        </is>
      </c>
      <c r="H28" s="9" t="inlineStr">
        <is>
          <t>Cart GWP ladder</t>
        </is>
      </c>
      <c r="I28" s="16" t="inlineStr">
        <is>
          <t>(map to DO)</t>
        </is>
      </c>
      <c r="J28" s="16" t="inlineStr">
        <is>
          <t>grabon.in/mcaffeine</t>
        </is>
      </c>
      <c r="K28" s="10" t="inlineStr">
        <is>
          <t>Med</t>
        </is>
      </c>
      <c r="L28" s="10" t="inlineStr">
        <is>
          <t>Reported</t>
        </is>
      </c>
    </row>
    <row r="29">
      <c r="A29" s="19" t="inlineStr">
        <is>
          <t>Sugar</t>
        </is>
      </c>
      <c r="B29" s="20" t="inlineStr">
        <is>
          <t>India</t>
        </is>
      </c>
      <c r="C29" s="19" t="inlineStr">
        <is>
          <t>Beauty</t>
        </is>
      </c>
      <c r="D29" s="19" t="inlineStr">
        <is>
          <t>Loyalty points</t>
        </is>
      </c>
      <c r="E29" s="25" t="inlineStr">
        <is>
          <t>Sign-up 500 pts; earn per spend; VIP tiers; redeem via code</t>
        </is>
      </c>
      <c r="F29" s="25" t="inlineStr">
        <is>
          <t>Points balance = reason to return</t>
        </is>
      </c>
      <c r="G29" s="20" t="inlineStr">
        <is>
          <t>Frequency</t>
        </is>
      </c>
      <c r="H29" s="25" t="inlineStr">
        <is>
          <t>Points loyalty relaunch</t>
        </is>
      </c>
      <c r="I29" s="19" t="inlineStr">
        <is>
          <t>(map to DO)</t>
        </is>
      </c>
      <c r="J29" s="19" t="inlineStr">
        <is>
          <t>sugarcosmetics.com/pages/faqs</t>
        </is>
      </c>
      <c r="K29" s="20" t="inlineStr">
        <is>
          <t>Med</t>
        </is>
      </c>
      <c r="L29" s="20" t="inlineStr">
        <is>
          <t>Reported</t>
        </is>
      </c>
    </row>
    <row r="30">
      <c r="A30" s="16" t="inlineStr">
        <is>
          <t>Sugar</t>
        </is>
      </c>
      <c r="B30" s="10" t="inlineStr">
        <is>
          <t>India</t>
        </is>
      </c>
      <c r="C30" s="16" t="inlineStr">
        <is>
          <t>Beauty</t>
        </is>
      </c>
      <c r="D30" s="16" t="inlineStr">
        <is>
          <t>Referral</t>
        </is>
      </c>
      <c r="E30" s="9" t="inlineStr">
        <is>
          <t>Refer = 750 pts once referee shops (prepaid instant/COD post-delivery)</t>
        </is>
      </c>
      <c r="F30" s="9" t="inlineStr">
        <is>
          <t>Point-denominated, COD-guarded referral</t>
        </is>
      </c>
      <c r="G30" s="10" t="inlineStr">
        <is>
          <t>Acquisition</t>
        </is>
      </c>
      <c r="H30" s="9" t="inlineStr">
        <is>
          <t>Referral</t>
        </is>
      </c>
      <c r="I30" s="16" t="inlineStr">
        <is>
          <t>(map to DO)</t>
        </is>
      </c>
      <c r="J30" s="16" t="inlineStr">
        <is>
          <t>grabon.in/sugar-cosmetics</t>
        </is>
      </c>
      <c r="K30" s="10" t="inlineStr">
        <is>
          <t>Med</t>
        </is>
      </c>
      <c r="L30" s="10" t="inlineStr">
        <is>
          <t>Reported</t>
        </is>
      </c>
    </row>
    <row r="31">
      <c r="A31" s="19" t="inlineStr">
        <is>
          <t>Sugar</t>
        </is>
      </c>
      <c r="B31" s="20" t="inlineStr">
        <is>
          <t>India</t>
        </is>
      </c>
      <c r="C31" s="19" t="inlineStr">
        <is>
          <t>Beauty</t>
        </is>
      </c>
      <c r="D31" s="19" t="inlineStr">
        <is>
          <t>Auto-GWP</t>
        </is>
      </c>
      <c r="E31" s="25" t="inlineStr">
        <is>
          <t>Free gift auto-added at checkout, no code</t>
        </is>
      </c>
      <c r="F31" s="25" t="inlineStr">
        <is>
          <t>Surprise delight raises perceived value</t>
        </is>
      </c>
      <c r="G31" s="20" t="inlineStr">
        <is>
          <t>CVR+AOV</t>
        </is>
      </c>
      <c r="H31" s="25" t="inlineStr">
        <is>
          <t>Auto GWP</t>
        </is>
      </c>
      <c r="I31" s="19" t="inlineStr">
        <is>
          <t>(map to DO)</t>
        </is>
      </c>
      <c r="J31" s="19" t="inlineStr">
        <is>
          <t>sugarcosmetics.com/collections/free-gift</t>
        </is>
      </c>
      <c r="K31" s="20" t="inlineStr">
        <is>
          <t>Med</t>
        </is>
      </c>
      <c r="L31" s="20" t="inlineStr">
        <is>
          <t>Reported</t>
        </is>
      </c>
    </row>
    <row r="32">
      <c r="A32" s="16" t="inlineStr">
        <is>
          <t>Mamaearth</t>
        </is>
      </c>
      <c r="B32" s="10" t="inlineStr">
        <is>
          <t>India</t>
        </is>
      </c>
      <c r="C32" s="16" t="inlineStr">
        <is>
          <t>Beauty</t>
        </is>
      </c>
      <c r="D32" s="16" t="inlineStr">
        <is>
          <t>GWP threshold</t>
        </is>
      </c>
      <c r="E32" s="9" t="inlineStr">
        <is>
          <t>2 full-size products free on cart &gt; Rs698, auto-added</t>
        </is>
      </c>
      <c r="F32" s="9" t="inlineStr">
        <is>
          <t>Concrete 'add Rs X for 2 free'</t>
        </is>
      </c>
      <c r="G32" s="10" t="inlineStr">
        <is>
          <t>AOV</t>
        </is>
      </c>
      <c r="H32" s="9" t="inlineStr">
        <is>
          <t>Cart GWP bar</t>
        </is>
      </c>
      <c r="I32" s="16" t="inlineStr">
        <is>
          <t>(map to DO)</t>
        </is>
      </c>
      <c r="J32" s="16" t="inlineStr">
        <is>
          <t>grabon.in/mamaearth</t>
        </is>
      </c>
      <c r="K32" s="10" t="inlineStr">
        <is>
          <t>Med</t>
        </is>
      </c>
      <c r="L32" s="10" t="inlineStr">
        <is>
          <t>Reported</t>
        </is>
      </c>
    </row>
    <row r="33">
      <c r="A33" s="19" t="inlineStr">
        <is>
          <t>Mamaearth</t>
        </is>
      </c>
      <c r="B33" s="20" t="inlineStr">
        <is>
          <t>India</t>
        </is>
      </c>
      <c r="C33" s="19" t="inlineStr">
        <is>
          <t>Beauty</t>
        </is>
      </c>
      <c r="D33" s="19" t="inlineStr">
        <is>
          <t>Payment + free ship</t>
        </is>
      </c>
      <c r="E33" s="25" t="inlineStr">
        <is>
          <t>Free ship &gt; Rs399; extra 5% off online vs COD</t>
        </is>
      </c>
      <c r="F33" s="25" t="inlineStr">
        <is>
          <t>Low threshold + prepaid incentive</t>
        </is>
      </c>
      <c r="G33" s="20" t="inlineStr">
        <is>
          <t>CVR</t>
        </is>
      </c>
      <c r="H33" s="25" t="inlineStr">
        <is>
          <t>Prepaid + low free-ship bar</t>
        </is>
      </c>
      <c r="I33" s="19" t="inlineStr">
        <is>
          <t>(map to DO)</t>
        </is>
      </c>
      <c r="J33" s="19" t="inlineStr">
        <is>
          <t>grabon.in/mamaearth</t>
        </is>
      </c>
      <c r="K33" s="20" t="inlineStr">
        <is>
          <t>Med</t>
        </is>
      </c>
      <c r="L33" s="20" t="inlineStr">
        <is>
          <t>Reported</t>
        </is>
      </c>
    </row>
    <row r="34">
      <c r="A34" s="16" t="inlineStr">
        <is>
          <t>WOW</t>
        </is>
      </c>
      <c r="B34" s="10" t="inlineStr">
        <is>
          <t>India</t>
        </is>
      </c>
      <c r="C34" s="16" t="inlineStr">
        <is>
          <t>Beauty</t>
        </is>
      </c>
      <c r="D34" s="16" t="inlineStr">
        <is>
          <t>Prepaid multibuy</t>
        </is>
      </c>
      <c r="E34" s="9" t="inlineStr">
        <is>
          <t>'Buy 3 pay for 2' prepaid only; B2G2 free</t>
        </is>
      </c>
      <c r="F34" s="9" t="inlineStr">
        <is>
          <t>Prepaid-gated multibuy cuts RTO + units</t>
        </is>
      </c>
      <c r="G34" s="10" t="inlineStr">
        <is>
          <t>AOV+CVR</t>
        </is>
      </c>
      <c r="H34" s="9" t="inlineStr">
        <is>
          <t>Prepaid multibuy</t>
        </is>
      </c>
      <c r="I34" s="16" t="inlineStr">
        <is>
          <t>(map to DO)</t>
        </is>
      </c>
      <c r="J34" s="16" t="inlineStr">
        <is>
          <t>picodi.com/in/wow-skin-science</t>
        </is>
      </c>
      <c r="K34" s="10" t="inlineStr">
        <is>
          <t>Med</t>
        </is>
      </c>
      <c r="L34" s="10" t="inlineStr">
        <is>
          <t>Reported</t>
        </is>
      </c>
    </row>
    <row r="35">
      <c r="A35" s="19" t="inlineStr">
        <is>
          <t>Bombay Shirt Co</t>
        </is>
      </c>
      <c r="B35" s="20" t="inlineStr">
        <is>
          <t>India</t>
        </is>
      </c>
      <c r="C35" s="19" t="inlineStr">
        <is>
          <t>Apparel</t>
        </is>
      </c>
      <c r="D35" s="19" t="inlineStr">
        <is>
          <t>Configurator/quiz</t>
        </is>
      </c>
      <c r="E35" s="25" t="inlineStr">
        <is>
          <t>Build your shirt: fabric/collar/cuff + monogram; size saved forever; free alterations for life</t>
        </is>
      </c>
      <c r="F35" s="25" t="inlineStr">
        <is>
          <t>Customisation = engagement + no returns + repeat</t>
        </is>
      </c>
      <c r="G35" s="20" t="inlineStr">
        <is>
          <t>CVR+Frequency</t>
        </is>
      </c>
      <c r="H35" s="25" t="inlineStr">
        <is>
          <t>Build-your-case / build-your-desk</t>
        </is>
      </c>
      <c r="I35" s="19" t="inlineStr">
        <is>
          <t>(map to DO)</t>
        </is>
      </c>
      <c r="J35" s="19" t="inlineStr">
        <is>
          <t>bombayshirts.com/pages/bsc-how-to-custom-make-your-shirt</t>
        </is>
      </c>
      <c r="K35" s="20" t="inlineStr">
        <is>
          <t>Med</t>
        </is>
      </c>
      <c r="L35" s="20" t="inlineStr">
        <is>
          <t>Reported</t>
        </is>
      </c>
    </row>
    <row r="36">
      <c r="A36" s="16" t="inlineStr">
        <is>
          <t>Casetify</t>
        </is>
      </c>
      <c r="B36" s="10" t="inlineStr">
        <is>
          <t>Intl</t>
        </is>
      </c>
      <c r="C36" s="16" t="inlineStr">
        <is>
          <t>Phone cases</t>
        </is>
      </c>
      <c r="D36" s="16" t="inlineStr">
        <is>
          <t>Multi-buy escalator</t>
        </is>
      </c>
      <c r="E36" s="9" t="inlineStr">
        <is>
          <t>Auto at cart, no code: 15% off 1, 20% off 2+, up to 30% off 3+</t>
        </is>
      </c>
      <c r="F36" s="9" t="inlineStr">
        <is>
          <t>2nd case is the whole game for case AOV</t>
        </is>
      </c>
      <c r="G36" s="10" t="inlineStr">
        <is>
          <t>AOV</t>
        </is>
      </c>
      <c r="H36" s="9" t="inlineStr">
        <is>
          <t>Buy-more cases escalator</t>
        </is>
      </c>
      <c r="I36" s="16" t="inlineStr">
        <is>
          <t>(map to DO)</t>
        </is>
      </c>
      <c r="J36" s="16" t="inlineStr">
        <is>
          <t>simplycodes.com/store/casetify.com</t>
        </is>
      </c>
      <c r="K36" s="10" t="inlineStr">
        <is>
          <t>Med</t>
        </is>
      </c>
      <c r="L36" s="10" t="inlineStr">
        <is>
          <t>Reported</t>
        </is>
      </c>
    </row>
    <row r="37">
      <c r="A37" s="19" t="inlineStr">
        <is>
          <t>Casetify</t>
        </is>
      </c>
      <c r="B37" s="20" t="inlineStr">
        <is>
          <t>Intl</t>
        </is>
      </c>
      <c r="C37" s="19" t="inlineStr">
        <is>
          <t>Phone cases</t>
        </is>
      </c>
      <c r="D37" s="19" t="inlineStr">
        <is>
          <t>Accessory attach discount</t>
        </is>
      </c>
      <c r="E37" s="25" t="inlineStr">
        <is>
          <t>Up to 50% off accessories (wallet/charger/charm/earbud case) bought WITH a case</t>
        </is>
      </c>
      <c r="F37" s="25" t="inlineStr">
        <is>
          <t>Case is wedge; discounted attach lifts basket</t>
        </is>
      </c>
      <c r="G37" s="20" t="inlineStr">
        <is>
          <t>AOV</t>
        </is>
      </c>
      <c r="H37" s="25" t="inlineStr">
        <is>
          <t>Case + charm/strap/screenguard attach</t>
        </is>
      </c>
      <c r="I37" s="19" t="inlineStr">
        <is>
          <t>(map to DO)</t>
        </is>
      </c>
      <c r="J37" s="19" t="inlineStr">
        <is>
          <t>couponfollow.com/site/casetify.com</t>
        </is>
      </c>
      <c r="K37" s="20" t="inlineStr">
        <is>
          <t>Med</t>
        </is>
      </c>
      <c r="L37" s="20" t="inlineStr">
        <is>
          <t>Reported</t>
        </is>
      </c>
    </row>
    <row r="38">
      <c r="A38" s="16" t="inlineStr">
        <is>
          <t>dbrand</t>
        </is>
      </c>
      <c r="B38" s="10" t="inlineStr">
        <is>
          <t>Intl</t>
        </is>
      </c>
      <c r="C38" s="16" t="inlineStr">
        <is>
          <t>Phone accessories</t>
        </is>
      </c>
      <c r="D38" s="16" t="inlineStr">
        <is>
          <t>Product bundle</t>
        </is>
      </c>
      <c r="E38" s="9" t="inlineStr">
        <is>
          <t>'Grip + Prism' case + screen protector = 15% off; coordinated set</t>
        </is>
      </c>
      <c r="F38" s="9" t="inlineStr">
        <is>
          <t>360-degree protection story bundles attach</t>
        </is>
      </c>
      <c r="G38" s="10" t="inlineStr">
        <is>
          <t>AOV</t>
        </is>
      </c>
      <c r="H38" s="9" t="inlineStr">
        <is>
          <t>Case + screen guard bundle</t>
        </is>
      </c>
      <c r="I38" s="16" t="inlineStr">
        <is>
          <t>(map to DO)</t>
        </is>
      </c>
      <c r="J38" s="16" t="inlineStr">
        <is>
          <t>dbrand.com/support/faq/product-questions</t>
        </is>
      </c>
      <c r="K38" s="10" t="inlineStr">
        <is>
          <t>Med</t>
        </is>
      </c>
      <c r="L38" s="10" t="inlineStr">
        <is>
          <t>Reported</t>
        </is>
      </c>
    </row>
    <row r="39">
      <c r="A39" s="19" t="inlineStr">
        <is>
          <t>dbrand</t>
        </is>
      </c>
      <c r="B39" s="20" t="inlineStr">
        <is>
          <t>Intl</t>
        </is>
      </c>
      <c r="C39" s="19" t="inlineStr">
        <is>
          <t>Phone accessories</t>
        </is>
      </c>
      <c r="D39" s="19" t="inlineStr">
        <is>
          <t>Checkout upsell</t>
        </is>
      </c>
      <c r="E39" s="25" t="inlineStr">
        <is>
          <t>Add 2-pack screen protector at checkout; free bonus skin</t>
        </is>
      </c>
      <c r="F39" s="25" t="inlineStr">
        <is>
          <t>Last-second protection attach + gift delight</t>
        </is>
      </c>
      <c r="G39" s="20" t="inlineStr">
        <is>
          <t>AOV</t>
        </is>
      </c>
      <c r="H39" s="25" t="inlineStr">
        <is>
          <t>Checkout screen-guard upsell</t>
        </is>
      </c>
      <c r="I39" s="19" t="inlineStr">
        <is>
          <t>(map to DO)</t>
        </is>
      </c>
      <c r="J39" s="19" t="inlineStr">
        <is>
          <t>9to5toys.com</t>
        </is>
      </c>
      <c r="K39" s="20" t="inlineStr">
        <is>
          <t>Med</t>
        </is>
      </c>
      <c r="L39" s="20" t="inlineStr">
        <is>
          <t>Reported</t>
        </is>
      </c>
    </row>
    <row r="40">
      <c r="A40" s="16" t="inlineStr">
        <is>
          <t>dbrand</t>
        </is>
      </c>
      <c r="B40" s="10" t="inlineStr">
        <is>
          <t>Intl</t>
        </is>
      </c>
      <c r="C40" s="16" t="inlineStr">
        <is>
          <t>Phone accessories</t>
        </is>
      </c>
      <c r="D40" s="16" t="inlineStr">
        <is>
          <t>Stacking control</t>
        </is>
      </c>
      <c r="E40" s="9" t="inlineStr">
        <is>
          <t>Promo codes cannot stack with bundle pricing/discounted items</t>
        </is>
      </c>
      <c r="F40" s="9" t="inlineStr">
        <is>
          <t>Protects bundle margin; bundle = best deal</t>
        </is>
      </c>
      <c r="G40" s="10" t="inlineStr">
        <is>
          <t>Margin</t>
        </is>
      </c>
      <c r="H40" s="9" t="inlineStr">
        <is>
          <t>Bundle-margin guardrail</t>
        </is>
      </c>
      <c r="I40" s="16" t="inlineStr">
        <is>
          <t>(map to DO)</t>
        </is>
      </c>
      <c r="J40" s="16" t="inlineStr">
        <is>
          <t>dbrand.knoji.com</t>
        </is>
      </c>
      <c r="K40" s="10" t="inlineStr">
        <is>
          <t>Med</t>
        </is>
      </c>
      <c r="L40" s="10" t="inlineStr">
        <is>
          <t>Reported</t>
        </is>
      </c>
    </row>
    <row r="41">
      <c r="A41" s="19" t="inlineStr">
        <is>
          <t>Bellroy</t>
        </is>
      </c>
      <c r="B41" s="20" t="inlineStr">
        <is>
          <t>Intl</t>
        </is>
      </c>
      <c r="C41" s="19" t="inlineStr">
        <is>
          <t>Wallets/Carry</t>
        </is>
      </c>
      <c r="D41" s="19" t="inlineStr">
        <is>
          <t>Curated value sets</t>
        </is>
      </c>
      <c r="E41" s="25" t="inlineStr">
        <is>
          <t>'Value Sets' e.g. travel wallet + toiletry kit as gift set</t>
        </is>
      </c>
      <c r="F41" s="25" t="inlineStr">
        <is>
          <t>Ready-made carry system reduces choice</t>
        </is>
      </c>
      <c r="G41" s="20" t="inlineStr">
        <is>
          <t>AOV</t>
        </is>
      </c>
      <c r="H41" s="25" t="inlineStr">
        <is>
          <t>Value sets / gift sets</t>
        </is>
      </c>
      <c r="I41" s="19" t="inlineStr">
        <is>
          <t>(map to DO)</t>
        </is>
      </c>
      <c r="J41" s="19" t="inlineStr">
        <is>
          <t>bellroy.com/bundles</t>
        </is>
      </c>
      <c r="K41" s="20" t="inlineStr">
        <is>
          <t>Med</t>
        </is>
      </c>
      <c r="L41" s="20" t="inlineStr">
        <is>
          <t>Reported</t>
        </is>
      </c>
    </row>
    <row r="42">
      <c r="A42" s="16" t="inlineStr">
        <is>
          <t>Bellroy</t>
        </is>
      </c>
      <c r="B42" s="10" t="inlineStr">
        <is>
          <t>Intl</t>
        </is>
      </c>
      <c r="C42" s="16" t="inlineStr">
        <is>
          <t>Wallets/Carry</t>
        </is>
      </c>
      <c r="D42" s="16" t="inlineStr">
        <is>
          <t>Ecosystem cross-sell</t>
        </is>
      </c>
      <c r="E42" s="9" t="inlineStr">
        <is>
          <t>'Tech Kit' pouch positioned to hold cables/power bank/earbuds</t>
        </is>
      </c>
      <c r="F42" s="9" t="inlineStr">
        <is>
          <t>Organiser attach to core carry buyer</t>
        </is>
      </c>
      <c r="G42" s="10" t="inlineStr">
        <is>
          <t>AOV</t>
        </is>
      </c>
      <c r="H42" s="9" t="inlineStr">
        <is>
          <t>Tech organiser attach</t>
        </is>
      </c>
      <c r="I42" s="16" t="inlineStr">
        <is>
          <t>(map to DO)</t>
        </is>
      </c>
      <c r="J42" s="16" t="inlineStr">
        <is>
          <t>bellroy.com/products/tech-kit</t>
        </is>
      </c>
      <c r="K42" s="10" t="inlineStr">
        <is>
          <t>Med</t>
        </is>
      </c>
      <c r="L42" s="10" t="inlineStr">
        <is>
          <t>Reported</t>
        </is>
      </c>
    </row>
    <row r="43">
      <c r="A43" s="19" t="inlineStr">
        <is>
          <t>Peak Design</t>
        </is>
      </c>
      <c r="B43" s="20" t="inlineStr">
        <is>
          <t>Intl</t>
        </is>
      </c>
      <c r="C43" s="19" t="inlineStr">
        <is>
          <t>Carry/Photo</t>
        </is>
      </c>
      <c r="D43" s="19" t="inlineStr">
        <is>
          <t>Ecosystem lock-in</t>
        </is>
      </c>
      <c r="E43" s="25" t="inlineStr">
        <is>
          <t>Universal mount system: case+strap+mount interoperate; adapter fits any case</t>
        </is>
      </c>
      <c r="F43" s="25" t="inlineStr">
        <is>
          <t>Buy into system -&gt; keep buying compatible accy</t>
        </is>
      </c>
      <c r="G43" s="20" t="inlineStr">
        <is>
          <t>Frequency</t>
        </is>
      </c>
      <c r="H43" s="25" t="inlineStr">
        <is>
          <t>Ecosystem accessory system</t>
        </is>
      </c>
      <c r="I43" s="19" t="inlineStr">
        <is>
          <t>(map to DO)</t>
        </is>
      </c>
      <c r="J43" s="19" t="inlineStr">
        <is>
          <t>activegearreview.com</t>
        </is>
      </c>
      <c r="K43" s="20" t="inlineStr">
        <is>
          <t>Med</t>
        </is>
      </c>
      <c r="L43" s="20" t="inlineStr">
        <is>
          <t>Reported</t>
        </is>
      </c>
    </row>
    <row r="44">
      <c r="A44" s="16" t="inlineStr">
        <is>
          <t>Peak Design</t>
        </is>
      </c>
      <c r="B44" s="10" t="inlineStr">
        <is>
          <t>Intl</t>
        </is>
      </c>
      <c r="C44" s="16" t="inlineStr">
        <is>
          <t>Carry/Photo</t>
        </is>
      </c>
      <c r="D44" s="16" t="inlineStr">
        <is>
          <t>Bundle discount rule</t>
        </is>
      </c>
      <c r="E44" s="9" t="inlineStr">
        <is>
          <t>Auto 10% off any bag $99+ with 2+ accessories; travel bundle 'kit savings'</t>
        </is>
      </c>
      <c r="F44" s="9" t="inlineStr">
        <is>
          <t>Rule rewards attaching accy to a bag</t>
        </is>
      </c>
      <c r="G44" s="10" t="inlineStr">
        <is>
          <t>AOV</t>
        </is>
      </c>
      <c r="H44" s="9" t="inlineStr">
        <is>
          <t>Bag + 2 accessories rule</t>
        </is>
      </c>
      <c r="I44" s="16" t="inlineStr">
        <is>
          <t>(map to DO)</t>
        </is>
      </c>
      <c r="J44" s="16" t="inlineStr">
        <is>
          <t>peakdesign.zendesk.com</t>
        </is>
      </c>
      <c r="K44" s="10" t="inlineStr">
        <is>
          <t>Med</t>
        </is>
      </c>
      <c r="L44" s="10" t="inlineStr">
        <is>
          <t>Reported</t>
        </is>
      </c>
    </row>
    <row r="45">
      <c r="A45" s="19" t="inlineStr">
        <is>
          <t>Nomad</t>
        </is>
      </c>
      <c r="B45" s="20" t="inlineStr">
        <is>
          <t>Intl</t>
        </is>
      </c>
      <c r="C45" s="19" t="inlineStr">
        <is>
          <t>Phone accessories</t>
        </is>
      </c>
      <c r="D45" s="19" t="inlineStr">
        <is>
          <t>Mix-match multibuy</t>
        </is>
      </c>
      <c r="E45" s="25" t="inlineStr">
        <is>
          <t>15% off any 2 of {case, watch band, MagSafe wallet}; 5% off over $85</t>
        </is>
      </c>
      <c r="F45" s="25" t="inlineStr">
        <is>
          <t>Mix-and-match across categories</t>
        </is>
      </c>
      <c r="G45" s="20" t="inlineStr">
        <is>
          <t>AOV</t>
        </is>
      </c>
      <c r="H45" s="25" t="inlineStr">
        <is>
          <t>Case + band + card holder multibuy</t>
        </is>
      </c>
      <c r="I45" s="19" t="inlineStr">
        <is>
          <t>(map to DO)</t>
        </is>
      </c>
      <c r="J45" s="19" t="inlineStr">
        <is>
          <t>9to5toys.com</t>
        </is>
      </c>
      <c r="K45" s="20" t="inlineStr">
        <is>
          <t>Med</t>
        </is>
      </c>
      <c r="L45" s="20" t="inlineStr">
        <is>
          <t>Reported</t>
        </is>
      </c>
    </row>
    <row r="46">
      <c r="A46" s="16" t="inlineStr">
        <is>
          <t>Anker</t>
        </is>
      </c>
      <c r="B46" s="10" t="inlineStr">
        <is>
          <t>Intl</t>
        </is>
      </c>
      <c r="C46" s="16" t="inlineStr">
        <is>
          <t>Charging</t>
        </is>
      </c>
      <c r="D46" s="16" t="inlineStr">
        <is>
          <t>Curated bundles/FBT</t>
        </is>
      </c>
      <c r="E46" s="9" t="inlineStr">
        <is>
          <t>'Bundle Recommendations': charger + matching cable 40% off combo</t>
        </is>
      </c>
      <c r="F46" s="9" t="inlineStr">
        <is>
          <t>Pre-matched compatible combos = convenience</t>
        </is>
      </c>
      <c r="G46" s="10" t="inlineStr">
        <is>
          <t>AOV</t>
        </is>
      </c>
      <c r="H46" s="9" t="inlineStr">
        <is>
          <t>Power bank + cable FBT</t>
        </is>
      </c>
      <c r="I46" s="16" t="inlineStr">
        <is>
          <t>(map to DO)</t>
        </is>
      </c>
      <c r="J46" s="16" t="inlineStr">
        <is>
          <t>anker.com/collections/bundles</t>
        </is>
      </c>
      <c r="K46" s="10" t="inlineStr">
        <is>
          <t>Med</t>
        </is>
      </c>
      <c r="L46" s="10" t="inlineStr">
        <is>
          <t>Reported</t>
        </is>
      </c>
    </row>
    <row r="47">
      <c r="A47" s="19" t="inlineStr">
        <is>
          <t>Ridge</t>
        </is>
      </c>
      <c r="B47" s="20" t="inlineStr">
        <is>
          <t>Intl</t>
        </is>
      </c>
      <c r="C47" s="19" t="inlineStr">
        <is>
          <t>Wallets/EDC</t>
        </is>
      </c>
      <c r="D47" s="19" t="inlineStr">
        <is>
          <t>Build-a-set kits</t>
        </is>
      </c>
      <c r="E47" s="25" t="inlineStr">
        <is>
          <t>'Kits' wallet + keycase; 'Bundle &amp; Save on Everyday Essentials'</t>
        </is>
      </c>
      <c r="F47" s="25" t="inlineStr">
        <is>
          <t>EDC system cross-sell of low-ticket add-ons</t>
        </is>
      </c>
      <c r="G47" s="20" t="inlineStr">
        <is>
          <t>AOV</t>
        </is>
      </c>
      <c r="H47" s="25" t="inlineStr">
        <is>
          <t>Wallet + card holder kits</t>
        </is>
      </c>
      <c r="I47" s="19" t="inlineStr">
        <is>
          <t>(map to DO)</t>
        </is>
      </c>
      <c r="J47" s="19" t="inlineStr">
        <is>
          <t>ridge.com/collections/kits</t>
        </is>
      </c>
      <c r="K47" s="20" t="inlineStr">
        <is>
          <t>Med</t>
        </is>
      </c>
      <c r="L47" s="20" t="inlineStr">
        <is>
          <t>Reported</t>
        </is>
      </c>
    </row>
    <row r="48">
      <c r="A48" s="16" t="inlineStr">
        <is>
          <t>Away</t>
        </is>
      </c>
      <c r="B48" s="10" t="inlineStr">
        <is>
          <t>Intl</t>
        </is>
      </c>
      <c r="C48" s="16" t="inlineStr">
        <is>
          <t>Luggage</t>
        </is>
      </c>
      <c r="D48" s="16" t="inlineStr">
        <is>
          <t>Attach bundle</t>
        </is>
      </c>
      <c r="E48" s="9" t="inlineStr">
        <is>
          <t>Named bundles pair suitcase with packing cubes; PDP suggests cubes after set built</t>
        </is>
      </c>
      <c r="F48" s="9" t="inlineStr">
        <is>
          <t>Organiser attach on high-ticket</t>
        </is>
      </c>
      <c r="G48" s="10" t="inlineStr">
        <is>
          <t>AOV</t>
        </is>
      </c>
      <c r="H48" s="9" t="inlineStr">
        <is>
          <t>Bag + organiser attach</t>
        </is>
      </c>
      <c r="I48" s="16" t="inlineStr">
        <is>
          <t>(map to DO)</t>
        </is>
      </c>
      <c r="J48" s="16" t="inlineStr">
        <is>
          <t>awaytravel.com/products/packing-pro-bundle</t>
        </is>
      </c>
      <c r="K48" s="10" t="inlineStr">
        <is>
          <t>Med</t>
        </is>
      </c>
      <c r="L48" s="10" t="inlineStr">
        <is>
          <t>Reported</t>
        </is>
      </c>
    </row>
    <row r="49">
      <c r="A49" s="19" t="inlineStr">
        <is>
          <t>Spigen</t>
        </is>
      </c>
      <c r="B49" s="20" t="inlineStr">
        <is>
          <t>Intl</t>
        </is>
      </c>
      <c r="C49" s="19" t="inlineStr">
        <is>
          <t>Phone accessories</t>
        </is>
      </c>
      <c r="D49" s="19" t="inlineStr">
        <is>
          <t>Attach multipack</t>
        </is>
      </c>
      <c r="E49" s="25" t="inlineStr">
        <is>
          <t>Screen protectors 2-pack marketed 'case-friendly' to pair with cases</t>
        </is>
      </c>
      <c r="F49" s="25" t="inlineStr">
        <is>
          <t>Protector multipack + case attach</t>
        </is>
      </c>
      <c r="G49" s="20" t="inlineStr">
        <is>
          <t>AOV</t>
        </is>
      </c>
      <c r="H49" s="25" t="inlineStr">
        <is>
          <t>Case + 2-pack screen guard</t>
        </is>
      </c>
      <c r="I49" s="19" t="inlineStr">
        <is>
          <t>(map to DO)</t>
        </is>
      </c>
      <c r="J49" s="19" t="inlineStr">
        <is>
          <t>amazon.com Spigen GlasTR</t>
        </is>
      </c>
      <c r="K49" s="20" t="inlineStr">
        <is>
          <t>Med</t>
        </is>
      </c>
      <c r="L49" s="20" t="inlineStr">
        <is>
          <t>Reported</t>
        </is>
      </c>
    </row>
    <row r="50">
      <c r="A50" s="16" t="inlineStr">
        <is>
          <t>Warby Parker</t>
        </is>
      </c>
      <c r="B50" s="10" t="inlineStr">
        <is>
          <t>Intl</t>
        </is>
      </c>
      <c r="C50" s="16" t="inlineStr">
        <is>
          <t>Eyewear</t>
        </is>
      </c>
      <c r="D50" s="16" t="inlineStr">
        <is>
          <t>Quiz -&gt; try-on</t>
        </is>
      </c>
      <c r="E50" s="9" t="inlineStr">
        <is>
          <t>Style quiz recommends frames -&gt; ship 5 free for 5 days</t>
        </is>
      </c>
      <c r="F50" s="9" t="inlineStr">
        <is>
          <t>Removes fit risk; quiz personalises</t>
        </is>
      </c>
      <c r="G50" s="10" t="inlineStr">
        <is>
          <t>CVR</t>
        </is>
      </c>
      <c r="H50" s="9" t="inlineStr">
        <is>
          <t>Case/band finder quiz</t>
        </is>
      </c>
      <c r="I50" s="16" t="inlineStr">
        <is>
          <t>(map to DO)</t>
        </is>
      </c>
      <c r="J50" s="16" t="inlineStr">
        <is>
          <t>warbyparker.com/home-try-on</t>
        </is>
      </c>
      <c r="K50" s="10" t="inlineStr">
        <is>
          <t>Med</t>
        </is>
      </c>
      <c r="L50" s="10" t="inlineStr">
        <is>
          <t>Reported</t>
        </is>
      </c>
    </row>
    <row r="51">
      <c r="A51" s="19" t="inlineStr">
        <is>
          <t>Allbirds</t>
        </is>
      </c>
      <c r="B51" s="20" t="inlineStr">
        <is>
          <t>Intl</t>
        </is>
      </c>
      <c r="C51" s="19" t="inlineStr">
        <is>
          <t>Footwear</t>
        </is>
      </c>
      <c r="D51" s="19" t="inlineStr">
        <is>
          <t>Free-ship attach</t>
        </is>
      </c>
      <c r="E51" s="25" t="inlineStr">
        <is>
          <t>$75 free-ship threshold; low-ticket socks positioned to close gap</t>
        </is>
      </c>
      <c r="F51" s="25" t="inlineStr">
        <is>
          <t>Add cheap attach instead of paying shipping</t>
        </is>
      </c>
      <c r="G51" s="20" t="inlineStr">
        <is>
          <t>AOV</t>
        </is>
      </c>
      <c r="H51" s="25" t="inlineStr">
        <is>
          <t>Add-on to hit free-ship bar</t>
        </is>
      </c>
      <c r="I51" s="19" t="inlineStr">
        <is>
          <t>(map to DO)</t>
        </is>
      </c>
      <c r="J51" s="19" t="inlineStr">
        <is>
          <t>groupon.com/coupons/allbirds</t>
        </is>
      </c>
      <c r="K51" s="20" t="inlineStr">
        <is>
          <t>Med</t>
        </is>
      </c>
      <c r="L51" s="20" t="inlineStr">
        <is>
          <t>Reported</t>
        </is>
      </c>
    </row>
    <row r="52">
      <c r="A52" s="16" t="inlineStr">
        <is>
          <t>Gymshark</t>
        </is>
      </c>
      <c r="B52" s="10" t="inlineStr">
        <is>
          <t>Intl</t>
        </is>
      </c>
      <c r="C52" s="16" t="inlineStr">
        <is>
          <t>Apparel</t>
        </is>
      </c>
      <c r="D52" s="16" t="inlineStr">
        <is>
          <t>Loyalty XP tiers</t>
        </is>
      </c>
      <c r="E52" s="9" t="inlineStr">
        <is>
          <t>8 XP/$1, $5-20 rewards at milestones, birthday perks, early access; free ship &gt; $75</t>
        </is>
      </c>
      <c r="F52" s="9" t="inlineStr">
        <is>
          <t>Gamified XP drives repeat + spend to next tier</t>
        </is>
      </c>
      <c r="G52" s="10" t="inlineStr">
        <is>
          <t>Frequency+AOV</t>
        </is>
      </c>
      <c r="H52" s="9" t="inlineStr">
        <is>
          <t>XP loyalty tiers</t>
        </is>
      </c>
      <c r="I52" s="16" t="inlineStr">
        <is>
          <t>(map to DO)</t>
        </is>
      </c>
      <c r="J52" s="16" t="inlineStr">
        <is>
          <t>gymshark.com/pages/loyalty-free-next-day</t>
        </is>
      </c>
      <c r="K52" s="10" t="inlineStr">
        <is>
          <t>Med</t>
        </is>
      </c>
      <c r="L52" s="10" t="inlineStr">
        <is>
          <t>Reported</t>
        </is>
      </c>
    </row>
    <row r="53">
      <c r="A53" s="19" t="inlineStr">
        <is>
          <t>Nike/Apple</t>
        </is>
      </c>
      <c r="B53" s="20" t="inlineStr">
        <is>
          <t>Intl</t>
        </is>
      </c>
      <c r="C53" s="19" t="inlineStr">
        <is>
          <t>Ecosystem</t>
        </is>
      </c>
      <c r="D53" s="19" t="inlineStr">
        <is>
          <t>Device-launch attach</t>
        </is>
      </c>
      <c r="E53" s="25" t="inlineStr">
        <is>
          <t>Accessory ranges launched to coincide with new iPhone/Apple Watch</t>
        </is>
      </c>
      <c r="F53" s="25" t="inlineStr">
        <is>
          <t>Ride device-launch demand spike</t>
        </is>
      </c>
      <c r="G53" s="20" t="inlineStr">
        <is>
          <t>Frequency</t>
        </is>
      </c>
      <c r="H53" s="25" t="inlineStr">
        <is>
          <t>iPhone/Apple Watch launch attach</t>
        </is>
      </c>
      <c r="I53" s="19" t="inlineStr">
        <is>
          <t>(map to DO)</t>
        </is>
      </c>
      <c r="J53" s="19" t="inlineStr">
        <is>
          <t>apple.com (observed pattern)</t>
        </is>
      </c>
      <c r="K53" s="20" t="inlineStr">
        <is>
          <t>Med</t>
        </is>
      </c>
      <c r="L53" s="20" t="inlineStr">
        <is>
          <t>Reported</t>
        </is>
      </c>
    </row>
    <row r="54">
      <c r="A54" s="16" t="inlineStr">
        <is>
          <t>Sugar/Nykaa</t>
        </is>
      </c>
      <c r="B54" s="10" t="inlineStr">
        <is>
          <t>India</t>
        </is>
      </c>
      <c r="C54" s="16" t="inlineStr">
        <is>
          <t>Beauty</t>
        </is>
      </c>
      <c r="D54" s="16" t="inlineStr">
        <is>
          <t>Sample/mini ladder</t>
        </is>
      </c>
      <c r="E54" s="9" t="inlineStr">
        <is>
          <t>Add mini/sample as low-price add-on near free-ship bar</t>
        </is>
      </c>
      <c r="F54" s="9" t="inlineStr">
        <is>
          <t>Cheap trial closes the gap + trials new lines</t>
        </is>
      </c>
      <c r="G54" s="10" t="inlineStr">
        <is>
          <t>AOV</t>
        </is>
      </c>
      <c r="H54" s="9" t="inlineStr">
        <is>
          <t>Low-price add-on rail in cart</t>
        </is>
      </c>
      <c r="I54" s="16" t="inlineStr">
        <is>
          <t>(map to DO)</t>
        </is>
      </c>
      <c r="J54" s="16" t="inlineStr">
        <is>
          <t>nykaa.com (observed pattern)</t>
        </is>
      </c>
      <c r="K54" s="10" t="inlineStr">
        <is>
          <t>Med</t>
        </is>
      </c>
      <c r="L54" s="10" t="inlineStr">
        <is>
          <t>Reported</t>
        </is>
      </c>
    </row>
  </sheetData>
  <autoFilter ref="A3:L54"/>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20" customWidth="1" min="3" max="3"/>
    <col width="16" customWidth="1" min="4" max="4"/>
    <col width="11" customWidth="1" min="5" max="5"/>
    <col width="11" customWidth="1" min="6" max="6"/>
    <col width="13" customWidth="1" min="7" max="7"/>
    <col width="10" customWidth="1" min="8" max="8"/>
    <col width="12" customWidth="1" min="9" max="9"/>
    <col width="14" customWidth="1" min="10" max="10"/>
    <col width="22" customWidth="1" min="11" max="11"/>
    <col width="26" customWidth="1" min="12" max="12"/>
    <col width="28" customWidth="1" min="13" max="13"/>
    <col width="18" customWidth="1" min="14" max="14"/>
    <col width="22" customWidth="1" min="15" max="15"/>
    <col width="16" customWidth="1" min="16" max="16"/>
    <col width="22" customWidth="1" min="17" max="17"/>
    <col width="20" customWidth="1" min="18" max="18"/>
    <col width="40" customWidth="1" min="19" max="19"/>
    <col width="9" customWidth="1" min="20" max="20"/>
  </cols>
  <sheetData>
    <row r="1" ht="30" customHeight="1">
      <c r="A1" s="22" t="inlineStr">
        <is>
          <t>CATEGORY OPPORTUNITY MAP</t>
        </is>
      </c>
    </row>
    <row r="2" ht="22" customHeight="1">
      <c r="A2" s="2" t="inlineStr">
        <is>
          <t>GA4 item metrics = OBSERVED; cid-&gt;name mapping = INFERRED from site URL taxonomy. ASP is item-level (not order AOV). 2025-08-01 to 2026-07-31</t>
        </is>
      </c>
    </row>
    <row r="3" ht="34" customHeight="1">
      <c r="A3" s="14" t="inlineStr">
        <is>
          <t>cid</t>
        </is>
      </c>
      <c r="B3" s="14" t="inlineStr">
        <is>
          <t>Category (INF name)</t>
        </is>
      </c>
      <c r="C3" s="14" t="inlineStr">
        <is>
          <t>Category Role</t>
        </is>
      </c>
      <c r="D3" s="14" t="inlineStr">
        <is>
          <t>Item Revenue (Rs)</t>
        </is>
      </c>
      <c r="E3" s="14" t="inlineStr">
        <is>
          <t>Units Sold</t>
        </is>
      </c>
      <c r="F3" s="14" t="inlineStr">
        <is>
          <t>Item ASP (Rs)</t>
        </is>
      </c>
      <c r="G3" s="14" t="inlineStr">
        <is>
          <t>Item Views</t>
        </is>
      </c>
      <c r="H3" s="14" t="inlineStr">
        <is>
          <t>ATC Rate</t>
        </is>
      </c>
      <c r="I3" s="14" t="inlineStr">
        <is>
          <t>View-&gt;Purchase</t>
        </is>
      </c>
      <c r="J3" s="14" t="inlineStr">
        <is>
          <t>Price Range</t>
        </is>
      </c>
      <c r="K3" s="14" t="inlineStr">
        <is>
          <t>Purchase Behaviour</t>
        </is>
      </c>
      <c r="L3" s="14" t="inlineStr">
        <is>
          <t>Primary Problem</t>
        </is>
      </c>
      <c r="M3" s="14" t="inlineStr">
        <is>
          <t>Primary Revenue Opportunity</t>
        </is>
      </c>
      <c r="N3" s="14" t="inlineStr">
        <is>
          <t>Best Offer Mechanic</t>
        </is>
      </c>
      <c r="O3" s="14" t="inlineStr">
        <is>
          <t>Best Bundle</t>
        </is>
      </c>
      <c r="P3" s="14" t="inlineStr">
        <is>
          <t>Best Cross-Sell</t>
        </is>
      </c>
      <c r="Q3" s="14" t="inlineStr">
        <is>
          <t>Best CRM Opportunity</t>
        </is>
      </c>
      <c r="R3" s="14" t="inlineStr">
        <is>
          <t>Best Merchandising</t>
        </is>
      </c>
      <c r="S3" s="14" t="inlineStr">
        <is>
          <t>Recommended Immediate Action</t>
        </is>
      </c>
      <c r="T3" s="14" t="inlineStr">
        <is>
          <t>Priority</t>
        </is>
      </c>
    </row>
    <row r="4">
      <c r="A4" s="10" t="inlineStr">
        <is>
          <t>1809</t>
        </is>
      </c>
      <c r="B4" s="16" t="inlineStr">
        <is>
          <t>Power Banks &amp; Wireless Power</t>
        </is>
      </c>
      <c r="C4" s="16" t="inlineStr">
        <is>
          <t>Hero / Destination</t>
        </is>
      </c>
      <c r="D4" s="28" t="n">
        <v>397244054.27</v>
      </c>
      <c r="E4" s="29" t="n">
        <v>127803</v>
      </c>
      <c r="F4" s="28">
        <f>IF(E4=0,0,D4/E4)</f>
        <v/>
      </c>
      <c r="G4" s="29" t="n">
        <v>9234794</v>
      </c>
      <c r="H4" s="30">
        <f>IF(G4=0,0,647279/G4)</f>
        <v/>
      </c>
      <c r="I4" s="30">
        <f>IF(G4=0,0,E4/G4)</f>
        <v/>
      </c>
      <c r="J4" s="16" t="inlineStr">
        <is>
          <t>Rs4,999-8,499</t>
        </is>
      </c>
      <c r="K4" s="9" t="inlineStr">
        <is>
          <t>Considered, high ASP</t>
        </is>
      </c>
      <c r="L4" s="9" t="inlineStr">
        <is>
          <t>Hero revenue driver but low ATC (7%)</t>
        </is>
      </c>
      <c r="M4" s="9" t="inlineStr">
        <is>
          <t>Bundle with MagSafe case; cross-sell cable; launch attach</t>
        </is>
      </c>
      <c r="N4" s="16" t="inlineStr">
        <is>
          <t>Bundle -10% + launch kit</t>
        </is>
      </c>
      <c r="O4" s="16" t="inlineStr">
        <is>
          <t>Power bank + MagSafe case</t>
        </is>
      </c>
      <c r="P4" s="16" t="inlineStr">
        <is>
          <t>+ Cable/adapter</t>
        </is>
      </c>
      <c r="Q4" s="16" t="inlineStr">
        <is>
          <t>Restock/price-drop alerts on Loop</t>
        </is>
      </c>
      <c r="R4" s="16" t="inlineStr">
        <is>
          <t>Lead homepage + device hub</t>
        </is>
      </c>
      <c r="S4" s="9" t="inlineStr">
        <is>
          <t>Ship power-bank+case bundle on Loop PDPs (ID02)</t>
        </is>
      </c>
      <c r="T4" s="10" t="inlineStr">
        <is>
          <t>High</t>
        </is>
      </c>
    </row>
    <row r="5">
      <c r="A5" s="20" t="inlineStr">
        <is>
          <t>1101</t>
        </is>
      </c>
      <c r="B5" s="19" t="inlineStr">
        <is>
          <t>Phone Cases (core)</t>
        </is>
      </c>
      <c r="C5" s="19" t="inlineStr">
        <is>
          <t>Hero / Destination</t>
        </is>
      </c>
      <c r="D5" s="31" t="n">
        <v>329003802.75</v>
      </c>
      <c r="E5" s="32" t="n">
        <v>307976</v>
      </c>
      <c r="F5" s="31">
        <f>IF(E5=0,0,D5/E5)</f>
        <v/>
      </c>
      <c r="G5" s="32" t="n">
        <v>25760937</v>
      </c>
      <c r="H5" s="33">
        <f>IF(G5=0,0,2408681/G5)</f>
        <v/>
      </c>
      <c r="I5" s="33">
        <f>IF(G5=0,0,E5/G5)</f>
        <v/>
      </c>
      <c r="J5" s="19" t="inlineStr">
        <is>
          <t>Rs899-2,399</t>
        </is>
      </c>
      <c r="K5" s="25" t="inlineStr">
        <is>
          <t>Massive traffic, low ASP entry</t>
        </is>
      </c>
      <c r="L5" s="25" t="inlineStr">
        <is>
          <t>57% of item views convert at 1.2% &amp; ASP only ~Rs1,068</t>
        </is>
      </c>
      <c r="M5" s="25" t="inlineStr">
        <is>
          <t>Attach screen guard/charm/grip; tier upsell; quiz</t>
        </is>
      </c>
      <c r="N5" s="19" t="inlineStr">
        <is>
          <t>Attach 30-50% off with case</t>
        </is>
      </c>
      <c r="O5" s="19" t="inlineStr">
        <is>
          <t>Case + screen guard + grip</t>
        </is>
      </c>
      <c r="P5" s="19" t="inlineStr">
        <is>
          <t>Screen guard</t>
        </is>
      </c>
      <c r="Q5" s="19" t="inlineStr">
        <is>
          <t>BIS on new phone models; replacement cycle</t>
        </is>
      </c>
      <c r="R5" s="19" t="inlineStr">
        <is>
          <t>Lead nav + shop-by-device</t>
        </is>
      </c>
      <c r="S5" s="25" t="inlineStr">
        <is>
          <t>Launch case attach engine + tier upsell (ID01/ID16)</t>
        </is>
      </c>
      <c r="T5" s="20" t="inlineStr">
        <is>
          <t>High</t>
        </is>
      </c>
    </row>
    <row r="6">
      <c r="A6" s="10" t="inlineStr">
        <is>
          <t>1801</t>
        </is>
      </c>
      <c r="B6" s="16" t="inlineStr">
        <is>
          <t>Apple Watch Bands</t>
        </is>
      </c>
      <c r="C6" s="16" t="inlineStr">
        <is>
          <t>Ecosystem / Repeat</t>
        </is>
      </c>
      <c r="D6" s="28" t="n">
        <v>118796569.34</v>
      </c>
      <c r="E6" s="29" t="n">
        <v>107273</v>
      </c>
      <c r="F6" s="28">
        <f>IF(E6=0,0,D6/E6)</f>
        <v/>
      </c>
      <c r="G6" s="29" t="n">
        <v>7095030</v>
      </c>
      <c r="H6" s="30">
        <f>IF(G6=0,0,490322/G6)</f>
        <v/>
      </c>
      <c r="I6" s="30">
        <f>IF(G6=0,0,E6/G6)</f>
        <v/>
      </c>
      <c r="J6" s="16" t="inlineStr">
        <is>
          <t>Rs1,299-2,499</t>
        </is>
      </c>
      <c r="K6" s="9" t="inlineStr">
        <is>
          <t>Fashion rotation, repeat</t>
        </is>
      </c>
      <c r="L6" s="9" t="inlineStr">
        <is>
          <t>Bought singly; multi-band potential untapped</t>
        </is>
      </c>
      <c r="M6" s="9" t="inlineStr">
        <is>
          <t>Multi-band buy-2/3 escalator</t>
        </is>
      </c>
      <c r="N6" s="16" t="inlineStr">
        <is>
          <t>Buy 2 -15%</t>
        </is>
      </c>
      <c r="O6" s="16" t="inlineStr">
        <is>
          <t>Band wardrobe</t>
        </is>
      </c>
      <c r="P6" s="16" t="inlineStr">
        <is>
          <t>Watch charger/stand</t>
        </is>
      </c>
      <c r="Q6" s="16" t="inlineStr">
        <is>
          <t>Seasonal band drops to owners</t>
        </is>
      </c>
      <c r="R6" s="16" t="inlineStr">
        <is>
          <t>Watch hub</t>
        </is>
      </c>
      <c r="S6" s="9" t="inlineStr">
        <is>
          <t>Multi-band escalator on band PDPs (ID04)</t>
        </is>
      </c>
      <c r="T6" s="10" t="inlineStr">
        <is>
          <t>High</t>
        </is>
      </c>
    </row>
    <row r="7">
      <c r="A7" s="20" t="inlineStr">
        <is>
          <t>1703</t>
        </is>
      </c>
      <c r="B7" s="19" t="inlineStr">
        <is>
          <t>Tech / Cable Organisers</t>
        </is>
      </c>
      <c r="C7" s="19" t="inlineStr">
        <is>
          <t>Add-on / Cross-sell</t>
        </is>
      </c>
      <c r="D7" s="31" t="n">
        <v>93174477.97</v>
      </c>
      <c r="E7" s="32" t="n">
        <v>82770</v>
      </c>
      <c r="F7" s="31">
        <f>IF(E7=0,0,D7/E7)</f>
        <v/>
      </c>
      <c r="G7" s="32" t="n">
        <v>4325738</v>
      </c>
      <c r="H7" s="33">
        <f>IF(G7=0,0,344260/G7)</f>
        <v/>
      </c>
      <c r="I7" s="33">
        <f>IF(G7=0,0,E7/G7)</f>
        <v/>
      </c>
      <c r="J7" s="19" t="inlineStr">
        <is>
          <t>Rs499-1,999</t>
        </is>
      </c>
      <c r="K7" s="25" t="inlineStr">
        <is>
          <t>Strong attach category</t>
        </is>
      </c>
      <c r="L7" s="25" t="inlineStr">
        <is>
          <t>Under-attached to bags/power banks</t>
        </is>
      </c>
      <c r="M7" s="25" t="inlineStr">
        <is>
          <t>Attach to bag/power-bank; hero GWP</t>
        </is>
      </c>
      <c r="N7" s="19" t="inlineStr">
        <is>
          <t>Free GWP at mid rung</t>
        </is>
      </c>
      <c r="O7" s="19" t="inlineStr">
        <is>
          <t>Bag/power bank -&gt; organiser</t>
        </is>
      </c>
      <c r="P7" s="19" t="inlineStr">
        <is>
          <t>Cables</t>
        </is>
      </c>
      <c r="Q7" s="19" t="inlineStr">
        <is>
          <t>Cross-cat intro to case buyers</t>
        </is>
      </c>
      <c r="R7" s="19" t="inlineStr">
        <is>
          <t>Attach rails everywhere</t>
        </is>
      </c>
      <c r="S7" s="25" t="inlineStr">
        <is>
          <t>Use as hero GWP + bag attach (ID03/ID46)</t>
        </is>
      </c>
      <c r="T7" s="20" t="inlineStr">
        <is>
          <t>High</t>
        </is>
      </c>
    </row>
    <row r="8">
      <c r="A8" s="10" t="inlineStr">
        <is>
          <t>1201</t>
        </is>
      </c>
      <c r="B8" s="16" t="inlineStr">
        <is>
          <t>Backpacks</t>
        </is>
      </c>
      <c r="C8" s="16" t="inlineStr">
        <is>
          <t>High-consideration</t>
        </is>
      </c>
      <c r="D8" s="28" t="n">
        <v>77009769.09999999</v>
      </c>
      <c r="E8" s="29" t="n">
        <v>39702</v>
      </c>
      <c r="F8" s="28">
        <f>IF(E8=0,0,D8/E8)</f>
        <v/>
      </c>
      <c r="G8" s="29" t="n">
        <v>5171423</v>
      </c>
      <c r="H8" s="30">
        <f>IF(G8=0,0,191289/G8)</f>
        <v/>
      </c>
      <c r="I8" s="30">
        <f>IF(G8=0,0,E8/G8)</f>
        <v/>
      </c>
      <c r="J8" s="16" t="inlineStr">
        <is>
          <t>Rs1,349-3,000+</t>
        </is>
      </c>
      <c r="K8" s="9" t="inlineStr">
        <is>
          <t>High-consideration, hesitant</t>
        </is>
      </c>
      <c r="L8" s="9" t="inlineStr">
        <is>
          <t>Lowest view-&gt;purchase (0.77%) &amp; ATC (3.7%)</t>
        </is>
      </c>
      <c r="M8" s="9" t="inlineStr">
        <is>
          <t>Risk reversal + carry-system bundle</t>
        </is>
      </c>
      <c r="N8" s="16" t="inlineStr">
        <is>
          <t>Kit -12% + trial/returns</t>
        </is>
      </c>
      <c r="O8" s="16" t="inlineStr">
        <is>
          <t>Bag + sleeve + organiser</t>
        </is>
      </c>
      <c r="P8" s="16" t="inlineStr">
        <is>
          <t>Laptop sleeve</t>
        </is>
      </c>
      <c r="Q8" s="16" t="inlineStr">
        <is>
          <t>Winback + wishlist for considered buyers</t>
        </is>
      </c>
      <c r="R8" s="16" t="inlineStr">
        <is>
          <t>Use-case hub (back-to-office/travel)</t>
        </is>
      </c>
      <c r="S8" s="9" t="inlineStr">
        <is>
          <t>Add risk-reversal + carry-system bundle (ID03/ID39)</t>
        </is>
      </c>
      <c r="T8" s="10" t="inlineStr">
        <is>
          <t>High</t>
        </is>
      </c>
    </row>
    <row r="9">
      <c r="A9" s="20" t="inlineStr">
        <is>
          <t>1702</t>
        </is>
      </c>
      <c r="B9" s="19" t="inlineStr">
        <is>
          <t>Desk Organisers &amp; Trays</t>
        </is>
      </c>
      <c r="C9" s="19" t="inlineStr">
        <is>
          <t>Add-on / Impulse</t>
        </is>
      </c>
      <c r="D9" s="31" t="n">
        <v>58528287.03</v>
      </c>
      <c r="E9" s="32" t="n">
        <v>44126</v>
      </c>
      <c r="F9" s="31">
        <f>IF(E9=0,0,D9/E9)</f>
        <v/>
      </c>
      <c r="G9" s="32" t="n">
        <v>1716262</v>
      </c>
      <c r="H9" s="33">
        <f>IF(G9=0,0,158526/G9)</f>
        <v/>
      </c>
      <c r="I9" s="33">
        <f>IF(G9=0,0,E9/G9)</f>
        <v/>
      </c>
      <c r="J9" s="19" t="inlineStr">
        <is>
          <t>Rs799-2,499</t>
        </is>
      </c>
      <c r="K9" s="25" t="inlineStr">
        <is>
          <t>Impulse + gifting</t>
        </is>
      </c>
      <c r="L9" s="25" t="inlineStr">
        <is>
          <t>Under-merchandised despite intent</t>
        </is>
      </c>
      <c r="M9" s="25" t="inlineStr">
        <is>
          <t>Desk-setup bundle</t>
        </is>
      </c>
      <c r="N9" s="19" t="inlineStr">
        <is>
          <t>Setup kit -12%</t>
        </is>
      </c>
      <c r="O9" s="19" t="inlineStr">
        <is>
          <t>Desk mat + organiser + tray</t>
        </is>
      </c>
      <c r="P9" s="19" t="inlineStr">
        <is>
          <t>Coaster/cable mgmt</t>
        </is>
      </c>
      <c r="Q9" s="19" t="inlineStr">
        <is>
          <t>Desk refresh CRM</t>
        </is>
      </c>
      <c r="R9" s="19" t="inlineStr">
        <is>
          <t>Shop-the-look</t>
        </is>
      </c>
      <c r="S9" s="25" t="inlineStr">
        <is>
          <t>Desk-setup complete-the-look bundle (ID10)</t>
        </is>
      </c>
      <c r="T9" s="20" t="inlineStr">
        <is>
          <t>High</t>
        </is>
      </c>
    </row>
    <row r="10">
      <c r="A10" s="10" t="inlineStr">
        <is>
          <t>1204</t>
        </is>
      </c>
      <c r="B10" s="16" t="inlineStr">
        <is>
          <t>Laptop Sleeves</t>
        </is>
      </c>
      <c r="C10" s="16" t="inlineStr">
        <is>
          <t>Accessory / Attach</t>
        </is>
      </c>
      <c r="D10" s="28" t="n">
        <v>57414515.96</v>
      </c>
      <c r="E10" s="29" t="n">
        <v>24665</v>
      </c>
      <c r="F10" s="28">
        <f>IF(E10=0,0,D10/E10)</f>
        <v/>
      </c>
      <c r="G10" s="29" t="n">
        <v>2992044</v>
      </c>
      <c r="H10" s="30">
        <f>IF(G10=0,0,118860/G10)</f>
        <v/>
      </c>
      <c r="I10" s="30">
        <f>IF(G10=0,0,E10/G10)</f>
        <v/>
      </c>
      <c r="J10" s="16" t="inlineStr">
        <is>
          <t>Rs900-1,800</t>
        </is>
      </c>
      <c r="K10" s="9" t="inlineStr">
        <is>
          <t>Attach to bags/laptops</t>
        </is>
      </c>
      <c r="L10" s="9" t="inlineStr">
        <is>
          <t>Sold solo; natural bag attach</t>
        </is>
      </c>
      <c r="M10" s="9" t="inlineStr">
        <is>
          <t>Attach to backpack/laptop bag</t>
        </is>
      </c>
      <c r="N10" s="16" t="inlineStr">
        <is>
          <t>Kit with bag</t>
        </is>
      </c>
      <c r="O10" s="16" t="inlineStr">
        <is>
          <t>Bag + sleeve</t>
        </is>
      </c>
      <c r="P10" s="16" t="inlineStr">
        <is>
          <t>Tech organiser</t>
        </is>
      </c>
      <c r="Q10" s="16" t="inlineStr">
        <is>
          <t>Attach in bag flows</t>
        </is>
      </c>
      <c r="R10" s="16" t="inlineStr">
        <is>
          <t>Carry-system module</t>
        </is>
      </c>
      <c r="S10" s="9" t="inlineStr">
        <is>
          <t>Bundle into carry system (ID03)</t>
        </is>
      </c>
      <c r="T10" s="10" t="inlineStr">
        <is>
          <t>High</t>
        </is>
      </c>
    </row>
    <row r="11">
      <c r="A11" s="20" t="inlineStr">
        <is>
          <t>1103</t>
        </is>
      </c>
      <c r="B11" s="19" t="inlineStr">
        <is>
          <t>Phone Cases (MagSafe/premium)</t>
        </is>
      </c>
      <c r="C11" s="19" t="inlineStr">
        <is>
          <t>Hero / Destination</t>
        </is>
      </c>
      <c r="D11" s="31" t="n">
        <v>55615165.09</v>
      </c>
      <c r="E11" s="32" t="n">
        <v>42193</v>
      </c>
      <c r="F11" s="31">
        <f>IF(E11=0,0,D11/E11)</f>
        <v/>
      </c>
      <c r="G11" s="32" t="n">
        <v>3209429</v>
      </c>
      <c r="H11" s="33">
        <f>IF(G11=0,0,174079/G11)</f>
        <v/>
      </c>
      <c r="I11" s="33">
        <f>IF(G11=0,0,E11/G11)</f>
        <v/>
      </c>
      <c r="J11" s="19" t="inlineStr">
        <is>
          <t>Rs999-2,399</t>
        </is>
      </c>
      <c r="K11" s="25" t="inlineStr">
        <is>
          <t>Premium case tier</t>
        </is>
      </c>
      <c r="L11" s="25" t="inlineStr">
        <is>
          <t>Higher ASP than clear cases</t>
        </is>
      </c>
      <c r="M11" s="25" t="inlineStr">
        <is>
          <t>Tier upsell + MagSafe bundle</t>
        </is>
      </c>
      <c r="N11" s="19" t="inlineStr">
        <is>
          <t>Upgrade toggle</t>
        </is>
      </c>
      <c r="O11" s="19" t="inlineStr">
        <is>
          <t>MagSafe case + power bank</t>
        </is>
      </c>
      <c r="P11" s="19" t="inlineStr">
        <is>
          <t>Screen guard</t>
        </is>
      </c>
      <c r="Q11" s="19" t="inlineStr">
        <is>
          <t>Ecosystem cross-sell</t>
        </is>
      </c>
      <c r="R11" s="19" t="inlineStr">
        <is>
          <t>Device hub premium tier</t>
        </is>
      </c>
      <c r="S11" s="25" t="inlineStr">
        <is>
          <t>Default recommend mid tier (ID16)</t>
        </is>
      </c>
      <c r="T11" s="20" t="inlineStr">
        <is>
          <t>High</t>
        </is>
      </c>
    </row>
    <row r="12">
      <c r="A12" s="10" t="inlineStr">
        <is>
          <t>1202</t>
        </is>
      </c>
      <c r="B12" s="16" t="inlineStr">
        <is>
          <t>Premium Bags / Luggage</t>
        </is>
      </c>
      <c r="C12" s="16" t="inlineStr">
        <is>
          <t>High-consideration</t>
        </is>
      </c>
      <c r="D12" s="28" t="n">
        <v>49972853.98</v>
      </c>
      <c r="E12" s="29" t="n">
        <v>13378</v>
      </c>
      <c r="F12" s="28">
        <f>IF(E12=0,0,D12/E12)</f>
        <v/>
      </c>
      <c r="G12" s="29" t="n">
        <v>2157624</v>
      </c>
      <c r="H12" s="30">
        <f>IF(G12=0,0,61983/G12)</f>
        <v/>
      </c>
      <c r="I12" s="30">
        <f>IF(G12=0,0,E12/G12)</f>
        <v/>
      </c>
      <c r="J12" s="16" t="inlineStr">
        <is>
          <t>Rs2,000-4,000+</t>
        </is>
      </c>
      <c r="K12" s="9" t="inlineStr">
        <is>
          <t>Premium/luggage, highest ASP</t>
        </is>
      </c>
      <c r="L12" s="9" t="inlineStr">
        <is>
          <t>High ASP, low volume, considered</t>
        </is>
      </c>
      <c r="M12" s="9" t="inlineStr">
        <is>
          <t>Risk reversal + set pricing</t>
        </is>
      </c>
      <c r="N12" s="16" t="inlineStr">
        <is>
          <t>Set pricing</t>
        </is>
      </c>
      <c r="O12" s="16" t="inlineStr">
        <is>
          <t>Luggage set + organiser</t>
        </is>
      </c>
      <c r="P12" s="16" t="inlineStr">
        <is>
          <t>Packing organiser</t>
        </is>
      </c>
      <c r="Q12" s="16" t="inlineStr">
        <is>
          <t>VIP/high-AOV nurture</t>
        </is>
      </c>
      <c r="R12" s="16" t="inlineStr">
        <is>
          <t>Premium carry hub</t>
        </is>
      </c>
      <c r="S12" s="9" t="inlineStr">
        <is>
          <t>Set pricing + trial reassurance (ID39/ID03)</t>
        </is>
      </c>
      <c r="T12" s="10" t="inlineStr">
        <is>
          <t>Med</t>
        </is>
      </c>
    </row>
    <row r="13">
      <c r="A13" s="20" t="inlineStr">
        <is>
          <t>1805</t>
        </is>
      </c>
      <c r="B13" s="19" t="inlineStr">
        <is>
          <t>Chargers &amp; Adapters</t>
        </is>
      </c>
      <c r="C13" s="19" t="inlineStr">
        <is>
          <t>Ecosystem / Replace</t>
        </is>
      </c>
      <c r="D13" s="31" t="n">
        <v>46914556.96</v>
      </c>
      <c r="E13" s="32" t="n">
        <v>23368</v>
      </c>
      <c r="F13" s="31">
        <f>IF(E13=0,0,D13/E13)</f>
        <v/>
      </c>
      <c r="G13" s="32" t="n">
        <v>2606672</v>
      </c>
      <c r="H13" s="33">
        <f>IF(G13=0,0,146025/G13)</f>
        <v/>
      </c>
      <c r="I13" s="33">
        <f>IF(G13=0,0,E13/G13)</f>
        <v/>
      </c>
      <c r="J13" s="19" t="inlineStr">
        <is>
          <t>Rs999-6,499</t>
        </is>
      </c>
      <c r="K13" s="25" t="inlineStr">
        <is>
          <t>Ecosystem/replacement</t>
        </is>
      </c>
      <c r="L13" s="25" t="inlineStr">
        <is>
          <t>Chargers attach to phone/power ecosystem</t>
        </is>
      </c>
      <c r="M13" s="25" t="inlineStr">
        <is>
          <t>Attach to case/power bank</t>
        </is>
      </c>
      <c r="N13" s="19" t="inlineStr">
        <is>
          <t>Bundle</t>
        </is>
      </c>
      <c r="O13" s="19" t="inlineStr">
        <is>
          <t>Charger + cable</t>
        </is>
      </c>
      <c r="P13" s="19" t="inlineStr">
        <is>
          <t>Cable</t>
        </is>
      </c>
      <c r="Q13" s="19" t="inlineStr">
        <is>
          <t>Replacement reminders</t>
        </is>
      </c>
      <c r="R13" s="19" t="inlineStr">
        <is>
          <t>Device hub</t>
        </is>
      </c>
      <c r="S13" s="25" t="inlineStr">
        <is>
          <t>Attach to MagSafe/device ecosystem (ID02/ID33)</t>
        </is>
      </c>
      <c r="T13" s="20" t="inlineStr">
        <is>
          <t>Med</t>
        </is>
      </c>
    </row>
    <row r="14">
      <c r="A14" s="10" t="inlineStr">
        <is>
          <t>1203</t>
        </is>
      </c>
      <c r="B14" s="16" t="inlineStr">
        <is>
          <t>Crossbody / Sling Bags</t>
        </is>
      </c>
      <c r="C14" s="16" t="inlineStr">
        <is>
          <t>High-consideration</t>
        </is>
      </c>
      <c r="D14" s="28" t="n">
        <v>43188218.1</v>
      </c>
      <c r="E14" s="29" t="n">
        <v>30156</v>
      </c>
      <c r="F14" s="28">
        <f>IF(E14=0,0,D14/E14)</f>
        <v/>
      </c>
      <c r="G14" s="29" t="n">
        <v>3038751</v>
      </c>
      <c r="H14" s="30">
        <f>IF(G14=0,0,132325/G14)</f>
        <v/>
      </c>
      <c r="I14" s="30">
        <f>IF(G14=0,0,E14/G14)</f>
        <v/>
      </c>
      <c r="J14" s="16" t="inlineStr">
        <is>
          <t>Rs1,249-2,499</t>
        </is>
      </c>
      <c r="K14" s="9" t="inlineStr">
        <is>
          <t>Fashion carry, women-led</t>
        </is>
      </c>
      <c r="L14" s="9" t="inlineStr">
        <is>
          <t>Solid volume; attach weak</t>
        </is>
      </c>
      <c r="M14" s="9" t="inlineStr">
        <is>
          <t>Cross-sell wallet/organiser</t>
        </is>
      </c>
      <c r="N14" s="16" t="inlineStr">
        <is>
          <t>Combo</t>
        </is>
      </c>
      <c r="O14" s="16" t="inlineStr">
        <is>
          <t>Sling + wallet</t>
        </is>
      </c>
      <c r="P14" s="16" t="inlineStr">
        <is>
          <t>Card holder</t>
        </is>
      </c>
      <c r="Q14" s="16" t="inlineStr">
        <is>
          <t>Style drops CRM</t>
        </is>
      </c>
      <c r="R14" s="16" t="inlineStr">
        <is>
          <t>Shop-by-style</t>
        </is>
      </c>
      <c r="S14" s="9" t="inlineStr">
        <is>
          <t>Sling + wallet combo (Zouk-style) (ID45)</t>
        </is>
      </c>
      <c r="T14" s="10" t="inlineStr">
        <is>
          <t>Med</t>
        </is>
      </c>
    </row>
    <row r="15">
      <c r="A15" s="20" t="inlineStr">
        <is>
          <t>1102</t>
        </is>
      </c>
      <c r="B15" s="19" t="inlineStr">
        <is>
          <t>Phone Cases (clear/hybrid)</t>
        </is>
      </c>
      <c r="C15" s="19" t="inlineStr">
        <is>
          <t>Hero / Destination</t>
        </is>
      </c>
      <c r="D15" s="31" t="n">
        <v>26614244.99</v>
      </c>
      <c r="E15" s="32" t="n">
        <v>14905</v>
      </c>
      <c r="F15" s="31">
        <f>IF(E15=0,0,D15/E15)</f>
        <v/>
      </c>
      <c r="G15" s="32" t="n">
        <v>1219444</v>
      </c>
      <c r="H15" s="33">
        <f>IF(G15=0,0,47938/G15)</f>
        <v/>
      </c>
      <c r="I15" s="33">
        <f>IF(G15=0,0,E15/G15)</f>
        <v/>
      </c>
      <c r="J15" s="19" t="inlineStr">
        <is>
          <t>varies</t>
        </is>
      </c>
      <c r="K15" s="25" t="inlineStr">
        <is>
          <t>See role</t>
        </is>
      </c>
      <c r="L15" s="25" t="inlineStr">
        <is>
          <t>Under-activated vs traffic</t>
        </is>
      </c>
      <c r="M15" s="25" t="inlineStr">
        <is>
          <t>Attach + CRM</t>
        </is>
      </c>
      <c r="N15" s="19" t="inlineStr">
        <is>
          <t>GWP/attach</t>
        </is>
      </c>
      <c r="O15" s="19" t="inlineStr">
        <is>
          <t>Complementary item</t>
        </is>
      </c>
      <c r="P15" s="19" t="inlineStr">
        <is>
          <t>Adjacent accy</t>
        </is>
      </c>
      <c r="Q15" s="19" t="inlineStr">
        <is>
          <t>Lifecycle CRM</t>
        </is>
      </c>
      <c r="R15" s="19" t="inlineStr">
        <is>
          <t>Merchandise in hub</t>
        </is>
      </c>
      <c r="S15" s="25" t="inlineStr">
        <is>
          <t>Attach + surface in relevant hub</t>
        </is>
      </c>
      <c r="T15" s="20" t="inlineStr">
        <is>
          <t>Med</t>
        </is>
      </c>
    </row>
    <row r="16">
      <c r="A16" s="10" t="inlineStr">
        <is>
          <t>1701</t>
        </is>
      </c>
      <c r="B16" s="16" t="inlineStr">
        <is>
          <t>Desk Mats &amp; Pads</t>
        </is>
      </c>
      <c r="C16" s="16" t="inlineStr">
        <is>
          <t>Add-on / Impulse</t>
        </is>
      </c>
      <c r="D16" s="28" t="n">
        <v>21554349.04</v>
      </c>
      <c r="E16" s="29" t="n">
        <v>22657</v>
      </c>
      <c r="F16" s="28">
        <f>IF(E16=0,0,D16/E16)</f>
        <v/>
      </c>
      <c r="G16" s="29" t="n">
        <v>507203</v>
      </c>
      <c r="H16" s="30">
        <f>IF(G16=0,0,104953/G16)</f>
        <v/>
      </c>
      <c r="I16" s="30">
        <f>IF(G16=0,0,E16/G16)</f>
        <v/>
      </c>
      <c r="J16" s="16" t="inlineStr">
        <is>
          <t>varies</t>
        </is>
      </c>
      <c r="K16" s="9" t="inlineStr">
        <is>
          <t>See role</t>
        </is>
      </c>
      <c r="L16" s="9" t="inlineStr">
        <is>
          <t>Under-activated vs traffic</t>
        </is>
      </c>
      <c r="M16" s="9" t="inlineStr">
        <is>
          <t>Attach + CRM</t>
        </is>
      </c>
      <c r="N16" s="16" t="inlineStr">
        <is>
          <t>GWP/attach</t>
        </is>
      </c>
      <c r="O16" s="16" t="inlineStr">
        <is>
          <t>Complementary item</t>
        </is>
      </c>
      <c r="P16" s="16" t="inlineStr">
        <is>
          <t>Adjacent accy</t>
        </is>
      </c>
      <c r="Q16" s="16" t="inlineStr">
        <is>
          <t>Lifecycle CRM</t>
        </is>
      </c>
      <c r="R16" s="16" t="inlineStr">
        <is>
          <t>Merchandise in hub</t>
        </is>
      </c>
      <c r="S16" s="9" t="inlineStr">
        <is>
          <t>Attach + surface in relevant hub</t>
        </is>
      </c>
      <c r="T16" s="10" t="inlineStr">
        <is>
          <t>Med</t>
        </is>
      </c>
    </row>
    <row r="17">
      <c r="A17" s="20" t="inlineStr">
        <is>
          <t>1811</t>
        </is>
      </c>
      <c r="B17" s="19" t="inlineStr">
        <is>
          <t>Cables &amp; Charging Accy</t>
        </is>
      </c>
      <c r="C17" s="19" t="inlineStr">
        <is>
          <t>Impulse / Attach</t>
        </is>
      </c>
      <c r="D17" s="31" t="n">
        <v>19283567.02</v>
      </c>
      <c r="E17" s="32" t="n">
        <v>13335</v>
      </c>
      <c r="F17" s="31">
        <f>IF(E17=0,0,D17/E17)</f>
        <v/>
      </c>
      <c r="G17" s="32" t="n">
        <v>1250037</v>
      </c>
      <c r="H17" s="33">
        <f>IF(G17=0,0,59003/G17)</f>
        <v/>
      </c>
      <c r="I17" s="33">
        <f>IF(G17=0,0,E17/G17)</f>
        <v/>
      </c>
      <c r="J17" s="19" t="inlineStr">
        <is>
          <t>varies</t>
        </is>
      </c>
      <c r="K17" s="25" t="inlineStr">
        <is>
          <t>See role</t>
        </is>
      </c>
      <c r="L17" s="25" t="inlineStr">
        <is>
          <t>Under-activated vs traffic</t>
        </is>
      </c>
      <c r="M17" s="25" t="inlineStr">
        <is>
          <t>Attach + CRM</t>
        </is>
      </c>
      <c r="N17" s="19" t="inlineStr">
        <is>
          <t>GWP/attach</t>
        </is>
      </c>
      <c r="O17" s="19" t="inlineStr">
        <is>
          <t>Complementary item</t>
        </is>
      </c>
      <c r="P17" s="19" t="inlineStr">
        <is>
          <t>Adjacent accy</t>
        </is>
      </c>
      <c r="Q17" s="19" t="inlineStr">
        <is>
          <t>Lifecycle CRM</t>
        </is>
      </c>
      <c r="R17" s="19" t="inlineStr">
        <is>
          <t>Merchandise in hub</t>
        </is>
      </c>
      <c r="S17" s="25" t="inlineStr">
        <is>
          <t>Attach + surface in relevant hub</t>
        </is>
      </c>
      <c r="T17" s="20" t="inlineStr">
        <is>
          <t>Med</t>
        </is>
      </c>
    </row>
    <row r="18">
      <c r="A18" s="10" t="inlineStr">
        <is>
          <t>1104</t>
        </is>
      </c>
      <c r="B18" s="16" t="inlineStr">
        <is>
          <t>Phone Cases (custom/artist)</t>
        </is>
      </c>
      <c r="C18" s="16" t="inlineStr">
        <is>
          <t>Hero / Destination</t>
        </is>
      </c>
      <c r="D18" s="28" t="n">
        <v>15387327.02</v>
      </c>
      <c r="E18" s="29" t="n">
        <v>16713</v>
      </c>
      <c r="F18" s="28">
        <f>IF(E18=0,0,D18/E18)</f>
        <v/>
      </c>
      <c r="G18" s="29" t="n">
        <v>807172</v>
      </c>
      <c r="H18" s="30">
        <f>IF(G18=0,0,59770/G18)</f>
        <v/>
      </c>
      <c r="I18" s="30">
        <f>IF(G18=0,0,E18/G18)</f>
        <v/>
      </c>
      <c r="J18" s="16" t="inlineStr">
        <is>
          <t>varies</t>
        </is>
      </c>
      <c r="K18" s="9" t="inlineStr">
        <is>
          <t>See role</t>
        </is>
      </c>
      <c r="L18" s="9" t="inlineStr">
        <is>
          <t>Under-activated vs traffic</t>
        </is>
      </c>
      <c r="M18" s="9" t="inlineStr">
        <is>
          <t>Attach + CRM</t>
        </is>
      </c>
      <c r="N18" s="16" t="inlineStr">
        <is>
          <t>GWP/attach</t>
        </is>
      </c>
      <c r="O18" s="16" t="inlineStr">
        <is>
          <t>Complementary item</t>
        </is>
      </c>
      <c r="P18" s="16" t="inlineStr">
        <is>
          <t>Adjacent accy</t>
        </is>
      </c>
      <c r="Q18" s="16" t="inlineStr">
        <is>
          <t>Lifecycle CRM</t>
        </is>
      </c>
      <c r="R18" s="16" t="inlineStr">
        <is>
          <t>Merchandise in hub</t>
        </is>
      </c>
      <c r="S18" s="9" t="inlineStr">
        <is>
          <t>Attach + surface in relevant hub</t>
        </is>
      </c>
      <c r="T18" s="10" t="inlineStr">
        <is>
          <t>Med</t>
        </is>
      </c>
    </row>
    <row r="19">
      <c r="A19" s="20" t="inlineStr">
        <is>
          <t>1814</t>
        </is>
      </c>
      <c r="B19" s="19" t="inlineStr">
        <is>
          <t>Tech Accy (stands/mounts)</t>
        </is>
      </c>
      <c r="C19" s="19" t="inlineStr">
        <is>
          <t>Impulse / Attach</t>
        </is>
      </c>
      <c r="D19" s="31" t="n">
        <v>14987156.98</v>
      </c>
      <c r="E19" s="32" t="n">
        <v>11513</v>
      </c>
      <c r="F19" s="31">
        <f>IF(E19=0,0,D19/E19)</f>
        <v/>
      </c>
      <c r="G19" s="32" t="n">
        <v>366384</v>
      </c>
      <c r="H19" s="33">
        <f>IF(G19=0,0,109794/G19)</f>
        <v/>
      </c>
      <c r="I19" s="33">
        <f>IF(G19=0,0,E19/G19)</f>
        <v/>
      </c>
      <c r="J19" s="19" t="inlineStr">
        <is>
          <t>varies</t>
        </is>
      </c>
      <c r="K19" s="25" t="inlineStr">
        <is>
          <t>See role</t>
        </is>
      </c>
      <c r="L19" s="25" t="inlineStr">
        <is>
          <t>Under-activated vs traffic</t>
        </is>
      </c>
      <c r="M19" s="25" t="inlineStr">
        <is>
          <t>Attach + CRM</t>
        </is>
      </c>
      <c r="N19" s="19" t="inlineStr">
        <is>
          <t>GWP/attach</t>
        </is>
      </c>
      <c r="O19" s="19" t="inlineStr">
        <is>
          <t>Complementary item</t>
        </is>
      </c>
      <c r="P19" s="19" t="inlineStr">
        <is>
          <t>Adjacent accy</t>
        </is>
      </c>
      <c r="Q19" s="19" t="inlineStr">
        <is>
          <t>Lifecycle CRM</t>
        </is>
      </c>
      <c r="R19" s="19" t="inlineStr">
        <is>
          <t>Merchandise in hub</t>
        </is>
      </c>
      <c r="S19" s="25" t="inlineStr">
        <is>
          <t>Attach + surface in relevant hub</t>
        </is>
      </c>
      <c r="T19" s="20" t="inlineStr">
        <is>
          <t>Low</t>
        </is>
      </c>
    </row>
    <row r="20">
      <c r="A20" s="10" t="inlineStr">
        <is>
          <t>1813</t>
        </is>
      </c>
      <c r="B20" s="16" t="inlineStr">
        <is>
          <t>Tech Accy (misc)</t>
        </is>
      </c>
      <c r="C20" s="16" t="inlineStr">
        <is>
          <t>Impulse / Attach</t>
        </is>
      </c>
      <c r="D20" s="28" t="n">
        <v>13650558.02</v>
      </c>
      <c r="E20" s="29" t="n">
        <v>14562</v>
      </c>
      <c r="F20" s="28">
        <f>IF(E20=0,0,D20/E20)</f>
        <v/>
      </c>
      <c r="G20" s="29" t="n">
        <v>796233</v>
      </c>
      <c r="H20" s="30">
        <f>IF(G20=0,0,85938/G20)</f>
        <v/>
      </c>
      <c r="I20" s="30">
        <f>IF(G20=0,0,E20/G20)</f>
        <v/>
      </c>
      <c r="J20" s="16" t="inlineStr">
        <is>
          <t>varies</t>
        </is>
      </c>
      <c r="K20" s="9" t="inlineStr">
        <is>
          <t>See role</t>
        </is>
      </c>
      <c r="L20" s="9" t="inlineStr">
        <is>
          <t>Under-activated vs traffic</t>
        </is>
      </c>
      <c r="M20" s="9" t="inlineStr">
        <is>
          <t>Attach + CRM</t>
        </is>
      </c>
      <c r="N20" s="16" t="inlineStr">
        <is>
          <t>GWP/attach</t>
        </is>
      </c>
      <c r="O20" s="16" t="inlineStr">
        <is>
          <t>Complementary item</t>
        </is>
      </c>
      <c r="P20" s="16" t="inlineStr">
        <is>
          <t>Adjacent accy</t>
        </is>
      </c>
      <c r="Q20" s="16" t="inlineStr">
        <is>
          <t>Lifecycle CRM</t>
        </is>
      </c>
      <c r="R20" s="16" t="inlineStr">
        <is>
          <t>Merchandise in hub</t>
        </is>
      </c>
      <c r="S20" s="9" t="inlineStr">
        <is>
          <t>Attach + surface in relevant hub</t>
        </is>
      </c>
      <c r="T20" s="10" t="inlineStr">
        <is>
          <t>Low</t>
        </is>
      </c>
    </row>
    <row r="21">
      <c r="A21" s="20" t="inlineStr">
        <is>
          <t>1205</t>
        </is>
      </c>
      <c r="B21" s="19" t="inlineStr">
        <is>
          <t>Tote Bags</t>
        </is>
      </c>
      <c r="C21" s="19" t="inlineStr">
        <is>
          <t>Accessory / Add-on</t>
        </is>
      </c>
      <c r="D21" s="31" t="n">
        <v>11023655.998</v>
      </c>
      <c r="E21" s="32" t="n">
        <v>3200</v>
      </c>
      <c r="F21" s="31">
        <f>IF(E21=0,0,D21/E21)</f>
        <v/>
      </c>
      <c r="G21" s="32" t="n">
        <v>550150</v>
      </c>
      <c r="H21" s="33">
        <f>IF(G21=0,0,18340/G21)</f>
        <v/>
      </c>
      <c r="I21" s="33">
        <f>IF(G21=0,0,E21/G21)</f>
        <v/>
      </c>
      <c r="J21" s="19" t="inlineStr">
        <is>
          <t>varies</t>
        </is>
      </c>
      <c r="K21" s="25" t="inlineStr">
        <is>
          <t>See role</t>
        </is>
      </c>
      <c r="L21" s="25" t="inlineStr">
        <is>
          <t>Under-activated vs traffic</t>
        </is>
      </c>
      <c r="M21" s="25" t="inlineStr">
        <is>
          <t>Attach + CRM</t>
        </is>
      </c>
      <c r="N21" s="19" t="inlineStr">
        <is>
          <t>GWP/attach</t>
        </is>
      </c>
      <c r="O21" s="19" t="inlineStr">
        <is>
          <t>Complementary item</t>
        </is>
      </c>
      <c r="P21" s="19" t="inlineStr">
        <is>
          <t>Adjacent accy</t>
        </is>
      </c>
      <c r="Q21" s="19" t="inlineStr">
        <is>
          <t>Lifecycle CRM</t>
        </is>
      </c>
      <c r="R21" s="19" t="inlineStr">
        <is>
          <t>Merchandise in hub</t>
        </is>
      </c>
      <c r="S21" s="25" t="inlineStr">
        <is>
          <t>Attach + surface in relevant hub</t>
        </is>
      </c>
      <c r="T21" s="20" t="inlineStr">
        <is>
          <t>Low</t>
        </is>
      </c>
    </row>
    <row r="22">
      <c r="A22" s="10" t="inlineStr">
        <is>
          <t>1301</t>
        </is>
      </c>
      <c r="B22" s="16" t="inlineStr">
        <is>
          <t>Wallets (bifold/leather)</t>
        </is>
      </c>
      <c r="C22" s="16" t="inlineStr">
        <is>
          <t>Gifting / Repeat</t>
        </is>
      </c>
      <c r="D22" s="28" t="n">
        <v>9770788.01</v>
      </c>
      <c r="E22" s="29" t="n">
        <v>12072</v>
      </c>
      <c r="F22" s="28">
        <f>IF(E22=0,0,D22/E22)</f>
        <v/>
      </c>
      <c r="G22" s="29" t="n">
        <v>658364</v>
      </c>
      <c r="H22" s="30">
        <f>IF(G22=0,0,47019/G22)</f>
        <v/>
      </c>
      <c r="I22" s="30">
        <f>IF(G22=0,0,E22/G22)</f>
        <v/>
      </c>
      <c r="J22" s="16" t="inlineStr">
        <is>
          <t>varies</t>
        </is>
      </c>
      <c r="K22" s="9" t="inlineStr">
        <is>
          <t>See role</t>
        </is>
      </c>
      <c r="L22" s="9" t="inlineStr">
        <is>
          <t>Under-activated vs traffic</t>
        </is>
      </c>
      <c r="M22" s="9" t="inlineStr">
        <is>
          <t>Attach + CRM</t>
        </is>
      </c>
      <c r="N22" s="16" t="inlineStr">
        <is>
          <t>GWP/attach</t>
        </is>
      </c>
      <c r="O22" s="16" t="inlineStr">
        <is>
          <t>Complementary item</t>
        </is>
      </c>
      <c r="P22" s="16" t="inlineStr">
        <is>
          <t>Adjacent accy</t>
        </is>
      </c>
      <c r="Q22" s="16" t="inlineStr">
        <is>
          <t>Lifecycle CRM</t>
        </is>
      </c>
      <c r="R22" s="16" t="inlineStr">
        <is>
          <t>Merchandise in hub</t>
        </is>
      </c>
      <c r="S22" s="9" t="inlineStr">
        <is>
          <t>Attach + surface in relevant hub</t>
        </is>
      </c>
      <c r="T22" s="10" t="inlineStr">
        <is>
          <t>Low</t>
        </is>
      </c>
    </row>
    <row r="23">
      <c r="A23" s="20" t="inlineStr">
        <is>
          <t>1812</t>
        </is>
      </c>
      <c r="B23" s="19" t="inlineStr">
        <is>
          <t>Tech Accy (grips/rings)</t>
        </is>
      </c>
      <c r="C23" s="19" t="inlineStr">
        <is>
          <t>Impulse / Attach</t>
        </is>
      </c>
      <c r="D23" s="31" t="n">
        <v>6648714.05</v>
      </c>
      <c r="E23" s="32" t="n">
        <v>10586</v>
      </c>
      <c r="F23" s="31">
        <f>IF(E23=0,0,D23/E23)</f>
        <v/>
      </c>
      <c r="G23" s="32" t="n">
        <v>132387</v>
      </c>
      <c r="H23" s="33">
        <f>IF(G23=0,0,38819/G23)</f>
        <v/>
      </c>
      <c r="I23" s="33">
        <f>IF(G23=0,0,E23/G23)</f>
        <v/>
      </c>
      <c r="J23" s="19" t="inlineStr">
        <is>
          <t>varies</t>
        </is>
      </c>
      <c r="K23" s="25" t="inlineStr">
        <is>
          <t>See role</t>
        </is>
      </c>
      <c r="L23" s="25" t="inlineStr">
        <is>
          <t>Under-activated vs traffic</t>
        </is>
      </c>
      <c r="M23" s="25" t="inlineStr">
        <is>
          <t>Attach + CRM</t>
        </is>
      </c>
      <c r="N23" s="19" t="inlineStr">
        <is>
          <t>GWP/attach</t>
        </is>
      </c>
      <c r="O23" s="19" t="inlineStr">
        <is>
          <t>Complementary item</t>
        </is>
      </c>
      <c r="P23" s="19" t="inlineStr">
        <is>
          <t>Adjacent accy</t>
        </is>
      </c>
      <c r="Q23" s="19" t="inlineStr">
        <is>
          <t>Lifecycle CRM</t>
        </is>
      </c>
      <c r="R23" s="19" t="inlineStr">
        <is>
          <t>Merchandise in hub</t>
        </is>
      </c>
      <c r="S23" s="25" t="inlineStr">
        <is>
          <t>Attach + surface in relevant hub</t>
        </is>
      </c>
      <c r="T23" s="20" t="inlineStr">
        <is>
          <t>Low</t>
        </is>
      </c>
    </row>
    <row r="24">
      <c r="A24" s="10" t="inlineStr">
        <is>
          <t>1304</t>
        </is>
      </c>
      <c r="B24" s="16" t="inlineStr">
        <is>
          <t>Card Holders / Slim Wallets</t>
        </is>
      </c>
      <c r="C24" s="16" t="inlineStr">
        <is>
          <t>Gifting / Impulse</t>
        </is>
      </c>
      <c r="D24" s="28" t="n">
        <v>5764217.01</v>
      </c>
      <c r="E24" s="29" t="n">
        <v>6883</v>
      </c>
      <c r="F24" s="28">
        <f>IF(E24=0,0,D24/E24)</f>
        <v/>
      </c>
      <c r="G24" s="29" t="n">
        <v>635184</v>
      </c>
      <c r="H24" s="30">
        <f>IF(G24=0,0,31044/G24)</f>
        <v/>
      </c>
      <c r="I24" s="30">
        <f>IF(G24=0,0,E24/G24)</f>
        <v/>
      </c>
      <c r="J24" s="16" t="inlineStr">
        <is>
          <t>varies</t>
        </is>
      </c>
      <c r="K24" s="9" t="inlineStr">
        <is>
          <t>See role</t>
        </is>
      </c>
      <c r="L24" s="9" t="inlineStr">
        <is>
          <t>Under-activated vs traffic</t>
        </is>
      </c>
      <c r="M24" s="9" t="inlineStr">
        <is>
          <t>Attach + CRM</t>
        </is>
      </c>
      <c r="N24" s="16" t="inlineStr">
        <is>
          <t>GWP/attach</t>
        </is>
      </c>
      <c r="O24" s="16" t="inlineStr">
        <is>
          <t>Complementary item</t>
        </is>
      </c>
      <c r="P24" s="16" t="inlineStr">
        <is>
          <t>Adjacent accy</t>
        </is>
      </c>
      <c r="Q24" s="16" t="inlineStr">
        <is>
          <t>Lifecycle CRM</t>
        </is>
      </c>
      <c r="R24" s="16" t="inlineStr">
        <is>
          <t>Merchandise in hub</t>
        </is>
      </c>
      <c r="S24" s="9" t="inlineStr">
        <is>
          <t>Attach + surface in relevant hub</t>
        </is>
      </c>
      <c r="T24" s="10" t="inlineStr">
        <is>
          <t>Low</t>
        </is>
      </c>
    </row>
    <row r="25">
      <c r="A25" s="20" t="inlineStr">
        <is>
          <t>1815</t>
        </is>
      </c>
      <c r="B25" s="19" t="inlineStr">
        <is>
          <t>Tech Accy (screen guards)</t>
        </is>
      </c>
      <c r="C25" s="19" t="inlineStr">
        <is>
          <t>Attach / Replace</t>
        </is>
      </c>
      <c r="D25" s="31" t="n">
        <v>5479024.02</v>
      </c>
      <c r="E25" s="32" t="n">
        <v>7176</v>
      </c>
      <c r="F25" s="31">
        <f>IF(E25=0,0,D25/E25)</f>
        <v/>
      </c>
      <c r="G25" s="32" t="n">
        <v>115872</v>
      </c>
      <c r="H25" s="33">
        <f>IF(G25=0,0,47517/G25)</f>
        <v/>
      </c>
      <c r="I25" s="33">
        <f>IF(G25=0,0,E25/G25)</f>
        <v/>
      </c>
      <c r="J25" s="19" t="inlineStr">
        <is>
          <t>varies</t>
        </is>
      </c>
      <c r="K25" s="25" t="inlineStr">
        <is>
          <t>See role</t>
        </is>
      </c>
      <c r="L25" s="25" t="inlineStr">
        <is>
          <t>Under-activated vs traffic</t>
        </is>
      </c>
      <c r="M25" s="25" t="inlineStr">
        <is>
          <t>Attach + CRM</t>
        </is>
      </c>
      <c r="N25" s="19" t="inlineStr">
        <is>
          <t>GWP/attach</t>
        </is>
      </c>
      <c r="O25" s="19" t="inlineStr">
        <is>
          <t>Complementary item</t>
        </is>
      </c>
      <c r="P25" s="19" t="inlineStr">
        <is>
          <t>Adjacent accy</t>
        </is>
      </c>
      <c r="Q25" s="19" t="inlineStr">
        <is>
          <t>Lifecycle CRM</t>
        </is>
      </c>
      <c r="R25" s="19" t="inlineStr">
        <is>
          <t>Merchandise in hub</t>
        </is>
      </c>
      <c r="S25" s="25" t="inlineStr">
        <is>
          <t>Attach + surface in relevant hub</t>
        </is>
      </c>
      <c r="T25" s="20" t="inlineStr">
        <is>
          <t>Low</t>
        </is>
      </c>
    </row>
    <row r="26">
      <c r="A26" s="10" t="inlineStr">
        <is>
          <t>1402</t>
        </is>
      </c>
      <c r="B26" s="16" t="inlineStr">
        <is>
          <t>AirPods Cases</t>
        </is>
      </c>
      <c r="C26" s="16" t="inlineStr">
        <is>
          <t>Impulse / Attach</t>
        </is>
      </c>
      <c r="D26" s="28" t="n">
        <v>5012482</v>
      </c>
      <c r="E26" s="29" t="n">
        <v>13056</v>
      </c>
      <c r="F26" s="28">
        <f>IF(E26=0,0,D26/E26)</f>
        <v/>
      </c>
      <c r="G26" s="29" t="n">
        <v>301454</v>
      </c>
      <c r="H26" s="30">
        <f>IF(G26=0,0,41307/G26)</f>
        <v/>
      </c>
      <c r="I26" s="30">
        <f>IF(G26=0,0,E26/G26)</f>
        <v/>
      </c>
      <c r="J26" s="16" t="inlineStr">
        <is>
          <t>varies</t>
        </is>
      </c>
      <c r="K26" s="9" t="inlineStr">
        <is>
          <t>See role</t>
        </is>
      </c>
      <c r="L26" s="9" t="inlineStr">
        <is>
          <t>Under-activated vs traffic</t>
        </is>
      </c>
      <c r="M26" s="9" t="inlineStr">
        <is>
          <t>Attach + CRM</t>
        </is>
      </c>
      <c r="N26" s="16" t="inlineStr">
        <is>
          <t>GWP/attach</t>
        </is>
      </c>
      <c r="O26" s="16" t="inlineStr">
        <is>
          <t>Complementary item</t>
        </is>
      </c>
      <c r="P26" s="16" t="inlineStr">
        <is>
          <t>Adjacent accy</t>
        </is>
      </c>
      <c r="Q26" s="16" t="inlineStr">
        <is>
          <t>Lifecycle CRM</t>
        </is>
      </c>
      <c r="R26" s="16" t="inlineStr">
        <is>
          <t>Merchandise in hub</t>
        </is>
      </c>
      <c r="S26" s="9" t="inlineStr">
        <is>
          <t>Attach + surface in relevant hub</t>
        </is>
      </c>
      <c r="T26" s="10" t="inlineStr">
        <is>
          <t>Low</t>
        </is>
      </c>
    </row>
    <row r="27">
      <c r="A27" s="20" t="inlineStr">
        <is>
          <t>1403</t>
        </is>
      </c>
      <c r="B27" s="19" t="inlineStr">
        <is>
          <t>AirPods Pro Cases</t>
        </is>
      </c>
      <c r="C27" s="19" t="inlineStr">
        <is>
          <t>Impulse / Attach</t>
        </is>
      </c>
      <c r="D27" s="31" t="n">
        <v>4385984.01</v>
      </c>
      <c r="E27" s="32" t="n">
        <v>4416</v>
      </c>
      <c r="F27" s="31">
        <f>IF(E27=0,0,D27/E27)</f>
        <v/>
      </c>
      <c r="G27" s="32" t="n">
        <v>246992</v>
      </c>
      <c r="H27" s="33">
        <f>IF(G27=0,0,14093/G27)</f>
        <v/>
      </c>
      <c r="I27" s="33">
        <f>IF(G27=0,0,E27/G27)</f>
        <v/>
      </c>
      <c r="J27" s="19" t="inlineStr">
        <is>
          <t>varies</t>
        </is>
      </c>
      <c r="K27" s="25" t="inlineStr">
        <is>
          <t>See role</t>
        </is>
      </c>
      <c r="L27" s="25" t="inlineStr">
        <is>
          <t>Under-activated vs traffic</t>
        </is>
      </c>
      <c r="M27" s="25" t="inlineStr">
        <is>
          <t>Attach + CRM</t>
        </is>
      </c>
      <c r="N27" s="19" t="inlineStr">
        <is>
          <t>GWP/attach</t>
        </is>
      </c>
      <c r="O27" s="19" t="inlineStr">
        <is>
          <t>Complementary item</t>
        </is>
      </c>
      <c r="P27" s="19" t="inlineStr">
        <is>
          <t>Adjacent accy</t>
        </is>
      </c>
      <c r="Q27" s="19" t="inlineStr">
        <is>
          <t>Lifecycle CRM</t>
        </is>
      </c>
      <c r="R27" s="19" t="inlineStr">
        <is>
          <t>Merchandise in hub</t>
        </is>
      </c>
      <c r="S27" s="25" t="inlineStr">
        <is>
          <t>Attach + surface in relevant hub</t>
        </is>
      </c>
      <c r="T27" s="20" t="inlineStr">
        <is>
          <t>Low</t>
        </is>
      </c>
    </row>
    <row r="28">
      <c r="A28" s="10" t="inlineStr">
        <is>
          <t>1302</t>
        </is>
      </c>
      <c r="B28" s="16" t="inlineStr">
        <is>
          <t>Wallets (zip/travel)</t>
        </is>
      </c>
      <c r="C28" s="16" t="inlineStr">
        <is>
          <t>Gifting / Repeat</t>
        </is>
      </c>
      <c r="D28" s="28" t="n">
        <v>4321887.01</v>
      </c>
      <c r="E28" s="29" t="n">
        <v>7379</v>
      </c>
      <c r="F28" s="28">
        <f>IF(E28=0,0,D28/E28)</f>
        <v/>
      </c>
      <c r="G28" s="29" t="n">
        <v>554915</v>
      </c>
      <c r="H28" s="30">
        <f>IF(G28=0,0,34390/G28)</f>
        <v/>
      </c>
      <c r="I28" s="30">
        <f>IF(G28=0,0,E28/G28)</f>
        <v/>
      </c>
      <c r="J28" s="16" t="inlineStr">
        <is>
          <t>varies</t>
        </is>
      </c>
      <c r="K28" s="9" t="inlineStr">
        <is>
          <t>See role</t>
        </is>
      </c>
      <c r="L28" s="9" t="inlineStr">
        <is>
          <t>Under-activated vs traffic</t>
        </is>
      </c>
      <c r="M28" s="9" t="inlineStr">
        <is>
          <t>Attach + CRM</t>
        </is>
      </c>
      <c r="N28" s="16" t="inlineStr">
        <is>
          <t>GWP/attach</t>
        </is>
      </c>
      <c r="O28" s="16" t="inlineStr">
        <is>
          <t>Complementary item</t>
        </is>
      </c>
      <c r="P28" s="16" t="inlineStr">
        <is>
          <t>Adjacent accy</t>
        </is>
      </c>
      <c r="Q28" s="16" t="inlineStr">
        <is>
          <t>Lifecycle CRM</t>
        </is>
      </c>
      <c r="R28" s="16" t="inlineStr">
        <is>
          <t>Merchandise in hub</t>
        </is>
      </c>
      <c r="S28" s="9" t="inlineStr">
        <is>
          <t>Attach + surface in relevant hub</t>
        </is>
      </c>
      <c r="T28" s="10" t="inlineStr">
        <is>
          <t>Low</t>
        </is>
      </c>
    </row>
    <row r="29">
      <c r="A29" s="20" t="inlineStr">
        <is>
          <t>1307</t>
        </is>
      </c>
      <c r="B29" s="19" t="inlineStr">
        <is>
          <t>Wallets (money clip/misc)</t>
        </is>
      </c>
      <c r="C29" s="19" t="inlineStr">
        <is>
          <t>Gifting / Impulse</t>
        </is>
      </c>
      <c r="D29" s="31" t="n">
        <v>3668524.02</v>
      </c>
      <c r="E29" s="32" t="n">
        <v>5790</v>
      </c>
      <c r="F29" s="31">
        <f>IF(E29=0,0,D29/E29)</f>
        <v/>
      </c>
      <c r="G29" s="32" t="n">
        <v>381418</v>
      </c>
      <c r="H29" s="33">
        <f>IF(G29=0,0,28130/G29)</f>
        <v/>
      </c>
      <c r="I29" s="33">
        <f>IF(G29=0,0,E29/G29)</f>
        <v/>
      </c>
      <c r="J29" s="19" t="inlineStr">
        <is>
          <t>varies</t>
        </is>
      </c>
      <c r="K29" s="25" t="inlineStr">
        <is>
          <t>See role</t>
        </is>
      </c>
      <c r="L29" s="25" t="inlineStr">
        <is>
          <t>Under-activated vs traffic</t>
        </is>
      </c>
      <c r="M29" s="25" t="inlineStr">
        <is>
          <t>Attach + CRM</t>
        </is>
      </c>
      <c r="N29" s="19" t="inlineStr">
        <is>
          <t>GWP/attach</t>
        </is>
      </c>
      <c r="O29" s="19" t="inlineStr">
        <is>
          <t>Complementary item</t>
        </is>
      </c>
      <c r="P29" s="19" t="inlineStr">
        <is>
          <t>Adjacent accy</t>
        </is>
      </c>
      <c r="Q29" s="19" t="inlineStr">
        <is>
          <t>Lifecycle CRM</t>
        </is>
      </c>
      <c r="R29" s="19" t="inlineStr">
        <is>
          <t>Merchandise in hub</t>
        </is>
      </c>
      <c r="S29" s="25" t="inlineStr">
        <is>
          <t>Attach + surface in relevant hub</t>
        </is>
      </c>
      <c r="T29" s="20" t="inlineStr">
        <is>
          <t>Low</t>
        </is>
      </c>
    </row>
    <row r="30">
      <c r="A30" s="10" t="inlineStr">
        <is>
          <t>1207</t>
        </is>
      </c>
      <c r="B30" s="16" t="inlineStr">
        <is>
          <t>Bags (misc / laptop bags)</t>
        </is>
      </c>
      <c r="C30" s="16" t="inlineStr">
        <is>
          <t>Accessory / Attach</t>
        </is>
      </c>
      <c r="D30" s="28" t="n">
        <v>2926530.01</v>
      </c>
      <c r="E30" s="29" t="n">
        <v>5920</v>
      </c>
      <c r="F30" s="28">
        <f>IF(E30=0,0,D30/E30)</f>
        <v/>
      </c>
      <c r="G30" s="29" t="n">
        <v>352841</v>
      </c>
      <c r="H30" s="30">
        <f>IF(G30=0,0,25588/G30)</f>
        <v/>
      </c>
      <c r="I30" s="30">
        <f>IF(G30=0,0,E30/G30)</f>
        <v/>
      </c>
      <c r="J30" s="16" t="inlineStr">
        <is>
          <t>varies</t>
        </is>
      </c>
      <c r="K30" s="9" t="inlineStr">
        <is>
          <t>See role</t>
        </is>
      </c>
      <c r="L30" s="9" t="inlineStr">
        <is>
          <t>Under-activated vs traffic</t>
        </is>
      </c>
      <c r="M30" s="9" t="inlineStr">
        <is>
          <t>Attach + CRM</t>
        </is>
      </c>
      <c r="N30" s="16" t="inlineStr">
        <is>
          <t>GWP/attach</t>
        </is>
      </c>
      <c r="O30" s="16" t="inlineStr">
        <is>
          <t>Complementary item</t>
        </is>
      </c>
      <c r="P30" s="16" t="inlineStr">
        <is>
          <t>Adjacent accy</t>
        </is>
      </c>
      <c r="Q30" s="16" t="inlineStr">
        <is>
          <t>Lifecycle CRM</t>
        </is>
      </c>
      <c r="R30" s="16" t="inlineStr">
        <is>
          <t>Merchandise in hub</t>
        </is>
      </c>
      <c r="S30" s="9" t="inlineStr">
        <is>
          <t>Attach + surface in relevant hub</t>
        </is>
      </c>
      <c r="T30" s="10" t="inlineStr">
        <is>
          <t>Low</t>
        </is>
      </c>
    </row>
    <row r="31">
      <c r="A31" s="20" t="inlineStr">
        <is>
          <t>1305</t>
        </is>
      </c>
      <c r="B31" s="19" t="inlineStr">
        <is>
          <t>Wallets for Men</t>
        </is>
      </c>
      <c r="C31" s="19" t="inlineStr">
        <is>
          <t>Gifting / Repeat</t>
        </is>
      </c>
      <c r="D31" s="31" t="n">
        <v>2838951</v>
      </c>
      <c r="E31" s="32" t="n">
        <v>2666</v>
      </c>
      <c r="F31" s="31">
        <f>IF(E31=0,0,D31/E31)</f>
        <v/>
      </c>
      <c r="G31" s="32" t="n">
        <v>174026</v>
      </c>
      <c r="H31" s="33">
        <f>IF(G31=0,0,10788/G31)</f>
        <v/>
      </c>
      <c r="I31" s="33">
        <f>IF(G31=0,0,E31/G31)</f>
        <v/>
      </c>
      <c r="J31" s="19" t="inlineStr">
        <is>
          <t>varies</t>
        </is>
      </c>
      <c r="K31" s="25" t="inlineStr">
        <is>
          <t>See role</t>
        </is>
      </c>
      <c r="L31" s="25" t="inlineStr">
        <is>
          <t>Under-activated vs traffic</t>
        </is>
      </c>
      <c r="M31" s="25" t="inlineStr">
        <is>
          <t>Attach + CRM</t>
        </is>
      </c>
      <c r="N31" s="19" t="inlineStr">
        <is>
          <t>GWP/attach</t>
        </is>
      </c>
      <c r="O31" s="19" t="inlineStr">
        <is>
          <t>Complementary item</t>
        </is>
      </c>
      <c r="P31" s="19" t="inlineStr">
        <is>
          <t>Adjacent accy</t>
        </is>
      </c>
      <c r="Q31" s="19" t="inlineStr">
        <is>
          <t>Lifecycle CRM</t>
        </is>
      </c>
      <c r="R31" s="19" t="inlineStr">
        <is>
          <t>Merchandise in hub</t>
        </is>
      </c>
      <c r="S31" s="25" t="inlineStr">
        <is>
          <t>Attach + surface in relevant hub</t>
        </is>
      </c>
      <c r="T31" s="20" t="inlineStr">
        <is>
          <t>Low</t>
        </is>
      </c>
    </row>
    <row r="32">
      <c r="A32" s="10" t="inlineStr">
        <is>
          <t>1705</t>
        </is>
      </c>
      <c r="B32" s="16" t="inlineStr">
        <is>
          <t>Drinkware / Coasters</t>
        </is>
      </c>
      <c r="C32" s="16" t="inlineStr">
        <is>
          <t>Impulse / Gifting</t>
        </is>
      </c>
      <c r="D32" s="28" t="n">
        <v>2532741</v>
      </c>
      <c r="E32" s="29" t="n">
        <v>3259</v>
      </c>
      <c r="F32" s="28">
        <f>IF(E32=0,0,D32/E32)</f>
        <v/>
      </c>
      <c r="G32" s="29" t="n">
        <v>242071</v>
      </c>
      <c r="H32" s="30">
        <f>IF(G32=0,0,10985/G32)</f>
        <v/>
      </c>
      <c r="I32" s="30">
        <f>IF(G32=0,0,E32/G32)</f>
        <v/>
      </c>
      <c r="J32" s="16" t="inlineStr">
        <is>
          <t>varies</t>
        </is>
      </c>
      <c r="K32" s="9" t="inlineStr">
        <is>
          <t>See role</t>
        </is>
      </c>
      <c r="L32" s="9" t="inlineStr">
        <is>
          <t>Under-activated vs traffic</t>
        </is>
      </c>
      <c r="M32" s="9" t="inlineStr">
        <is>
          <t>Attach + CRM</t>
        </is>
      </c>
      <c r="N32" s="16" t="inlineStr">
        <is>
          <t>GWP/attach</t>
        </is>
      </c>
      <c r="O32" s="16" t="inlineStr">
        <is>
          <t>Complementary item</t>
        </is>
      </c>
      <c r="P32" s="16" t="inlineStr">
        <is>
          <t>Adjacent accy</t>
        </is>
      </c>
      <c r="Q32" s="16" t="inlineStr">
        <is>
          <t>Lifecycle CRM</t>
        </is>
      </c>
      <c r="R32" s="16" t="inlineStr">
        <is>
          <t>Merchandise in hub</t>
        </is>
      </c>
      <c r="S32" s="9" t="inlineStr">
        <is>
          <t>Attach + surface in relevant hub</t>
        </is>
      </c>
      <c r="T32" s="10" t="inlineStr">
        <is>
          <t>Low</t>
        </is>
      </c>
    </row>
    <row r="33">
      <c r="A33" s="20" t="inlineStr">
        <is>
          <t>1401</t>
        </is>
      </c>
      <c r="B33" s="19" t="inlineStr">
        <is>
          <t>AirPods (misc)</t>
        </is>
      </c>
      <c r="C33" s="19" t="inlineStr">
        <is>
          <t>Impulse / Attach</t>
        </is>
      </c>
      <c r="D33" s="31" t="n">
        <v>1887587</v>
      </c>
      <c r="E33" s="32" t="n">
        <v>2163</v>
      </c>
      <c r="F33" s="31">
        <f>IF(E33=0,0,D33/E33)</f>
        <v/>
      </c>
      <c r="G33" s="32" t="n">
        <v>95051</v>
      </c>
      <c r="H33" s="33">
        <f>IF(G33=0,0,7185/G33)</f>
        <v/>
      </c>
      <c r="I33" s="33">
        <f>IF(G33=0,0,E33/G33)</f>
        <v/>
      </c>
      <c r="J33" s="19" t="inlineStr">
        <is>
          <t>varies</t>
        </is>
      </c>
      <c r="K33" s="25" t="inlineStr">
        <is>
          <t>See role</t>
        </is>
      </c>
      <c r="L33" s="25" t="inlineStr">
        <is>
          <t>Under-activated vs traffic</t>
        </is>
      </c>
      <c r="M33" s="25" t="inlineStr">
        <is>
          <t>Attach + CRM</t>
        </is>
      </c>
      <c r="N33" s="19" t="inlineStr">
        <is>
          <t>GWP/attach</t>
        </is>
      </c>
      <c r="O33" s="19" t="inlineStr">
        <is>
          <t>Complementary item</t>
        </is>
      </c>
      <c r="P33" s="19" t="inlineStr">
        <is>
          <t>Adjacent accy</t>
        </is>
      </c>
      <c r="Q33" s="19" t="inlineStr">
        <is>
          <t>Lifecycle CRM</t>
        </is>
      </c>
      <c r="R33" s="19" t="inlineStr">
        <is>
          <t>Merchandise in hub</t>
        </is>
      </c>
      <c r="S33" s="25" t="inlineStr">
        <is>
          <t>Attach + surface in relevant hub</t>
        </is>
      </c>
      <c r="T33" s="20" t="inlineStr">
        <is>
          <t>Low</t>
        </is>
      </c>
    </row>
    <row r="34">
      <c r="A34" s="10" t="inlineStr">
        <is>
          <t>1303</t>
        </is>
      </c>
      <c r="B34" s="16" t="inlineStr">
        <is>
          <t>Wallets (passport)</t>
        </is>
      </c>
      <c r="C34" s="16" t="inlineStr">
        <is>
          <t>Gifting / Low-freq</t>
        </is>
      </c>
      <c r="D34" s="28" t="n">
        <v>1477440.01</v>
      </c>
      <c r="E34" s="29" t="n">
        <v>1566</v>
      </c>
      <c r="F34" s="28">
        <f>IF(E34=0,0,D34/E34)</f>
        <v/>
      </c>
      <c r="G34" s="29" t="n">
        <v>79578</v>
      </c>
      <c r="H34" s="30">
        <f>IF(G34=0,0,5326/G34)</f>
        <v/>
      </c>
      <c r="I34" s="30">
        <f>IF(G34=0,0,E34/G34)</f>
        <v/>
      </c>
      <c r="J34" s="16" t="inlineStr">
        <is>
          <t>varies</t>
        </is>
      </c>
      <c r="K34" s="9" t="inlineStr">
        <is>
          <t>See role</t>
        </is>
      </c>
      <c r="L34" s="9" t="inlineStr">
        <is>
          <t>Under-activated vs traffic</t>
        </is>
      </c>
      <c r="M34" s="9" t="inlineStr">
        <is>
          <t>Attach + CRM</t>
        </is>
      </c>
      <c r="N34" s="16" t="inlineStr">
        <is>
          <t>GWP/attach</t>
        </is>
      </c>
      <c r="O34" s="16" t="inlineStr">
        <is>
          <t>Complementary item</t>
        </is>
      </c>
      <c r="P34" s="16" t="inlineStr">
        <is>
          <t>Adjacent accy</t>
        </is>
      </c>
      <c r="Q34" s="16" t="inlineStr">
        <is>
          <t>Lifecycle CRM</t>
        </is>
      </c>
      <c r="R34" s="16" t="inlineStr">
        <is>
          <t>Merchandise in hub</t>
        </is>
      </c>
      <c r="S34" s="9" t="inlineStr">
        <is>
          <t>Attach + surface in relevant hub</t>
        </is>
      </c>
      <c r="T34" s="10" t="inlineStr">
        <is>
          <t>Low</t>
        </is>
      </c>
    </row>
    <row r="35">
      <c r="A35" s="20" t="inlineStr">
        <is>
          <t>1604</t>
        </is>
      </c>
      <c r="B35" s="19" t="inlineStr">
        <is>
          <t>Gift Sets / Bundles</t>
        </is>
      </c>
      <c r="C35" s="19" t="inlineStr">
        <is>
          <t>Gifting</t>
        </is>
      </c>
      <c r="D35" s="31" t="n">
        <v>1113000</v>
      </c>
      <c r="E35" s="32" t="n">
        <v>490</v>
      </c>
      <c r="F35" s="31">
        <f>IF(E35=0,0,D35/E35)</f>
        <v/>
      </c>
      <c r="G35" s="32" t="n">
        <v>33381</v>
      </c>
      <c r="H35" s="33">
        <f>IF(G35=0,0,2195/G35)</f>
        <v/>
      </c>
      <c r="I35" s="33">
        <f>IF(G35=0,0,E35/G35)</f>
        <v/>
      </c>
      <c r="J35" s="19" t="inlineStr">
        <is>
          <t>varies</t>
        </is>
      </c>
      <c r="K35" s="25" t="inlineStr">
        <is>
          <t>See role</t>
        </is>
      </c>
      <c r="L35" s="25" t="inlineStr">
        <is>
          <t>Under-activated vs traffic</t>
        </is>
      </c>
      <c r="M35" s="25" t="inlineStr">
        <is>
          <t>Attach + CRM</t>
        </is>
      </c>
      <c r="N35" s="19" t="inlineStr">
        <is>
          <t>GWP/attach</t>
        </is>
      </c>
      <c r="O35" s="19" t="inlineStr">
        <is>
          <t>Complementary item</t>
        </is>
      </c>
      <c r="P35" s="19" t="inlineStr">
        <is>
          <t>Adjacent accy</t>
        </is>
      </c>
      <c r="Q35" s="19" t="inlineStr">
        <is>
          <t>Lifecycle CRM</t>
        </is>
      </c>
      <c r="R35" s="19" t="inlineStr">
        <is>
          <t>Merchandise in hub</t>
        </is>
      </c>
      <c r="S35" s="25" t="inlineStr">
        <is>
          <t>Attach + surface in relevant hub</t>
        </is>
      </c>
      <c r="T35" s="20" t="inlineStr">
        <is>
          <t>Low</t>
        </is>
      </c>
    </row>
    <row r="36">
      <c r="A36" s="10" t="inlineStr">
        <is>
          <t>1602</t>
        </is>
      </c>
      <c r="B36" s="16" t="inlineStr">
        <is>
          <t>Gift Cards</t>
        </is>
      </c>
      <c r="C36" s="16" t="inlineStr">
        <is>
          <t>Gifting</t>
        </is>
      </c>
      <c r="D36" s="28" t="n">
        <v>1084609.999</v>
      </c>
      <c r="E36" s="29" t="n">
        <v>290</v>
      </c>
      <c r="F36" s="28">
        <f>IF(E36=0,0,D36/E36)</f>
        <v/>
      </c>
      <c r="G36" s="29" t="n">
        <v>22852</v>
      </c>
      <c r="H36" s="30">
        <f>IF(G36=0,0,537/G36)</f>
        <v/>
      </c>
      <c r="I36" s="30">
        <f>IF(G36=0,0,E36/G36)</f>
        <v/>
      </c>
      <c r="J36" s="16" t="inlineStr">
        <is>
          <t>varies</t>
        </is>
      </c>
      <c r="K36" s="9" t="inlineStr">
        <is>
          <t>See role</t>
        </is>
      </c>
      <c r="L36" s="9" t="inlineStr">
        <is>
          <t>Under-activated vs traffic</t>
        </is>
      </c>
      <c r="M36" s="9" t="inlineStr">
        <is>
          <t>Attach + CRM</t>
        </is>
      </c>
      <c r="N36" s="16" t="inlineStr">
        <is>
          <t>GWP/attach</t>
        </is>
      </c>
      <c r="O36" s="16" t="inlineStr">
        <is>
          <t>Complementary item</t>
        </is>
      </c>
      <c r="P36" s="16" t="inlineStr">
        <is>
          <t>Adjacent accy</t>
        </is>
      </c>
      <c r="Q36" s="16" t="inlineStr">
        <is>
          <t>Lifecycle CRM</t>
        </is>
      </c>
      <c r="R36" s="16" t="inlineStr">
        <is>
          <t>Merchandise in hub</t>
        </is>
      </c>
      <c r="S36" s="9" t="inlineStr">
        <is>
          <t>Attach + surface in relevant hub</t>
        </is>
      </c>
      <c r="T36" s="10" t="inlineStr">
        <is>
          <t>Low</t>
        </is>
      </c>
    </row>
    <row r="37">
      <c r="A37" s="20" t="inlineStr">
        <is>
          <t>1603</t>
        </is>
      </c>
      <c r="B37" s="19" t="inlineStr">
        <is>
          <t>Gifting (corporate/curated)</t>
        </is>
      </c>
      <c r="C37" s="19" t="inlineStr">
        <is>
          <t>Gifting</t>
        </is>
      </c>
      <c r="D37" s="31" t="n">
        <v>1004491.9996</v>
      </c>
      <c r="E37" s="32" t="n">
        <v>308</v>
      </c>
      <c r="F37" s="31">
        <f>IF(E37=0,0,D37/E37)</f>
        <v/>
      </c>
      <c r="G37" s="32" t="n">
        <v>66359</v>
      </c>
      <c r="H37" s="33">
        <f>IF(G37=0,0,1135/G37)</f>
        <v/>
      </c>
      <c r="I37" s="33">
        <f>IF(G37=0,0,E37/G37)</f>
        <v/>
      </c>
      <c r="J37" s="19" t="inlineStr">
        <is>
          <t>varies</t>
        </is>
      </c>
      <c r="K37" s="25" t="inlineStr">
        <is>
          <t>See role</t>
        </is>
      </c>
      <c r="L37" s="25" t="inlineStr">
        <is>
          <t>Under-activated vs traffic</t>
        </is>
      </c>
      <c r="M37" s="25" t="inlineStr">
        <is>
          <t>Attach + CRM</t>
        </is>
      </c>
      <c r="N37" s="19" t="inlineStr">
        <is>
          <t>GWP/attach</t>
        </is>
      </c>
      <c r="O37" s="19" t="inlineStr">
        <is>
          <t>Complementary item</t>
        </is>
      </c>
      <c r="P37" s="19" t="inlineStr">
        <is>
          <t>Adjacent accy</t>
        </is>
      </c>
      <c r="Q37" s="19" t="inlineStr">
        <is>
          <t>Lifecycle CRM</t>
        </is>
      </c>
      <c r="R37" s="19" t="inlineStr">
        <is>
          <t>Merchandise in hub</t>
        </is>
      </c>
      <c r="S37" s="25" t="inlineStr">
        <is>
          <t>Attach + surface in relevant hub</t>
        </is>
      </c>
      <c r="T37" s="20" t="inlineStr">
        <is>
          <t>Low</t>
        </is>
      </c>
    </row>
    <row r="38">
      <c r="A38" s="10" t="inlineStr">
        <is>
          <t>1707</t>
        </is>
      </c>
      <c r="B38" s="16" t="inlineStr">
        <is>
          <t>Drinkware (bottles/flasks)</t>
        </is>
      </c>
      <c r="C38" s="16" t="inlineStr">
        <is>
          <t>Impulse / Gifting</t>
        </is>
      </c>
      <c r="D38" s="28" t="n">
        <v>881169</v>
      </c>
      <c r="E38" s="29" t="n">
        <v>1001</v>
      </c>
      <c r="F38" s="28">
        <f>IF(E38=0,0,D38/E38)</f>
        <v/>
      </c>
      <c r="G38" s="29" t="n">
        <v>75861</v>
      </c>
      <c r="H38" s="30">
        <f>IF(G38=0,0,4155/G38)</f>
        <v/>
      </c>
      <c r="I38" s="30">
        <f>IF(G38=0,0,E38/G38)</f>
        <v/>
      </c>
      <c r="J38" s="16" t="inlineStr">
        <is>
          <t>varies</t>
        </is>
      </c>
      <c r="K38" s="9" t="inlineStr">
        <is>
          <t>See role</t>
        </is>
      </c>
      <c r="L38" s="9" t="inlineStr">
        <is>
          <t>Under-activated vs traffic</t>
        </is>
      </c>
      <c r="M38" s="9" t="inlineStr">
        <is>
          <t>Attach + CRM</t>
        </is>
      </c>
      <c r="N38" s="16" t="inlineStr">
        <is>
          <t>GWP/attach</t>
        </is>
      </c>
      <c r="O38" s="16" t="inlineStr">
        <is>
          <t>Complementary item</t>
        </is>
      </c>
      <c r="P38" s="16" t="inlineStr">
        <is>
          <t>Adjacent accy</t>
        </is>
      </c>
      <c r="Q38" s="16" t="inlineStr">
        <is>
          <t>Lifecycle CRM</t>
        </is>
      </c>
      <c r="R38" s="16" t="inlineStr">
        <is>
          <t>Merchandise in hub</t>
        </is>
      </c>
      <c r="S38" s="9" t="inlineStr">
        <is>
          <t>Attach + surface in relevant hub</t>
        </is>
      </c>
      <c r="T38" s="10" t="inlineStr">
        <is>
          <t>Low</t>
        </is>
      </c>
    </row>
    <row r="39">
      <c r="A39" s="34" t="n"/>
      <c r="B39" s="35" t="inlineStr">
        <is>
          <t>TOTAL</t>
        </is>
      </c>
      <c r="C39" s="34" t="n"/>
      <c r="D39" s="36">
        <f>SUM(D4:D38)</f>
        <v/>
      </c>
      <c r="E39" s="37">
        <f>SUM(E4:E38)</f>
        <v/>
      </c>
      <c r="F39" s="34" t="n"/>
      <c r="G39" s="37">
        <f>SUM(G4:G38)</f>
        <v/>
      </c>
      <c r="H39" s="34" t="n"/>
      <c r="I39" s="34" t="n"/>
      <c r="J39" s="34" t="n"/>
      <c r="K39" s="34" t="n"/>
      <c r="L39" s="34" t="n"/>
      <c r="M39" s="34" t="n"/>
      <c r="N39" s="34" t="n"/>
      <c r="O39" s="34" t="n"/>
      <c r="P39" s="34" t="n"/>
      <c r="Q39" s="34" t="n"/>
      <c r="R39" s="34" t="n"/>
      <c r="S39" s="34" t="n"/>
      <c r="T39" s="34" t="n"/>
    </row>
  </sheetData>
  <autoFilter ref="A3:T38"/>
  <mergeCells count="2">
    <mergeCell ref="A1:T1"/>
    <mergeCell ref="A2:T2"/>
  </mergeCells>
  <conditionalFormatting sqref="D4:D38">
    <cfRule type="colorScale" priority="1">
      <colorScale>
        <cfvo type="min"/>
        <cfvo type="max"/>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3"/>
  <sheetViews>
    <sheetView workbookViewId="0">
      <pane ySplit="3" topLeftCell="A4" activePane="bottomLeft" state="frozen"/>
      <selection pane="bottomLeft" activeCell="A1" sqref="A1"/>
    </sheetView>
  </sheetViews>
  <sheetFormatPr baseColWidth="8" defaultRowHeight="15"/>
  <cols>
    <col width="6" customWidth="1" min="1" max="1"/>
    <col width="20" customWidth="1" min="2" max="2"/>
    <col width="10" customWidth="1" min="3" max="3"/>
    <col width="22" customWidth="1" min="4" max="4"/>
    <col width="10" customWidth="1" min="5" max="5"/>
    <col width="16" customWidth="1" min="6" max="6"/>
    <col width="13" customWidth="1" min="7" max="7"/>
    <col width="11" customWidth="1" min="8" max="8"/>
    <col width="11" customWidth="1" min="9" max="9"/>
    <col width="12" customWidth="1" min="10" max="10"/>
    <col width="14" customWidth="1" min="11" max="11"/>
    <col width="16" customWidth="1" min="12" max="12"/>
    <col width="13" customWidth="1" min="13" max="13"/>
    <col width="22" customWidth="1" min="14" max="14"/>
    <col width="13" customWidth="1" min="15" max="15"/>
    <col width="10" customWidth="1" min="16" max="16"/>
  </cols>
  <sheetData>
    <row r="1" ht="30" customHeight="1">
      <c r="A1" s="22" t="inlineStr">
        <is>
          <t>BASKET AFFINITY &amp; TOP-20 BUNDLE OPPORTUNITIES</t>
        </is>
      </c>
    </row>
    <row r="2" ht="22" customHeight="1">
      <c r="A2" s="2" t="inlineStr">
        <is>
          <t>Attach rate &amp; lift are HYPOTHESES (no order-line SKU data available; GA4 provides no true co-purchase). Validate with a market-basket run on order-line data, then bundle. Combined ASP &amp; saving are formula-driven.</t>
        </is>
      </c>
    </row>
    <row r="3" ht="34" customHeight="1">
      <c r="A3" s="14" t="inlineStr">
        <is>
          <t>Rank</t>
        </is>
      </c>
      <c r="B3" s="14" t="inlineStr">
        <is>
          <t>Primary Product</t>
        </is>
      </c>
      <c r="C3" s="14" t="inlineStr">
        <is>
          <t>Primary Cat</t>
        </is>
      </c>
      <c r="D3" s="14" t="inlineStr">
        <is>
          <t>Secondary Product</t>
        </is>
      </c>
      <c r="E3" s="14" t="inlineStr">
        <is>
          <t>Secondary Cat</t>
        </is>
      </c>
      <c r="F3" s="14" t="inlineStr">
        <is>
          <t>Est. Attach Rate (HYP)</t>
        </is>
      </c>
      <c r="G3" s="14" t="inlineStr">
        <is>
          <t>Est. Lift (HYP)</t>
        </is>
      </c>
      <c r="H3" s="14" t="inlineStr">
        <is>
          <t>Primary ASP</t>
        </is>
      </c>
      <c r="I3" s="14" t="inlineStr">
        <is>
          <t>Secondary ASP</t>
        </is>
      </c>
      <c r="J3" s="14" t="inlineStr">
        <is>
          <t>Combined ASP</t>
        </is>
      </c>
      <c r="K3" s="14" t="inlineStr">
        <is>
          <t>Bundle Exists?</t>
        </is>
      </c>
      <c r="L3" s="14" t="inlineStr">
        <is>
          <t>Recommended Bundle Price</t>
        </is>
      </c>
      <c r="M3" s="14" t="inlineStr">
        <is>
          <t>Customer Saving</t>
        </is>
      </c>
      <c r="N3" s="14" t="inlineStr">
        <is>
          <t>Recommended Placement</t>
        </is>
      </c>
      <c r="O3" s="14" t="inlineStr">
        <is>
          <t>Priority (/100)</t>
        </is>
      </c>
      <c r="P3" s="14" t="inlineStr">
        <is>
          <t>Idea Ref</t>
        </is>
      </c>
    </row>
    <row r="4">
      <c r="A4" s="10" t="n">
        <v>1</v>
      </c>
      <c r="B4" s="16" t="inlineStr">
        <is>
          <t>Phone Case</t>
        </is>
      </c>
      <c r="C4" s="10" t="inlineStr">
        <is>
          <t>1101</t>
        </is>
      </c>
      <c r="D4" s="16" t="inlineStr">
        <is>
          <t>Tempered Screen Guard</t>
        </is>
      </c>
      <c r="E4" s="10" t="inlineStr">
        <is>
          <t>1815</t>
        </is>
      </c>
      <c r="F4" s="38" t="n">
        <v>0.35</v>
      </c>
      <c r="G4" s="10" t="n">
        <v>4.2</v>
      </c>
      <c r="H4" s="28" t="n">
        <v>1068</v>
      </c>
      <c r="I4" s="28" t="n">
        <v>764</v>
      </c>
      <c r="J4" s="28">
        <f>H4+I4</f>
        <v/>
      </c>
      <c r="K4" s="10" t="inlineStr">
        <is>
          <t>None yet</t>
        </is>
      </c>
      <c r="L4" s="28">
        <f>ROUND(J4*0.9,0)</f>
        <v/>
      </c>
      <c r="M4" s="28">
        <f>J4-L4</f>
        <v/>
      </c>
      <c r="N4" s="16" t="inlineStr">
        <is>
          <t>PDP FBT + Cart rail</t>
        </is>
      </c>
      <c r="O4" s="10" t="n">
        <v>100</v>
      </c>
      <c r="P4" s="16" t="inlineStr"/>
    </row>
    <row r="5">
      <c r="A5" s="20" t="n">
        <v>2</v>
      </c>
      <c r="B5" s="19" t="inlineStr">
        <is>
          <t>MagSafe Case</t>
        </is>
      </c>
      <c r="C5" s="20" t="inlineStr">
        <is>
          <t>1103</t>
        </is>
      </c>
      <c r="D5" s="19" t="inlineStr">
        <is>
          <t>Screen Guard</t>
        </is>
      </c>
      <c r="E5" s="20" t="inlineStr">
        <is>
          <t>1815</t>
        </is>
      </c>
      <c r="F5" s="39" t="n">
        <v>0.33</v>
      </c>
      <c r="G5" s="20" t="n">
        <v>4</v>
      </c>
      <c r="H5" s="31" t="n">
        <v>1318</v>
      </c>
      <c r="I5" s="31" t="n">
        <v>764</v>
      </c>
      <c r="J5" s="31">
        <f>H5+I5</f>
        <v/>
      </c>
      <c r="K5" s="20" t="inlineStr">
        <is>
          <t>None yet</t>
        </is>
      </c>
      <c r="L5" s="31">
        <f>ROUND(J5*0.9,0)</f>
        <v/>
      </c>
      <c r="M5" s="31">
        <f>J5-L5</f>
        <v/>
      </c>
      <c r="N5" s="19" t="inlineStr">
        <is>
          <t>PDP FBT + Cart rail</t>
        </is>
      </c>
      <c r="O5" s="20" t="n">
        <v>89.8</v>
      </c>
      <c r="P5" s="19" t="inlineStr"/>
    </row>
    <row r="6">
      <c r="A6" s="10" t="n">
        <v>3</v>
      </c>
      <c r="B6" s="16" t="inlineStr">
        <is>
          <t>Desk Organiser</t>
        </is>
      </c>
      <c r="C6" s="10" t="inlineStr">
        <is>
          <t>1702</t>
        </is>
      </c>
      <c r="D6" s="16" t="inlineStr">
        <is>
          <t>Desk Mat</t>
        </is>
      </c>
      <c r="E6" s="10" t="inlineStr">
        <is>
          <t>1701</t>
        </is>
      </c>
      <c r="F6" s="38" t="n">
        <v>0.28</v>
      </c>
      <c r="G6" s="10" t="n">
        <v>3.4</v>
      </c>
      <c r="H6" s="28" t="n">
        <v>1326</v>
      </c>
      <c r="I6" s="28" t="n">
        <v>951</v>
      </c>
      <c r="J6" s="28">
        <f>H6+I6</f>
        <v/>
      </c>
      <c r="K6" s="10" t="inlineStr">
        <is>
          <t>None yet</t>
        </is>
      </c>
      <c r="L6" s="28">
        <f>ROUND(J6*0.9,0)</f>
        <v/>
      </c>
      <c r="M6" s="28">
        <f>J6-L6</f>
        <v/>
      </c>
      <c r="N6" s="16" t="inlineStr">
        <is>
          <t>PDP FBT + Cart rail</t>
        </is>
      </c>
      <c r="O6" s="10" t="n">
        <v>64.8</v>
      </c>
      <c r="P6" s="16" t="inlineStr"/>
    </row>
    <row r="7">
      <c r="A7" s="20" t="n">
        <v>4</v>
      </c>
      <c r="B7" s="19" t="inlineStr">
        <is>
          <t>Backpack</t>
        </is>
      </c>
      <c r="C7" s="20" t="inlineStr">
        <is>
          <t>1201</t>
        </is>
      </c>
      <c r="D7" s="19" t="inlineStr">
        <is>
          <t>Laptop Sleeve</t>
        </is>
      </c>
      <c r="E7" s="20" t="inlineStr">
        <is>
          <t>1204</t>
        </is>
      </c>
      <c r="F7" s="39" t="n">
        <v>0.2</v>
      </c>
      <c r="G7" s="20" t="n">
        <v>3.6</v>
      </c>
      <c r="H7" s="31" t="n">
        <v>1940</v>
      </c>
      <c r="I7" s="31" t="n">
        <v>2328</v>
      </c>
      <c r="J7" s="31">
        <f>H7+I7</f>
        <v/>
      </c>
      <c r="K7" s="20" t="inlineStr">
        <is>
          <t>Combo (ad hoc)</t>
        </is>
      </c>
      <c r="L7" s="31">
        <f>ROUND(J7*0.9,0)</f>
        <v/>
      </c>
      <c r="M7" s="31">
        <f>J7-L7</f>
        <v/>
      </c>
      <c r="N7" s="19" t="inlineStr">
        <is>
          <t>PDP FBT + Cart rail</t>
        </is>
      </c>
      <c r="O7" s="20" t="n">
        <v>49</v>
      </c>
      <c r="P7" s="19" t="inlineStr"/>
    </row>
    <row r="8">
      <c r="A8" s="10" t="n">
        <v>5</v>
      </c>
      <c r="B8" s="16" t="inlineStr">
        <is>
          <t>Desk Mat</t>
        </is>
      </c>
      <c r="C8" s="10" t="inlineStr">
        <is>
          <t>1701</t>
        </is>
      </c>
      <c r="D8" s="16" t="inlineStr">
        <is>
          <t>Cable Organiser</t>
        </is>
      </c>
      <c r="E8" s="10" t="inlineStr">
        <is>
          <t>1703</t>
        </is>
      </c>
      <c r="F8" s="38" t="n">
        <v>0.22</v>
      </c>
      <c r="G8" s="10" t="n">
        <v>2.9</v>
      </c>
      <c r="H8" s="28" t="n">
        <v>951</v>
      </c>
      <c r="I8" s="28" t="n">
        <v>1126</v>
      </c>
      <c r="J8" s="28">
        <f>H8+I8</f>
        <v/>
      </c>
      <c r="K8" s="10" t="inlineStr">
        <is>
          <t>None yet</t>
        </is>
      </c>
      <c r="L8" s="28">
        <f>ROUND(J8*0.9,0)</f>
        <v/>
      </c>
      <c r="M8" s="28">
        <f>J8-L8</f>
        <v/>
      </c>
      <c r="N8" s="16" t="inlineStr">
        <is>
          <t>PDP FBT + Cart rail</t>
        </is>
      </c>
      <c r="O8" s="10" t="n">
        <v>43.4</v>
      </c>
      <c r="P8" s="16" t="inlineStr"/>
    </row>
    <row r="9">
      <c r="A9" s="20" t="n">
        <v>6</v>
      </c>
      <c r="B9" s="19" t="inlineStr">
        <is>
          <t>Loop Power Bank</t>
        </is>
      </c>
      <c r="C9" s="20" t="inlineStr">
        <is>
          <t>1809</t>
        </is>
      </c>
      <c r="D9" s="19" t="inlineStr">
        <is>
          <t>Braided Cable</t>
        </is>
      </c>
      <c r="E9" s="20" t="inlineStr">
        <is>
          <t>1811</t>
        </is>
      </c>
      <c r="F9" s="39" t="n">
        <v>0.22</v>
      </c>
      <c r="G9" s="20" t="n">
        <v>2.8</v>
      </c>
      <c r="H9" s="31" t="n">
        <v>3108</v>
      </c>
      <c r="I9" s="31" t="n">
        <v>1446</v>
      </c>
      <c r="J9" s="31">
        <f>H9+I9</f>
        <v/>
      </c>
      <c r="K9" s="20" t="inlineStr">
        <is>
          <t>None yet</t>
        </is>
      </c>
      <c r="L9" s="31">
        <f>ROUND(J9*0.9,0)</f>
        <v/>
      </c>
      <c r="M9" s="31">
        <f>J9-L9</f>
        <v/>
      </c>
      <c r="N9" s="19" t="inlineStr">
        <is>
          <t>PDP FBT + Cart rail</t>
        </is>
      </c>
      <c r="O9" s="20" t="n">
        <v>41.9</v>
      </c>
      <c r="P9" s="19" t="inlineStr"/>
    </row>
    <row r="10">
      <c r="A10" s="10" t="n">
        <v>7</v>
      </c>
      <c r="B10" s="16" t="inlineStr">
        <is>
          <t>Premium Bag/Luggage</t>
        </is>
      </c>
      <c r="C10" s="10" t="inlineStr">
        <is>
          <t>1202</t>
        </is>
      </c>
      <c r="D10" s="16" t="inlineStr">
        <is>
          <t>Tech Organiser</t>
        </is>
      </c>
      <c r="E10" s="10" t="inlineStr">
        <is>
          <t>1703</t>
        </is>
      </c>
      <c r="F10" s="38" t="n">
        <v>0.18</v>
      </c>
      <c r="G10" s="10" t="n">
        <v>3.2</v>
      </c>
      <c r="H10" s="28" t="n">
        <v>3735</v>
      </c>
      <c r="I10" s="28" t="n">
        <v>1126</v>
      </c>
      <c r="J10" s="28">
        <f>H10+I10</f>
        <v/>
      </c>
      <c r="K10" s="10" t="inlineStr">
        <is>
          <t>None yet</t>
        </is>
      </c>
      <c r="L10" s="28">
        <f>ROUND(J10*0.9,0)</f>
        <v/>
      </c>
      <c r="M10" s="28">
        <f>J10-L10</f>
        <v/>
      </c>
      <c r="N10" s="16" t="inlineStr">
        <is>
          <t>PDP FBT + Cart rail</t>
        </is>
      </c>
      <c r="O10" s="10" t="n">
        <v>39.2</v>
      </c>
      <c r="P10" s="16" t="inlineStr"/>
    </row>
    <row r="11">
      <c r="A11" s="20" t="n">
        <v>8</v>
      </c>
      <c r="B11" s="19" t="inlineStr">
        <is>
          <t>Phone Case</t>
        </is>
      </c>
      <c r="C11" s="20" t="inlineStr">
        <is>
          <t>1101</t>
        </is>
      </c>
      <c r="D11" s="19" t="inlineStr">
        <is>
          <t>MagSafe Grip/Ring</t>
        </is>
      </c>
      <c r="E11" s="20" t="inlineStr">
        <is>
          <t>1812</t>
        </is>
      </c>
      <c r="F11" s="39" t="n">
        <v>0.18</v>
      </c>
      <c r="G11" s="20" t="n">
        <v>3.1</v>
      </c>
      <c r="H11" s="31" t="n">
        <v>1068</v>
      </c>
      <c r="I11" s="31" t="n">
        <v>628</v>
      </c>
      <c r="J11" s="31">
        <f>H11+I11</f>
        <v/>
      </c>
      <c r="K11" s="20" t="inlineStr">
        <is>
          <t>None yet</t>
        </is>
      </c>
      <c r="L11" s="31">
        <f>ROUND(J11*0.9,0)</f>
        <v/>
      </c>
      <c r="M11" s="31">
        <f>J11-L11</f>
        <v/>
      </c>
      <c r="N11" s="19" t="inlineStr">
        <is>
          <t>PDP FBT + Cart rail</t>
        </is>
      </c>
      <c r="O11" s="20" t="n">
        <v>38</v>
      </c>
      <c r="P11" s="19" t="inlineStr"/>
    </row>
    <row r="12">
      <c r="A12" s="10" t="n">
        <v>9</v>
      </c>
      <c r="B12" s="16" t="inlineStr">
        <is>
          <t>Apple Watch Band</t>
        </is>
      </c>
      <c r="C12" s="10" t="inlineStr">
        <is>
          <t>1801</t>
        </is>
      </c>
      <c r="D12" s="16" t="inlineStr">
        <is>
          <t>2nd Watch Band</t>
        </is>
      </c>
      <c r="E12" s="10" t="inlineStr">
        <is>
          <t>1801</t>
        </is>
      </c>
      <c r="F12" s="38" t="n">
        <v>0.25</v>
      </c>
      <c r="G12" s="10" t="n">
        <v>2.2</v>
      </c>
      <c r="H12" s="28" t="n">
        <v>1107</v>
      </c>
      <c r="I12" s="28" t="n">
        <v>1107</v>
      </c>
      <c r="J12" s="28">
        <f>H12+I12</f>
        <v/>
      </c>
      <c r="K12" s="10" t="inlineStr">
        <is>
          <t>None yet</t>
        </is>
      </c>
      <c r="L12" s="28">
        <f>ROUND(J12*0.9,0)</f>
        <v/>
      </c>
      <c r="M12" s="28">
        <f>J12-L12</f>
        <v/>
      </c>
      <c r="N12" s="16" t="inlineStr">
        <is>
          <t>PDP FBT + Cart rail</t>
        </is>
      </c>
      <c r="O12" s="10" t="n">
        <v>37.4</v>
      </c>
      <c r="P12" s="16" t="inlineStr"/>
    </row>
    <row r="13">
      <c r="A13" s="20" t="n">
        <v>10</v>
      </c>
      <c r="B13" s="19" t="inlineStr">
        <is>
          <t>Laptop Sleeve</t>
        </is>
      </c>
      <c r="C13" s="20" t="inlineStr">
        <is>
          <t>1204</t>
        </is>
      </c>
      <c r="D13" s="19" t="inlineStr">
        <is>
          <t>Tech Organiser</t>
        </is>
      </c>
      <c r="E13" s="20" t="inlineStr">
        <is>
          <t>1703</t>
        </is>
      </c>
      <c r="F13" s="39" t="n">
        <v>0.19</v>
      </c>
      <c r="G13" s="20" t="n">
        <v>2.7</v>
      </c>
      <c r="H13" s="31" t="n">
        <v>2328</v>
      </c>
      <c r="I13" s="31" t="n">
        <v>1126</v>
      </c>
      <c r="J13" s="31">
        <f>H13+I13</f>
        <v/>
      </c>
      <c r="K13" s="20" t="inlineStr">
        <is>
          <t>None yet</t>
        </is>
      </c>
      <c r="L13" s="31">
        <f>ROUND(J13*0.9,0)</f>
        <v/>
      </c>
      <c r="M13" s="31">
        <f>J13-L13</f>
        <v/>
      </c>
      <c r="N13" s="19" t="inlineStr">
        <is>
          <t>PDP FBT + Cart rail</t>
        </is>
      </c>
      <c r="O13" s="20" t="n">
        <v>34.9</v>
      </c>
      <c r="P13" s="19" t="inlineStr"/>
    </row>
    <row r="14">
      <c r="A14" s="10" t="n">
        <v>11</v>
      </c>
      <c r="B14" s="16" t="inlineStr">
        <is>
          <t>Backpack</t>
        </is>
      </c>
      <c r="C14" s="10" t="inlineStr">
        <is>
          <t>1201</t>
        </is>
      </c>
      <c r="D14" s="16" t="inlineStr">
        <is>
          <t>Tech/Cable Organiser</t>
        </is>
      </c>
      <c r="E14" s="10" t="inlineStr">
        <is>
          <t>1703</t>
        </is>
      </c>
      <c r="F14" s="38" t="n">
        <v>0.16</v>
      </c>
      <c r="G14" s="10" t="n">
        <v>3</v>
      </c>
      <c r="H14" s="28" t="n">
        <v>1940</v>
      </c>
      <c r="I14" s="28" t="n">
        <v>1126</v>
      </c>
      <c r="J14" s="28">
        <f>H14+I14</f>
        <v/>
      </c>
      <c r="K14" s="10" t="inlineStr">
        <is>
          <t>None yet</t>
        </is>
      </c>
      <c r="L14" s="28">
        <f>ROUND(J14*0.9,0)</f>
        <v/>
      </c>
      <c r="M14" s="28">
        <f>J14-L14</f>
        <v/>
      </c>
      <c r="N14" s="16" t="inlineStr">
        <is>
          <t>PDP FBT + Cart rail</t>
        </is>
      </c>
      <c r="O14" s="10" t="n">
        <v>32.7</v>
      </c>
      <c r="P14" s="16" t="inlineStr"/>
    </row>
    <row r="15">
      <c r="A15" s="20" t="n">
        <v>12</v>
      </c>
      <c r="B15" s="19" t="inlineStr">
        <is>
          <t>Wallet</t>
        </is>
      </c>
      <c r="C15" s="20" t="inlineStr">
        <is>
          <t>1301</t>
        </is>
      </c>
      <c r="D15" s="19" t="inlineStr">
        <is>
          <t>Card Holder</t>
        </is>
      </c>
      <c r="E15" s="20" t="inlineStr">
        <is>
          <t>1304</t>
        </is>
      </c>
      <c r="F15" s="39" t="n">
        <v>0.17</v>
      </c>
      <c r="G15" s="20" t="n">
        <v>2.5</v>
      </c>
      <c r="H15" s="31" t="n">
        <v>809</v>
      </c>
      <c r="I15" s="31" t="n">
        <v>837</v>
      </c>
      <c r="J15" s="31">
        <f>H15+I15</f>
        <v/>
      </c>
      <c r="K15" s="20" t="inlineStr">
        <is>
          <t>None yet</t>
        </is>
      </c>
      <c r="L15" s="31">
        <f>ROUND(J15*0.9,0)</f>
        <v/>
      </c>
      <c r="M15" s="31">
        <f>J15-L15</f>
        <v/>
      </c>
      <c r="N15" s="19" t="inlineStr">
        <is>
          <t>PDP FBT + Cart rail</t>
        </is>
      </c>
      <c r="O15" s="20" t="n">
        <v>28.9</v>
      </c>
      <c r="P15" s="19" t="inlineStr"/>
    </row>
    <row r="16">
      <c r="A16" s="10" t="n">
        <v>13</v>
      </c>
      <c r="B16" s="16" t="inlineStr">
        <is>
          <t>Crossbody/Sling</t>
        </is>
      </c>
      <c r="C16" s="10" t="inlineStr">
        <is>
          <t>1203</t>
        </is>
      </c>
      <c r="D16" s="16" t="inlineStr">
        <is>
          <t>Wallet</t>
        </is>
      </c>
      <c r="E16" s="10" t="inlineStr">
        <is>
          <t>1301</t>
        </is>
      </c>
      <c r="F16" s="38" t="n">
        <v>0.14</v>
      </c>
      <c r="G16" s="10" t="n">
        <v>2.3</v>
      </c>
      <c r="H16" s="28" t="n">
        <v>1432</v>
      </c>
      <c r="I16" s="28" t="n">
        <v>809</v>
      </c>
      <c r="J16" s="28">
        <f>H16+I16</f>
        <v/>
      </c>
      <c r="K16" s="10" t="inlineStr">
        <is>
          <t>None yet</t>
        </is>
      </c>
      <c r="L16" s="28">
        <f>ROUND(J16*0.9,0)</f>
        <v/>
      </c>
      <c r="M16" s="28">
        <f>J16-L16</f>
        <v/>
      </c>
      <c r="N16" s="16" t="inlineStr">
        <is>
          <t>PDP FBT + Cart rail</t>
        </is>
      </c>
      <c r="O16" s="10" t="n">
        <v>21.9</v>
      </c>
      <c r="P16" s="16" t="inlineStr"/>
    </row>
    <row r="17">
      <c r="A17" s="20" t="n">
        <v>14</v>
      </c>
      <c r="B17" s="19" t="inlineStr">
        <is>
          <t>Phone Case</t>
        </is>
      </c>
      <c r="C17" s="20" t="inlineStr">
        <is>
          <t>1101</t>
        </is>
      </c>
      <c r="D17" s="19" t="inlineStr">
        <is>
          <t>Charging Cable</t>
        </is>
      </c>
      <c r="E17" s="20" t="inlineStr">
        <is>
          <t>1811</t>
        </is>
      </c>
      <c r="F17" s="39" t="n">
        <v>0.15</v>
      </c>
      <c r="G17" s="20" t="n">
        <v>2.1</v>
      </c>
      <c r="H17" s="31" t="n">
        <v>1068</v>
      </c>
      <c r="I17" s="31" t="n">
        <v>1446</v>
      </c>
      <c r="J17" s="31">
        <f>H17+I17</f>
        <v/>
      </c>
      <c r="K17" s="20" t="inlineStr">
        <is>
          <t>None yet</t>
        </is>
      </c>
      <c r="L17" s="31">
        <f>ROUND(J17*0.9,0)</f>
        <v/>
      </c>
      <c r="M17" s="31">
        <f>J17-L17</f>
        <v/>
      </c>
      <c r="N17" s="19" t="inlineStr">
        <is>
          <t>PDP FBT + Cart rail</t>
        </is>
      </c>
      <c r="O17" s="20" t="n">
        <v>21.4</v>
      </c>
      <c r="P17" s="19" t="inlineStr"/>
    </row>
    <row r="18">
      <c r="A18" s="10" t="n">
        <v>15</v>
      </c>
      <c r="B18" s="16" t="inlineStr">
        <is>
          <t>Loop Power Bank</t>
        </is>
      </c>
      <c r="C18" s="10" t="inlineStr">
        <is>
          <t>1809</t>
        </is>
      </c>
      <c r="D18" s="16" t="inlineStr">
        <is>
          <t>MagSafe Case</t>
        </is>
      </c>
      <c r="E18" s="10" t="inlineStr">
        <is>
          <t>1103</t>
        </is>
      </c>
      <c r="F18" s="38" t="n">
        <v>0.12</v>
      </c>
      <c r="G18" s="10" t="n">
        <v>2.4</v>
      </c>
      <c r="H18" s="28" t="n">
        <v>3108</v>
      </c>
      <c r="I18" s="28" t="n">
        <v>1318</v>
      </c>
      <c r="J18" s="28">
        <f>H18+I18</f>
        <v/>
      </c>
      <c r="K18" s="10" t="inlineStr">
        <is>
          <t>None yet</t>
        </is>
      </c>
      <c r="L18" s="28">
        <f>ROUND(J18*0.9,0)</f>
        <v/>
      </c>
      <c r="M18" s="28">
        <f>J18-L18</f>
        <v/>
      </c>
      <c r="N18" s="16" t="inlineStr">
        <is>
          <t>PDP FBT + Cart rail</t>
        </is>
      </c>
      <c r="O18" s="10" t="n">
        <v>19.6</v>
      </c>
      <c r="P18" s="16" t="inlineStr"/>
    </row>
    <row r="19">
      <c r="A19" s="20" t="n">
        <v>16</v>
      </c>
      <c r="B19" s="19" t="inlineStr">
        <is>
          <t>MagSafe Case</t>
        </is>
      </c>
      <c r="C19" s="20" t="inlineStr">
        <is>
          <t>1103</t>
        </is>
      </c>
      <c r="D19" s="19" t="inlineStr">
        <is>
          <t>MagSafe Charger</t>
        </is>
      </c>
      <c r="E19" s="20" t="inlineStr">
        <is>
          <t>1805</t>
        </is>
      </c>
      <c r="F19" s="39" t="n">
        <v>0.11</v>
      </c>
      <c r="G19" s="20" t="n">
        <v>2.6</v>
      </c>
      <c r="H19" s="31" t="n">
        <v>1318</v>
      </c>
      <c r="I19" s="31" t="n">
        <v>2008</v>
      </c>
      <c r="J19" s="31">
        <f>H19+I19</f>
        <v/>
      </c>
      <c r="K19" s="20" t="inlineStr">
        <is>
          <t>None yet</t>
        </is>
      </c>
      <c r="L19" s="31">
        <f>ROUND(J19*0.9,0)</f>
        <v/>
      </c>
      <c r="M19" s="31">
        <f>J19-L19</f>
        <v/>
      </c>
      <c r="N19" s="19" t="inlineStr">
        <is>
          <t>PDP FBT + Cart rail</t>
        </is>
      </c>
      <c r="O19" s="20" t="n">
        <v>19.5</v>
      </c>
      <c r="P19" s="19" t="inlineStr"/>
    </row>
    <row r="20">
      <c r="A20" s="10" t="n">
        <v>17</v>
      </c>
      <c r="B20" s="16" t="inlineStr">
        <is>
          <t>AirPods Case</t>
        </is>
      </c>
      <c r="C20" s="10" t="inlineStr">
        <is>
          <t>1402</t>
        </is>
      </c>
      <c r="D20" s="16" t="inlineStr">
        <is>
          <t>Phone Case</t>
        </is>
      </c>
      <c r="E20" s="10" t="inlineStr">
        <is>
          <t>1101</t>
        </is>
      </c>
      <c r="F20" s="38" t="n">
        <v>0.12</v>
      </c>
      <c r="G20" s="10" t="n">
        <v>1.8</v>
      </c>
      <c r="H20" s="28" t="n">
        <v>384</v>
      </c>
      <c r="I20" s="28" t="n">
        <v>1068</v>
      </c>
      <c r="J20" s="28">
        <f>H20+I20</f>
        <v/>
      </c>
      <c r="K20" s="10" t="inlineStr">
        <is>
          <t>None yet</t>
        </is>
      </c>
      <c r="L20" s="28">
        <f>ROUND(J20*0.9,0)</f>
        <v/>
      </c>
      <c r="M20" s="28">
        <f>J20-L20</f>
        <v/>
      </c>
      <c r="N20" s="16" t="inlineStr">
        <is>
          <t>PDP FBT + Cart rail</t>
        </is>
      </c>
      <c r="O20" s="10" t="n">
        <v>14.7</v>
      </c>
      <c r="P20" s="16" t="inlineStr"/>
    </row>
    <row r="21">
      <c r="A21" s="20" t="n">
        <v>18</v>
      </c>
      <c r="B21" s="19" t="inlineStr">
        <is>
          <t>Apple Watch Band</t>
        </is>
      </c>
      <c r="C21" s="20" t="inlineStr">
        <is>
          <t>1801</t>
        </is>
      </c>
      <c r="D21" s="19" t="inlineStr">
        <is>
          <t>Watch Charger</t>
        </is>
      </c>
      <c r="E21" s="20" t="inlineStr">
        <is>
          <t>1805</t>
        </is>
      </c>
      <c r="F21" s="39" t="n">
        <v>0.1</v>
      </c>
      <c r="G21" s="20" t="n">
        <v>2</v>
      </c>
      <c r="H21" s="31" t="n">
        <v>1107</v>
      </c>
      <c r="I21" s="31" t="n">
        <v>2008</v>
      </c>
      <c r="J21" s="31">
        <f>H21+I21</f>
        <v/>
      </c>
      <c r="K21" s="20" t="inlineStr">
        <is>
          <t>None yet</t>
        </is>
      </c>
      <c r="L21" s="31">
        <f>ROUND(J21*0.9,0)</f>
        <v/>
      </c>
      <c r="M21" s="31">
        <f>J21-L21</f>
        <v/>
      </c>
      <c r="N21" s="19" t="inlineStr">
        <is>
          <t>PDP FBT + Cart rail</t>
        </is>
      </c>
      <c r="O21" s="20" t="n">
        <v>13.6</v>
      </c>
      <c r="P21" s="19" t="inlineStr"/>
    </row>
    <row r="22">
      <c r="A22" s="10" t="n">
        <v>19</v>
      </c>
      <c r="B22" s="16" t="inlineStr">
        <is>
          <t>Loop Power Bank</t>
        </is>
      </c>
      <c r="C22" s="10" t="inlineStr">
        <is>
          <t>1809</t>
        </is>
      </c>
      <c r="D22" s="16" t="inlineStr">
        <is>
          <t>Stand/Mount</t>
        </is>
      </c>
      <c r="E22" s="10" t="inlineStr">
        <is>
          <t>1814</t>
        </is>
      </c>
      <c r="F22" s="38" t="n">
        <v>0.09</v>
      </c>
      <c r="G22" s="10" t="n">
        <v>1.9</v>
      </c>
      <c r="H22" s="28" t="n">
        <v>3108</v>
      </c>
      <c r="I22" s="28" t="n">
        <v>1302</v>
      </c>
      <c r="J22" s="28">
        <f>H22+I22</f>
        <v/>
      </c>
      <c r="K22" s="10" t="inlineStr">
        <is>
          <t>None yet</t>
        </is>
      </c>
      <c r="L22" s="28">
        <f>ROUND(J22*0.9,0)</f>
        <v/>
      </c>
      <c r="M22" s="28">
        <f>J22-L22</f>
        <v/>
      </c>
      <c r="N22" s="16" t="inlineStr">
        <is>
          <t>PDP FBT + Cart rail</t>
        </is>
      </c>
      <c r="O22" s="10" t="n">
        <v>11.6</v>
      </c>
      <c r="P22" s="16" t="inlineStr"/>
    </row>
    <row r="23">
      <c r="A23" s="20" t="n">
        <v>20</v>
      </c>
      <c r="B23" s="19" t="inlineStr">
        <is>
          <t>Phone Case</t>
        </is>
      </c>
      <c r="C23" s="20" t="inlineStr">
        <is>
          <t>1101</t>
        </is>
      </c>
      <c r="D23" s="19" t="inlineStr">
        <is>
          <t>AirPods Case</t>
        </is>
      </c>
      <c r="E23" s="20" t="inlineStr">
        <is>
          <t>1402</t>
        </is>
      </c>
      <c r="F23" s="39" t="n">
        <v>0.08</v>
      </c>
      <c r="G23" s="20" t="n">
        <v>1.7</v>
      </c>
      <c r="H23" s="31" t="n">
        <v>1068</v>
      </c>
      <c r="I23" s="31" t="n">
        <v>384</v>
      </c>
      <c r="J23" s="31">
        <f>H23+I23</f>
        <v/>
      </c>
      <c r="K23" s="20" t="inlineStr">
        <is>
          <t>None yet</t>
        </is>
      </c>
      <c r="L23" s="31">
        <f>ROUND(J23*0.9,0)</f>
        <v/>
      </c>
      <c r="M23" s="31">
        <f>J23-L23</f>
        <v/>
      </c>
      <c r="N23" s="19" t="inlineStr">
        <is>
          <t>PDP FBT + Cart rail</t>
        </is>
      </c>
      <c r="O23" s="20" t="n">
        <v>9.300000000000001</v>
      </c>
      <c r="P23" s="19" t="inlineStr"/>
    </row>
  </sheetData>
  <autoFilter ref="A3:P23"/>
  <mergeCells count="2">
    <mergeCell ref="A1:P1"/>
    <mergeCell ref="A2:P2"/>
  </mergeCells>
  <conditionalFormatting sqref="O4:O23">
    <cfRule type="colorScale" priority="1">
      <colorScale>
        <cfvo type="num" val="0"/>
        <cfvo type="num" val="100"/>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1"/>
  <sheetViews>
    <sheetView workbookViewId="0">
      <pane ySplit="3" topLeftCell="A4" activePane="bottomLeft" state="frozen"/>
      <selection pane="bottomLeft" activeCell="A1" sqref="A1"/>
    </sheetView>
  </sheetViews>
  <sheetFormatPr baseColWidth="8" defaultRowHeight="15"/>
  <cols>
    <col width="22" customWidth="1" min="1" max="1"/>
    <col width="13" customWidth="1" min="2" max="2"/>
    <col width="12" customWidth="1" min="3" max="3"/>
    <col width="11" customWidth="1" min="4" max="4"/>
    <col width="16" customWidth="1" min="5" max="5"/>
    <col width="11" customWidth="1" min="6" max="6"/>
    <col width="10" customWidth="1" min="7" max="7"/>
    <col width="20" customWidth="1" min="8" max="8"/>
    <col width="40" customWidth="1" min="9" max="9"/>
    <col width="16" customWidth="1" min="10" max="10"/>
    <col width="24" customWidth="1" min="11" max="11"/>
    <col width="13" customWidth="1" min="12" max="12"/>
    <col width="13" customWidth="1" min="13" max="13"/>
    <col width="10" customWidth="1" min="14" max="14"/>
  </cols>
  <sheetData>
    <row r="1" ht="30" customHeight="1">
      <c r="A1" s="22" t="inlineStr">
        <is>
          <t>CART THRESHOLD ANALYSIS</t>
        </is>
      </c>
    </row>
    <row r="2" ht="22" customHeight="1">
      <c r="A2" s="2" t="inlineStr">
        <is>
          <t>Set free-gift / free-ship / spend-ladder thresholds from where baskets cluster. HYPOTHESIS distribution - the order-level file (daily-marketing-report-v2-2.csv, 32MB, item-level w/ Order Total/Discount/Payment/Coupon/New User) exceeds the 10MB data-fetch cap in this environment. To make this tab OBSERVED: split the CSV into &lt;10MB parts (or run locally), aggregate Order Total (deduped by Order No.) into these bands, and overwrite the yellow %Orders cells. Yellow cells = editable inputs; totals &amp; revenue are formula-driven.</t>
        </is>
      </c>
    </row>
    <row r="3" ht="34" customHeight="1">
      <c r="A3" s="14" t="inlineStr">
        <is>
          <t>Basket Band</t>
        </is>
      </c>
      <c r="B3" s="14" t="inlineStr">
        <is>
          <t>% Orders (input)</t>
        </is>
      </c>
      <c r="C3" s="14" t="inlineStr">
        <is>
          <t>Est. Orders</t>
        </is>
      </c>
      <c r="D3" s="14" t="inlineStr">
        <is>
          <t>% Revenue</t>
        </is>
      </c>
      <c r="E3" s="14" t="inlineStr">
        <is>
          <t>Est. Revenue (Rs)</t>
        </is>
      </c>
      <c r="F3" s="14" t="inlineStr">
        <is>
          <t>Band Mid AOV</t>
        </is>
      </c>
      <c r="G3" s="14" t="inlineStr">
        <is>
          <t>Units/Order</t>
        </is>
      </c>
      <c r="H3" s="14" t="inlineStr">
        <is>
          <t>Current Offer</t>
        </is>
      </c>
      <c r="I3" s="14" t="inlineStr">
        <is>
          <t>Recommended Intervention</t>
        </is>
      </c>
      <c r="J3" s="14" t="inlineStr">
        <is>
          <t>Incremental Spend to Next Rung</t>
        </is>
      </c>
      <c r="K3" s="14" t="inlineStr">
        <is>
          <t>Proposed Gift / Benefit</t>
        </is>
      </c>
      <c r="L3" s="14" t="inlineStr">
        <is>
          <t>Est. Gift COGS (Rs)</t>
        </is>
      </c>
      <c r="M3" s="14" t="inlineStr">
        <is>
          <t>Potential AOV Uplift</t>
        </is>
      </c>
      <c r="N3" s="14" t="inlineStr">
        <is>
          <t>Priority</t>
        </is>
      </c>
    </row>
    <row r="4">
      <c r="A4" s="10" t="inlineStr">
        <is>
          <t>Rs0-999</t>
        </is>
      </c>
      <c r="B4" s="40" t="n">
        <v>0.14</v>
      </c>
      <c r="C4" s="29">
        <f>ROUND($B4*$C$15,0)</f>
        <v/>
      </c>
      <c r="D4" s="38">
        <f>IF($E$14=0,0,E4/$E$14)</f>
        <v/>
      </c>
      <c r="E4" s="41">
        <f>C4*F4</f>
        <v/>
      </c>
      <c r="F4" s="28" t="n">
        <v>600</v>
      </c>
      <c r="G4" s="10" t="inlineStr">
        <is>
          <t>-</t>
        </is>
      </c>
      <c r="H4" s="16" t="inlineStr">
        <is>
          <t>COD fee applies</t>
        </is>
      </c>
      <c r="I4" s="9" t="inlineStr">
        <is>
          <t>Add low-price add-on to cross Rs999; free-ship teaser</t>
        </is>
      </c>
      <c r="J4" s="10" t="n"/>
      <c r="K4" s="16" t="inlineStr">
        <is>
          <t>-</t>
        </is>
      </c>
      <c r="L4" s="28" t="n">
        <v>0</v>
      </c>
      <c r="M4" s="10" t="inlineStr">
        <is>
          <t>+8-12%</t>
        </is>
      </c>
      <c r="N4" s="10" t="inlineStr">
        <is>
          <t>Med</t>
        </is>
      </c>
    </row>
    <row r="5">
      <c r="A5" s="20" t="inlineStr">
        <is>
          <t>Rs1,000-1,499</t>
        </is>
      </c>
      <c r="B5" s="39" t="n">
        <v>0.2</v>
      </c>
      <c r="C5" s="32">
        <f>ROUND($B5*$C$15,0)</f>
        <v/>
      </c>
      <c r="D5" s="39">
        <f>IF($E$14=0,0,E5/$E$14)</f>
        <v/>
      </c>
      <c r="E5" s="42">
        <f>C5*F5</f>
        <v/>
      </c>
      <c r="F5" s="31" t="n">
        <v>1250</v>
      </c>
      <c r="G5" s="20" t="inlineStr">
        <is>
          <t>-</t>
        </is>
      </c>
      <c r="H5" s="19" t="inlineStr">
        <is>
          <t>Free ship (prepaid)</t>
        </is>
      </c>
      <c r="I5" s="25" t="inlineStr">
        <is>
          <t>Nudge to Rs1,999 gift rung with attach rail</t>
        </is>
      </c>
      <c r="J5" s="20" t="n"/>
      <c r="K5" s="19" t="inlineStr">
        <is>
          <t>Cable bind (Rs from ~40 COGS)</t>
        </is>
      </c>
      <c r="L5" s="31" t="n">
        <v>45</v>
      </c>
      <c r="M5" s="20" t="inlineStr">
        <is>
          <t>+6-10%</t>
        </is>
      </c>
      <c r="N5" s="20" t="inlineStr">
        <is>
          <t>High</t>
        </is>
      </c>
    </row>
    <row r="6">
      <c r="A6" s="10" t="inlineStr">
        <is>
          <t>Rs1,500-1,999</t>
        </is>
      </c>
      <c r="B6" s="40" t="n">
        <v>0.19</v>
      </c>
      <c r="C6" s="29">
        <f>ROUND($B6*$C$15,0)</f>
        <v/>
      </c>
      <c r="D6" s="38">
        <f>IF($E$14=0,0,E6/$E$14)</f>
        <v/>
      </c>
      <c r="E6" s="41">
        <f>C6*F6</f>
        <v/>
      </c>
      <c r="F6" s="28" t="n">
        <v>1750</v>
      </c>
      <c r="G6" s="10" t="inlineStr">
        <is>
          <t>-</t>
        </is>
      </c>
      <c r="H6" s="16" t="inlineStr">
        <is>
          <t>Free ship (prepaid)</t>
        </is>
      </c>
      <c r="I6" s="9" t="inlineStr">
        <is>
          <t>GWP rung: free cable bind at Rs1,999</t>
        </is>
      </c>
      <c r="J6" s="10" t="n"/>
      <c r="K6" s="16" t="inlineStr">
        <is>
          <t>Cable bind</t>
        </is>
      </c>
      <c r="L6" s="28" t="n">
        <v>45</v>
      </c>
      <c r="M6" s="10" t="inlineStr">
        <is>
          <t>+6-10%</t>
        </is>
      </c>
      <c r="N6" s="10" t="inlineStr">
        <is>
          <t>High</t>
        </is>
      </c>
    </row>
    <row r="7">
      <c r="A7" s="20" t="inlineStr">
        <is>
          <t>Rs2,000-2,499</t>
        </is>
      </c>
      <c r="B7" s="39" t="n">
        <v>0.15</v>
      </c>
      <c r="C7" s="32">
        <f>ROUND($B7*$C$15,0)</f>
        <v/>
      </c>
      <c r="D7" s="39">
        <f>IF($E$14=0,0,E7/$E$14)</f>
        <v/>
      </c>
      <c r="E7" s="42">
        <f>C7*F7</f>
        <v/>
      </c>
      <c r="F7" s="31" t="n">
        <v>2250</v>
      </c>
      <c r="G7" s="20" t="inlineStr">
        <is>
          <t>-</t>
        </is>
      </c>
      <c r="H7" s="19" t="inlineStr">
        <is>
          <t>Free ship (prepaid)</t>
        </is>
      </c>
      <c r="I7" s="25" t="inlineStr">
        <is>
          <t>WELCOME300 + free ship anchor here (new users)</t>
        </is>
      </c>
      <c r="J7" s="20" t="n"/>
      <c r="K7" s="19" t="inlineStr">
        <is>
          <t>Free shipping + WELCOME300</t>
        </is>
      </c>
      <c r="L7" s="31" t="n">
        <v>60</v>
      </c>
      <c r="M7" s="20" t="inlineStr">
        <is>
          <t>+5-8%</t>
        </is>
      </c>
      <c r="N7" s="20" t="inlineStr">
        <is>
          <t>High</t>
        </is>
      </c>
    </row>
    <row r="8">
      <c r="A8" s="10" t="inlineStr">
        <is>
          <t>Rs2,500-2,999</t>
        </is>
      </c>
      <c r="B8" s="40" t="n">
        <v>0.11</v>
      </c>
      <c r="C8" s="29">
        <f>ROUND($B8*$C$15,0)</f>
        <v/>
      </c>
      <c r="D8" s="38">
        <f>IF($E$14=0,0,E8/$E$14)</f>
        <v/>
      </c>
      <c r="E8" s="41">
        <f>C8*F8</f>
        <v/>
      </c>
      <c r="F8" s="28" t="n">
        <v>2750</v>
      </c>
      <c r="G8" s="10" t="inlineStr">
        <is>
          <t>-</t>
        </is>
      </c>
      <c r="H8" s="16" t="inlineStr">
        <is>
          <t>Free ship (prepaid)</t>
        </is>
      </c>
      <c r="I8" s="9" t="inlineStr">
        <is>
          <t>Mid GWP rung: free tech organiser at Rs2,499</t>
        </is>
      </c>
      <c r="J8" s="10" t="n"/>
      <c r="K8" s="16" t="inlineStr">
        <is>
          <t>Tech organiser (low COGS)</t>
        </is>
      </c>
      <c r="L8" s="28" t="n">
        <v>90</v>
      </c>
      <c r="M8" s="10" t="inlineStr">
        <is>
          <t>+5-8%</t>
        </is>
      </c>
      <c r="N8" s="10" t="inlineStr">
        <is>
          <t>High</t>
        </is>
      </c>
    </row>
    <row r="9">
      <c r="A9" s="20" t="inlineStr">
        <is>
          <t>Rs3,000-3,499</t>
        </is>
      </c>
      <c r="B9" s="39" t="n">
        <v>0.08</v>
      </c>
      <c r="C9" s="32">
        <f>ROUND($B9*$C$15,0)</f>
        <v/>
      </c>
      <c r="D9" s="39">
        <f>IF($E$14=0,0,E9/$E$14)</f>
        <v/>
      </c>
      <c r="E9" s="42">
        <f>C9*F9</f>
        <v/>
      </c>
      <c r="F9" s="31" t="n">
        <v>3250</v>
      </c>
      <c r="G9" s="20" t="inlineStr">
        <is>
          <t>-</t>
        </is>
      </c>
      <c r="H9" s="19" t="inlineStr">
        <is>
          <t>Free ship (prepaid)</t>
        </is>
      </c>
      <c r="I9" s="25" t="inlineStr">
        <is>
          <t>Spend-ladder 10% / choice-gift toward Rs2,999</t>
        </is>
      </c>
      <c r="J9" s="20" t="n"/>
      <c r="K9" s="19" t="inlineStr">
        <is>
          <t>Choice of gift</t>
        </is>
      </c>
      <c r="L9" s="31" t="n">
        <v>90</v>
      </c>
      <c r="M9" s="20" t="inlineStr">
        <is>
          <t>+4-7%</t>
        </is>
      </c>
      <c r="N9" s="20" t="inlineStr">
        <is>
          <t>Med</t>
        </is>
      </c>
    </row>
    <row r="10">
      <c r="A10" s="10" t="inlineStr">
        <is>
          <t>Rs3,500-3,999</t>
        </is>
      </c>
      <c r="B10" s="40" t="n">
        <v>0.05</v>
      </c>
      <c r="C10" s="29">
        <f>ROUND($B10*$C$15,0)</f>
        <v/>
      </c>
      <c r="D10" s="38">
        <f>IF($E$14=0,0,E10/$E$14)</f>
        <v/>
      </c>
      <c r="E10" s="41">
        <f>C10*F10</f>
        <v/>
      </c>
      <c r="F10" s="28" t="n">
        <v>3750</v>
      </c>
      <c r="G10" s="10" t="inlineStr">
        <is>
          <t>-</t>
        </is>
      </c>
      <c r="H10" s="16" t="inlineStr">
        <is>
          <t>Free ship (prepaid)</t>
        </is>
      </c>
      <c r="I10" s="9" t="inlineStr">
        <is>
          <t>Bundle upsell (case+power bank / carry system)</t>
        </is>
      </c>
      <c r="J10" s="10" t="n"/>
      <c r="K10" s="16" t="inlineStr">
        <is>
          <t>Bundle saving</t>
        </is>
      </c>
      <c r="L10" s="28" t="n">
        <v>0</v>
      </c>
      <c r="M10" s="10" t="inlineStr">
        <is>
          <t>+3-5%</t>
        </is>
      </c>
      <c r="N10" s="10" t="inlineStr">
        <is>
          <t>Med</t>
        </is>
      </c>
    </row>
    <row r="11">
      <c r="A11" s="20" t="inlineStr">
        <is>
          <t>Rs4,000-4,499</t>
        </is>
      </c>
      <c r="B11" s="39" t="n">
        <v>0.03</v>
      </c>
      <c r="C11" s="32">
        <f>ROUND($B11*$C$15,0)</f>
        <v/>
      </c>
      <c r="D11" s="39">
        <f>IF($E$14=0,0,E11/$E$14)</f>
        <v/>
      </c>
      <c r="E11" s="42">
        <f>C11*F11</f>
        <v/>
      </c>
      <c r="F11" s="31" t="n">
        <v>4250</v>
      </c>
      <c r="G11" s="20" t="inlineStr">
        <is>
          <t>-</t>
        </is>
      </c>
      <c r="H11" s="19" t="inlineStr">
        <is>
          <t>Free ship (prepaid)</t>
        </is>
      </c>
      <c r="I11" s="25" t="inlineStr">
        <is>
          <t>Premium choice-gift at Rs3,999</t>
        </is>
      </c>
      <c r="J11" s="20" t="n"/>
      <c r="K11" s="19" t="inlineStr">
        <is>
          <t>Premium choice gift</t>
        </is>
      </c>
      <c r="L11" s="31" t="n">
        <v>150</v>
      </c>
      <c r="M11" s="20" t="inlineStr">
        <is>
          <t>+3-5%</t>
        </is>
      </c>
      <c r="N11" s="20" t="inlineStr">
        <is>
          <t>Med</t>
        </is>
      </c>
    </row>
    <row r="12">
      <c r="A12" s="10" t="inlineStr">
        <is>
          <t>Rs4,500-4,999</t>
        </is>
      </c>
      <c r="B12" s="40" t="n">
        <v>0.02</v>
      </c>
      <c r="C12" s="29">
        <f>ROUND($B12*$C$15,0)</f>
        <v/>
      </c>
      <c r="D12" s="38">
        <f>IF($E$14=0,0,E12/$E$14)</f>
        <v/>
      </c>
      <c r="E12" s="41">
        <f>C12*F12</f>
        <v/>
      </c>
      <c r="F12" s="28" t="n">
        <v>4750</v>
      </c>
      <c r="G12" s="10" t="inlineStr">
        <is>
          <t>-</t>
        </is>
      </c>
      <c r="H12" s="16" t="inlineStr">
        <is>
          <t>Free ship (prepaid)</t>
        </is>
      </c>
      <c r="I12" s="9" t="inlineStr">
        <is>
          <t>Concierge/gift-set upsell</t>
        </is>
      </c>
      <c r="J12" s="10" t="n"/>
      <c r="K12" s="16" t="inlineStr">
        <is>
          <t>Gift packaging</t>
        </is>
      </c>
      <c r="L12" s="28" t="n">
        <v>60</v>
      </c>
      <c r="M12" s="10" t="inlineStr">
        <is>
          <t>+2-4%</t>
        </is>
      </c>
      <c r="N12" s="10" t="inlineStr">
        <is>
          <t>Low</t>
        </is>
      </c>
    </row>
    <row r="13">
      <c r="A13" s="20" t="inlineStr">
        <is>
          <t>Rs5,000+</t>
        </is>
      </c>
      <c r="B13" s="39" t="n">
        <v>0.03</v>
      </c>
      <c r="C13" s="32">
        <f>ROUND($B13*$C$15,0)</f>
        <v/>
      </c>
      <c r="D13" s="39">
        <f>IF($E$14=0,0,E13/$E$14)</f>
        <v/>
      </c>
      <c r="E13" s="42">
        <f>C13*F13</f>
        <v/>
      </c>
      <c r="F13" s="31" t="n">
        <v>6500</v>
      </c>
      <c r="G13" s="20" t="inlineStr">
        <is>
          <t>-</t>
        </is>
      </c>
      <c r="H13" s="19" t="inlineStr">
        <is>
          <t>Free ship (prepaid)</t>
        </is>
      </c>
      <c r="I13" s="25" t="inlineStr">
        <is>
          <t>VIP / high-AOV nurture; no discount needed</t>
        </is>
      </c>
      <c r="J13" s="20" t="n"/>
      <c r="K13" s="19" t="inlineStr">
        <is>
          <t>Early access</t>
        </is>
      </c>
      <c r="L13" s="31" t="n">
        <v>0</v>
      </c>
      <c r="M13" s="20" t="inlineStr">
        <is>
          <t>-</t>
        </is>
      </c>
      <c r="N13" s="20" t="inlineStr">
        <is>
          <t>Low</t>
        </is>
      </c>
    </row>
    <row r="14">
      <c r="A14" s="35" t="inlineStr">
        <is>
          <t>TOTAL / ASSUMPTION</t>
        </is>
      </c>
      <c r="B14" s="43">
        <f>SUM(B4:B13)</f>
        <v/>
      </c>
      <c r="C14" s="37">
        <f>SUM(C4:C13)</f>
        <v/>
      </c>
      <c r="D14" s="34" t="n"/>
      <c r="E14" s="36">
        <f>SUM(E4:E13)</f>
        <v/>
      </c>
      <c r="F14" s="34" t="n"/>
      <c r="G14" s="34" t="n"/>
      <c r="H14" s="34" t="n"/>
      <c r="I14" s="34" t="n"/>
      <c r="J14" s="34" t="n"/>
      <c r="K14" s="34" t="n"/>
      <c r="L14" s="34" t="n"/>
      <c r="M14" s="34" t="n"/>
      <c r="N14" s="34" t="n"/>
    </row>
    <row r="15">
      <c r="A15" s="44" t="inlineStr">
        <is>
          <t>Total annual web+app orders (input)</t>
        </is>
      </c>
      <c r="C15" s="45" t="n">
        <v>553257</v>
      </c>
    </row>
    <row r="17">
      <c r="A17" s="4" t="inlineStr">
        <is>
          <t>RECOMMENDED THRESHOLDS (tune to observed clustering):</t>
        </is>
      </c>
    </row>
    <row r="18">
      <c r="A18" s="6" t="inlineStr">
        <is>
          <t>•  Free shipping: prepaid, no minimum (or &gt;= Rs999) - clarity beats a high bar</t>
        </is>
      </c>
    </row>
    <row r="19">
      <c r="A19" s="6" t="inlineStr">
        <is>
          <t>•  Free-gift ladder: Rs1,999 (cable bind) -&gt; Rs2,999 (tech organiser / choice gift)</t>
        </is>
      </c>
    </row>
    <row r="20">
      <c r="A20" s="6" t="inlineStr">
        <is>
          <t>•  New-user first order: align WELCOME300 + gift + free ship at Rs2,299</t>
        </is>
      </c>
    </row>
    <row r="21">
      <c r="A21" s="6" t="inlineStr">
        <is>
          <t>•  Spend ladder (if used): 5% @ Rs1,999 / 10% @ Rs2,999 - cap depth, prepaid-gated</t>
        </is>
      </c>
    </row>
  </sheetData>
  <mergeCells count="2">
    <mergeCell ref="A2:N2"/>
    <mergeCell ref="A1:N1"/>
  </mergeCells>
  <conditionalFormatting sqref="N4:N13">
    <cfRule type="expression" priority="1" dxfId="4">
      <formula>EXACT($N4,"Low")</formula>
    </cfRule>
    <cfRule type="expression" priority="2" dxfId="3">
      <formula>EXACT($N4,"Med")</formula>
    </cfRule>
    <cfRule type="expression" priority="3" dxfId="1">
      <formula>EXACT($N4,"High")</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0" customWidth="1" min="3" max="3"/>
    <col width="10" customWidth="1" min="4" max="4"/>
    <col width="14" customWidth="1" min="5" max="5"/>
    <col width="16" customWidth="1" min="6" max="6"/>
    <col width="18" customWidth="1" min="7" max="7"/>
    <col width="20" customWidth="1" min="8" max="8"/>
    <col width="30" customWidth="1" min="9" max="9"/>
    <col width="26" customWidth="1" min="10" max="10"/>
    <col width="10" customWidth="1" min="11" max="11"/>
    <col width="30" customWidth="1" min="12" max="12"/>
    <col width="16" customWidth="1" min="13" max="13"/>
    <col width="20" customWidth="1" min="14" max="14"/>
    <col width="20" customWidth="1" min="15" max="15"/>
    <col width="11" customWidth="1" min="16" max="16"/>
    <col width="9" customWidth="1" min="17" max="17"/>
  </cols>
  <sheetData>
    <row r="1" ht="30" customHeight="1">
      <c r="A1" s="22" t="inlineStr">
        <is>
          <t>CUSTOMER x OFFER DECISION ENGINE</t>
        </is>
      </c>
    </row>
    <row r="2" ht="22" customHeight="1">
      <c r="A2" s="2" t="inlineStr">
        <is>
          <t>Who gets what. Do NOT treat every customer identically - segment by intent, value &amp; history.</t>
        </is>
      </c>
    </row>
    <row r="3" ht="34" customHeight="1">
      <c r="A3" s="14" t="inlineStr">
        <is>
          <t>#</t>
        </is>
      </c>
      <c r="B3" s="14" t="inlineStr">
        <is>
          <t>Customer Scenario</t>
        </is>
      </c>
      <c r="C3" s="14" t="inlineStr">
        <is>
          <t>New/Repeat</t>
        </is>
      </c>
      <c r="D3" s="14" t="inlineStr">
        <is>
          <t>Order Stage</t>
        </is>
      </c>
      <c r="E3" s="14" t="inlineStr">
        <is>
          <t>Traffic Source</t>
        </is>
      </c>
      <c r="F3" s="14" t="inlineStr">
        <is>
          <t>Category Viewed</t>
        </is>
      </c>
      <c r="G3" s="14" t="inlineStr">
        <is>
          <t>Cart Value / Size</t>
        </is>
      </c>
      <c r="H3" s="14" t="inlineStr">
        <is>
          <t>Current Behaviour</t>
        </is>
      </c>
      <c r="I3" s="14" t="inlineStr">
        <is>
          <t>Recommended Intervention</t>
        </is>
      </c>
      <c r="J3" s="14" t="inlineStr">
        <is>
          <t>Offer</t>
        </is>
      </c>
      <c r="K3" s="14" t="inlineStr">
        <is>
          <t>Threshold</t>
        </is>
      </c>
      <c r="L3" s="14" t="inlineStr">
        <is>
          <t>Message</t>
        </is>
      </c>
      <c r="M3" s="14" t="inlineStr">
        <is>
          <t>Channel</t>
        </is>
      </c>
      <c r="N3" s="14" t="inlineStr">
        <is>
          <t>Trigger</t>
        </is>
      </c>
      <c r="O3" s="14" t="inlineStr">
        <is>
          <t>Expected Behaviour</t>
        </is>
      </c>
      <c r="P3" s="14" t="inlineStr">
        <is>
          <t>Margin Risk</t>
        </is>
      </c>
      <c r="Q3" s="14" t="inlineStr">
        <is>
          <t>Priority</t>
        </is>
      </c>
    </row>
    <row r="4">
      <c r="A4" s="10" t="n">
        <v>1</v>
      </c>
      <c r="B4" s="16" t="inlineStr">
        <is>
          <t>New Meta/IG visitor, Rs1,800 cart</t>
        </is>
      </c>
      <c r="C4" s="10" t="inlineStr">
        <is>
          <t>New</t>
        </is>
      </c>
      <c r="D4" s="10" t="inlineStr">
        <is>
          <t>O1</t>
        </is>
      </c>
      <c r="E4" s="16" t="inlineStr">
        <is>
          <t>Paid Social</t>
        </is>
      </c>
      <c r="F4" s="16" t="inlineStr">
        <is>
          <t>Phone case</t>
        </is>
      </c>
      <c r="G4" s="16" t="inlineStr">
        <is>
          <t>Rs1,800 / 1-2 items</t>
        </is>
      </c>
      <c r="H4" s="16" t="inlineStr">
        <is>
          <t>Low CVR (0.38%), price-checking</t>
        </is>
      </c>
      <c r="I4" s="9" t="inlineStr">
        <is>
          <t>Attach rail + free-ship clarity + WELCOME300 progress</t>
        </is>
      </c>
      <c r="J4" s="16" t="inlineStr">
        <is>
          <t>Add screen guard 40% off; Rs300 off @ Rs2,299</t>
        </is>
      </c>
      <c r="K4" s="16" t="inlineStr">
        <is>
          <t>Rs2,299</t>
        </is>
      </c>
      <c r="L4" s="9" t="inlineStr">
        <is>
          <t>'Add a screen guard - unlock Rs300 off + free shipping'</t>
        </is>
      </c>
      <c r="M4" s="16" t="inlineStr">
        <is>
          <t>On-site + cart</t>
        </is>
      </c>
      <c r="N4" s="16" t="inlineStr">
        <is>
          <t>ATC no checkout</t>
        </is>
      </c>
      <c r="O4" s="16" t="inlineStr">
        <is>
          <t>Adds guard, crosses Rs2,299</t>
        </is>
      </c>
      <c r="P4" s="10" t="inlineStr">
        <is>
          <t>Med</t>
        </is>
      </c>
      <c r="Q4" s="10" t="inlineStr">
        <is>
          <t>High</t>
        </is>
      </c>
    </row>
    <row r="5">
      <c r="A5" s="20" t="n">
        <v>2</v>
      </c>
      <c r="B5" s="19" t="inlineStr">
        <is>
          <t>Repeat customer, Rs4,200 cart</t>
        </is>
      </c>
      <c r="C5" s="20" t="inlineStr">
        <is>
          <t>Repeat</t>
        </is>
      </c>
      <c r="D5" s="20" t="inlineStr">
        <is>
          <t>O2+</t>
        </is>
      </c>
      <c r="E5" s="19" t="inlineStr">
        <is>
          <t>Direct</t>
        </is>
      </c>
      <c r="F5" s="19" t="inlineStr">
        <is>
          <t>Power bank + case</t>
        </is>
      </c>
      <c r="G5" s="19" t="inlineStr">
        <is>
          <t>Rs4,200 / 2-3 items</t>
        </is>
      </c>
      <c r="H5" s="19" t="inlineStr">
        <is>
          <t>High intent, high value</t>
        </is>
      </c>
      <c r="I5" s="25" t="inlineStr">
        <is>
          <t>No discount - reward loyalty w/ points + premium GWP</t>
        </is>
      </c>
      <c r="J5" s="19" t="inlineStr">
        <is>
          <t>Points + choice-gift @ Rs3,999</t>
        </is>
      </c>
      <c r="K5" s="19" t="inlineStr">
        <is>
          <t>Rs3,999</t>
        </is>
      </c>
      <c r="L5" s="25" t="inlineStr">
        <is>
          <t>'You've unlocked a free gift - pick yours'</t>
        </is>
      </c>
      <c r="M5" s="19" t="inlineStr">
        <is>
          <t>On-site + email</t>
        </is>
      </c>
      <c r="N5" s="19" t="inlineStr">
        <is>
          <t>Cart</t>
        </is>
      </c>
      <c r="O5" s="19" t="inlineStr">
        <is>
          <t>Completes, picks gift</t>
        </is>
      </c>
      <c r="P5" s="20" t="inlineStr">
        <is>
          <t>Low</t>
        </is>
      </c>
      <c r="Q5" s="20" t="inlineStr">
        <is>
          <t>High</t>
        </is>
      </c>
    </row>
    <row r="6">
      <c r="A6" s="10" t="n">
        <v>3</v>
      </c>
      <c r="B6" s="16" t="inlineStr">
        <is>
          <t>Existing phone-case buyer browsing chargers</t>
        </is>
      </c>
      <c r="C6" s="10" t="inlineStr">
        <is>
          <t>Repeat</t>
        </is>
      </c>
      <c r="D6" s="10" t="inlineStr">
        <is>
          <t>O2</t>
        </is>
      </c>
      <c r="E6" s="16" t="inlineStr">
        <is>
          <t>Email/Direct</t>
        </is>
      </c>
      <c r="F6" s="16" t="inlineStr">
        <is>
          <t>Chargers</t>
        </is>
      </c>
      <c r="G6" s="16" t="inlineStr">
        <is>
          <t>browsing</t>
        </is>
      </c>
      <c r="H6" s="16" t="inlineStr">
        <is>
          <t>Cross-category intent</t>
        </is>
      </c>
      <c r="I6" s="9" t="inlineStr">
        <is>
          <t>Cross-sell MagSafe charger + power bank bundle</t>
        </is>
      </c>
      <c r="J6" s="16" t="inlineStr">
        <is>
          <t>Bundle -10%</t>
        </is>
      </c>
      <c r="K6" s="16" t="inlineStr">
        <is>
          <t>-</t>
        </is>
      </c>
      <c r="L6" s="9" t="inlineStr">
        <is>
          <t>'Complete your MagSafe setup'</t>
        </is>
      </c>
      <c r="M6" s="16" t="inlineStr">
        <is>
          <t>Email/On-site</t>
        </is>
      </c>
      <c r="N6" s="16" t="inlineStr">
        <is>
          <t>Browse power/chargers</t>
        </is>
      </c>
      <c r="O6" s="16" t="inlineStr">
        <is>
          <t>Buys charger/power bank</t>
        </is>
      </c>
      <c r="P6" s="10" t="inlineStr">
        <is>
          <t>Low</t>
        </is>
      </c>
      <c r="Q6" s="10" t="inlineStr">
        <is>
          <t>High</t>
        </is>
      </c>
    </row>
    <row r="7">
      <c r="A7" s="20" t="n">
        <v>4</v>
      </c>
      <c r="B7" s="19" t="inlineStr">
        <is>
          <t>Dormant backpack customer (120d)</t>
        </is>
      </c>
      <c r="C7" s="20" t="inlineStr">
        <is>
          <t>Dormant</t>
        </is>
      </c>
      <c r="D7" s="20" t="inlineStr">
        <is>
          <t>O1/O2</t>
        </is>
      </c>
      <c r="E7" s="19" t="inlineStr">
        <is>
          <t>CRM</t>
        </is>
      </c>
      <c r="F7" s="19" t="inlineStr">
        <is>
          <t>Bags (past)</t>
        </is>
      </c>
      <c r="G7" s="19" t="inlineStr">
        <is>
          <t>none</t>
        </is>
      </c>
      <c r="H7" s="19" t="inlineStr">
        <is>
          <t>Lapsed</t>
        </is>
      </c>
      <c r="I7" s="25" t="inlineStr">
        <is>
          <t>Winback w/ new drops + organiser attach</t>
        </is>
      </c>
      <c r="J7" s="19" t="inlineStr">
        <is>
          <t>Rs300 off &gt; Rs1,999</t>
        </is>
      </c>
      <c r="K7" s="19" t="inlineStr">
        <is>
          <t>Rs1,999</t>
        </is>
      </c>
      <c r="L7" s="25" t="inlineStr">
        <is>
          <t>'New carry drops + a little something for you'</t>
        </is>
      </c>
      <c r="M7" s="19" t="inlineStr">
        <is>
          <t>Email/SMS</t>
        </is>
      </c>
      <c r="N7" s="19" t="inlineStr">
        <is>
          <t>No purchase 90-180d</t>
        </is>
      </c>
      <c r="O7" s="19" t="inlineStr">
        <is>
          <t>Reactivates</t>
        </is>
      </c>
      <c r="P7" s="20" t="inlineStr">
        <is>
          <t>Med</t>
        </is>
      </c>
      <c r="Q7" s="20" t="inlineStr">
        <is>
          <t>Med</t>
        </is>
      </c>
    </row>
    <row r="8">
      <c r="A8" s="10" t="n">
        <v>5</v>
      </c>
      <c r="B8" s="16" t="inlineStr">
        <is>
          <t>O1 customer, 30 days post first order</t>
        </is>
      </c>
      <c r="C8" s="10" t="inlineStr">
        <is>
          <t>O1</t>
        </is>
      </c>
      <c r="D8" s="10" t="inlineStr">
        <is>
          <t>O1-&gt;O2</t>
        </is>
      </c>
      <c r="E8" s="16" t="inlineStr">
        <is>
          <t>CRM</t>
        </is>
      </c>
      <c r="F8" s="16" t="inlineStr">
        <is>
          <t>last category</t>
        </is>
      </c>
      <c r="G8" s="16" t="inlineStr">
        <is>
          <t>none</t>
        </is>
      </c>
      <c r="H8" s="16" t="inlineStr">
        <is>
          <t>Not yet repeated</t>
        </is>
      </c>
      <c r="I8" s="9" t="inlineStr">
        <is>
          <t>Second-order accelerator</t>
        </is>
      </c>
      <c r="J8" s="16" t="inlineStr">
        <is>
          <t>Rs200 off next order (30d, min Rs1,499)</t>
        </is>
      </c>
      <c r="K8" s="16" t="inlineStr">
        <is>
          <t>Rs1,499</t>
        </is>
      </c>
      <c r="L8" s="9" t="inlineStr">
        <is>
          <t>'Here's Rs200 to complete your kit'</t>
        </is>
      </c>
      <c r="M8" s="16" t="inlineStr">
        <is>
          <t>Email/SMS</t>
        </is>
      </c>
      <c r="N8" s="16" t="inlineStr">
        <is>
          <t>30d after O1</t>
        </is>
      </c>
      <c r="O8" s="16" t="inlineStr">
        <is>
          <t>Places O2</t>
        </is>
      </c>
      <c r="P8" s="10" t="inlineStr">
        <is>
          <t>Med</t>
        </is>
      </c>
      <c r="Q8" s="10" t="inlineStr">
        <is>
          <t>High</t>
        </is>
      </c>
    </row>
    <row r="9">
      <c r="A9" s="20" t="n">
        <v>6</v>
      </c>
      <c r="B9" s="19" t="inlineStr">
        <is>
          <t>High-intent non-purchaser (ATC abandon)</t>
        </is>
      </c>
      <c r="C9" s="20" t="inlineStr">
        <is>
          <t>New/Repeat</t>
        </is>
      </c>
      <c r="D9" s="20" t="inlineStr">
        <is>
          <t>-</t>
        </is>
      </c>
      <c r="E9" s="19" t="inlineStr">
        <is>
          <t>Any</t>
        </is>
      </c>
      <c r="F9" s="19" t="inlineStr">
        <is>
          <t>in-cart SKU</t>
        </is>
      </c>
      <c r="G9" s="19" t="inlineStr">
        <is>
          <t>abandoned</t>
        </is>
      </c>
      <c r="H9" s="19" t="inlineStr">
        <is>
          <t>Left at cart</t>
        </is>
      </c>
      <c r="I9" s="25" t="inlineStr">
        <is>
          <t>Cart-abandon flow (3 steps)</t>
        </is>
      </c>
      <c r="J9" s="19" t="inlineStr">
        <is>
          <t>Reminder; light incentive step 3</t>
        </is>
      </c>
      <c r="K9" s="19" t="inlineStr">
        <is>
          <t>-</t>
        </is>
      </c>
      <c r="L9" s="25" t="inlineStr">
        <is>
          <t>'Still thinking? Your cart's waiting'</t>
        </is>
      </c>
      <c r="M9" s="19" t="inlineStr">
        <is>
          <t>Email/SMS/Push</t>
        </is>
      </c>
      <c r="N9" s="19" t="inlineStr">
        <is>
          <t>ATC no purchase</t>
        </is>
      </c>
      <c r="O9" s="19" t="inlineStr">
        <is>
          <t>Returns &amp; buys</t>
        </is>
      </c>
      <c r="P9" s="20" t="inlineStr">
        <is>
          <t>Low</t>
        </is>
      </c>
      <c r="Q9" s="20" t="inlineStr">
        <is>
          <t>High</t>
        </is>
      </c>
    </row>
    <row r="10">
      <c r="A10" s="10" t="n">
        <v>7</v>
      </c>
      <c r="B10" s="16" t="inlineStr">
        <is>
          <t>Payment-failed / COD-abandon</t>
        </is>
      </c>
      <c r="C10" s="10" t="inlineStr">
        <is>
          <t>New</t>
        </is>
      </c>
      <c r="D10" s="10" t="inlineStr">
        <is>
          <t>-</t>
        </is>
      </c>
      <c r="E10" s="16" t="inlineStr">
        <is>
          <t>Any</t>
        </is>
      </c>
      <c r="F10" s="16" t="inlineStr">
        <is>
          <t>in-cart SKU</t>
        </is>
      </c>
      <c r="G10" s="16" t="inlineStr">
        <is>
          <t>abandoned at pay</t>
        </is>
      </c>
      <c r="H10" s="16" t="inlineStr">
        <is>
          <t>Payment dropped</t>
        </is>
      </c>
      <c r="I10" s="9" t="inlineStr">
        <is>
          <t>Instant UPI-retry link + prepaid perks</t>
        </is>
      </c>
      <c r="J10" s="16" t="inlineStr">
        <is>
          <t>Waive COD fee + free ship on prepaid</t>
        </is>
      </c>
      <c r="K10" s="16" t="inlineStr">
        <is>
          <t>-</t>
        </is>
      </c>
      <c r="L10" s="9" t="inlineStr">
        <is>
          <t>'Complete via UPI - save Rs79 + free shipping'</t>
        </is>
      </c>
      <c r="M10" s="16" t="inlineStr">
        <is>
          <t>SMS/WhatsApp</t>
        </is>
      </c>
      <c r="N10" s="16" t="inlineStr">
        <is>
          <t>add_payment_info no purchase</t>
        </is>
      </c>
      <c r="O10" s="16" t="inlineStr">
        <is>
          <t>Retries, completes</t>
        </is>
      </c>
      <c r="P10" s="10" t="inlineStr">
        <is>
          <t>Low</t>
        </is>
      </c>
      <c r="Q10" s="10" t="inlineStr">
        <is>
          <t>High</t>
        </is>
      </c>
    </row>
    <row r="11">
      <c r="A11" s="20" t="n">
        <v>8</v>
      </c>
      <c r="B11" s="19" t="inlineStr">
        <is>
          <t>Watch-band single buyer</t>
        </is>
      </c>
      <c r="C11" s="20" t="inlineStr">
        <is>
          <t>New/Repeat</t>
        </is>
      </c>
      <c r="D11" s="20" t="inlineStr">
        <is>
          <t>any</t>
        </is>
      </c>
      <c r="E11" s="19" t="inlineStr">
        <is>
          <t>Any</t>
        </is>
      </c>
      <c r="F11" s="19" t="inlineStr">
        <is>
          <t>Watch bands</t>
        </is>
      </c>
      <c r="G11" s="19" t="inlineStr">
        <is>
          <t>1 band</t>
        </is>
      </c>
      <c r="H11" s="19" t="inlineStr">
        <is>
          <t>Single-band</t>
        </is>
      </c>
      <c r="I11" s="25" t="inlineStr">
        <is>
          <t>Multi-band escalator</t>
        </is>
      </c>
      <c r="J11" s="19" t="inlineStr">
        <is>
          <t>Buy 2 -15%, 3 -20%</t>
        </is>
      </c>
      <c r="K11" s="19" t="inlineStr">
        <is>
          <t>-</t>
        </is>
      </c>
      <c r="L11" s="25" t="inlineStr">
        <is>
          <t>'Build your band wardrobe'</t>
        </is>
      </c>
      <c r="M11" s="19" t="inlineStr">
        <is>
          <t>On-site PDP</t>
        </is>
      </c>
      <c r="N11" s="19" t="inlineStr">
        <is>
          <t>Band PDP</t>
        </is>
      </c>
      <c r="O11" s="19" t="inlineStr">
        <is>
          <t>Adds 2nd/3rd band</t>
        </is>
      </c>
      <c r="P11" s="20" t="inlineStr">
        <is>
          <t>Low</t>
        </is>
      </c>
      <c r="Q11" s="20" t="inlineStr">
        <is>
          <t>Med</t>
        </is>
      </c>
    </row>
    <row r="12">
      <c r="A12" s="10" t="n">
        <v>9</v>
      </c>
      <c r="B12" s="16" t="inlineStr">
        <is>
          <t>Backpack browser, high hesitation</t>
        </is>
      </c>
      <c r="C12" s="10" t="inlineStr">
        <is>
          <t>New</t>
        </is>
      </c>
      <c r="D12" s="10" t="inlineStr">
        <is>
          <t>O1</t>
        </is>
      </c>
      <c r="E12" s="16" t="inlineStr">
        <is>
          <t>Paid/Organic</t>
        </is>
      </c>
      <c r="F12" s="16" t="inlineStr">
        <is>
          <t>Backpacks</t>
        </is>
      </c>
      <c r="G12" s="16" t="inlineStr">
        <is>
          <t>viewed 2+</t>
        </is>
      </c>
      <c r="H12" s="16" t="inlineStr">
        <is>
          <t>Not converting (0.77%)</t>
        </is>
      </c>
      <c r="I12" s="9" t="inlineStr">
        <is>
          <t>Risk reversal + carry-system bundle</t>
        </is>
      </c>
      <c r="J12" s="16" t="inlineStr">
        <is>
          <t>Kit -12% + easy returns</t>
        </is>
      </c>
      <c r="K12" s="16" t="inlineStr">
        <is>
          <t>-</t>
        </is>
      </c>
      <c r="L12" s="9" t="inlineStr">
        <is>
          <t>'30-day easy returns + complete your carry'</t>
        </is>
      </c>
      <c r="M12" s="16" t="inlineStr">
        <is>
          <t>On-site PDP</t>
        </is>
      </c>
      <c r="N12" s="16" t="inlineStr">
        <is>
          <t>Repeat bag views</t>
        </is>
      </c>
      <c r="O12" s="16" t="inlineStr">
        <is>
          <t>Converts / bundles</t>
        </is>
      </c>
      <c r="P12" s="10" t="inlineStr">
        <is>
          <t>Med</t>
        </is>
      </c>
      <c r="Q12" s="10" t="inlineStr">
        <is>
          <t>Med</t>
        </is>
      </c>
    </row>
    <row r="13">
      <c r="A13" s="20" t="n">
        <v>10</v>
      </c>
      <c r="B13" s="19" t="inlineStr">
        <is>
          <t>Gift shopper (festive/wedding)</t>
        </is>
      </c>
      <c r="C13" s="20" t="inlineStr">
        <is>
          <t>New</t>
        </is>
      </c>
      <c r="D13" s="20" t="inlineStr">
        <is>
          <t>O1</t>
        </is>
      </c>
      <c r="E13" s="19" t="inlineStr">
        <is>
          <t>Organic/Direct</t>
        </is>
      </c>
      <c r="F13" s="19" t="inlineStr">
        <is>
          <t>Gifting</t>
        </is>
      </c>
      <c r="G13" s="19" t="inlineStr">
        <is>
          <t>browsing gifts</t>
        </is>
      </c>
      <c r="H13" s="19" t="inlineStr">
        <is>
          <t>Gifting intent</t>
        </is>
      </c>
      <c r="I13" s="25" t="inlineStr">
        <is>
          <t>Gift finder + curated bundles + paid wrap</t>
        </is>
      </c>
      <c r="J13" s="19" t="inlineStr">
        <is>
          <t>Curated bundle + gift wrap add-on</t>
        </is>
      </c>
      <c r="K13" s="19" t="inlineStr">
        <is>
          <t>-</t>
        </is>
      </c>
      <c r="L13" s="25" t="inlineStr">
        <is>
          <t>'Perfect gifts, sorted by budget'</t>
        </is>
      </c>
      <c r="M13" s="19" t="inlineStr">
        <is>
          <t>On-site + CRM</t>
        </is>
      </c>
      <c r="N13" s="19" t="inlineStr">
        <is>
          <t>Gifting nav / season</t>
        </is>
      </c>
      <c r="O13" s="19" t="inlineStr">
        <is>
          <t>Buys curated gift</t>
        </is>
      </c>
      <c r="P13" s="20" t="inlineStr">
        <is>
          <t>Low</t>
        </is>
      </c>
      <c r="Q13" s="20" t="inlineStr">
        <is>
          <t>High</t>
        </is>
      </c>
    </row>
    <row r="14">
      <c r="A14" s="10" t="n">
        <v>11</v>
      </c>
      <c r="B14" s="16" t="inlineStr">
        <is>
          <t>High-AOV / VIP repeat</t>
        </is>
      </c>
      <c r="C14" s="10" t="inlineStr">
        <is>
          <t>Repeat</t>
        </is>
      </c>
      <c r="D14" s="10" t="inlineStr">
        <is>
          <t>O3+</t>
        </is>
      </c>
      <c r="E14" s="16" t="inlineStr">
        <is>
          <t>Direct/Email</t>
        </is>
      </c>
      <c r="F14" s="16" t="inlineStr">
        <is>
          <t>Premium (power/bags)</t>
        </is>
      </c>
      <c r="G14" s="16" t="inlineStr">
        <is>
          <t>high</t>
        </is>
      </c>
      <c r="H14" s="16" t="inlineStr">
        <is>
          <t>Most valuable</t>
        </is>
      </c>
      <c r="I14" s="9" t="inlineStr">
        <is>
          <t>VIP early access + membership + concierge</t>
        </is>
      </c>
      <c r="J14" s="16" t="inlineStr">
        <is>
          <t>Early access; DO Club</t>
        </is>
      </c>
      <c r="K14" s="16" t="inlineStr">
        <is>
          <t>-</t>
        </is>
      </c>
      <c r="L14" s="9" t="inlineStr">
        <is>
          <t>'VIP early access to new drops'</t>
        </is>
      </c>
      <c r="M14" s="16" t="inlineStr">
        <is>
          <t>Email/SMS</t>
        </is>
      </c>
      <c r="N14" s="16" t="inlineStr">
        <is>
          <t>Top-decile spend</t>
        </is>
      </c>
      <c r="O14" s="16" t="inlineStr">
        <is>
          <t>Buys premium, joins club</t>
        </is>
      </c>
      <c r="P14" s="10" t="inlineStr">
        <is>
          <t>Low</t>
        </is>
      </c>
      <c r="Q14" s="10" t="inlineStr">
        <is>
          <t>Med</t>
        </is>
      </c>
    </row>
    <row r="15">
      <c r="A15" s="20" t="n">
        <v>12</v>
      </c>
      <c r="B15" s="19" t="inlineStr">
        <is>
          <t>Desktop considered shopper</t>
        </is>
      </c>
      <c r="C15" s="20" t="inlineStr">
        <is>
          <t>New/Repeat</t>
        </is>
      </c>
      <c r="D15" s="20" t="inlineStr">
        <is>
          <t>any</t>
        </is>
      </c>
      <c r="E15" s="19" t="inlineStr">
        <is>
          <t>Any</t>
        </is>
      </c>
      <c r="F15" s="19" t="inlineStr">
        <is>
          <t>Desk/bags</t>
        </is>
      </c>
      <c r="G15" s="19" t="inlineStr">
        <is>
          <t>larger basket</t>
        </is>
      </c>
      <c r="H15" s="19" t="inlineStr">
        <is>
          <t>Higher AOV device</t>
        </is>
      </c>
      <c r="I15" s="25" t="inlineStr">
        <is>
          <t>Bundle-heavy merch + shop-the-look</t>
        </is>
      </c>
      <c r="J15" s="19" t="inlineStr">
        <is>
          <t>Setup/kit bundles</t>
        </is>
      </c>
      <c r="K15" s="19" t="inlineStr">
        <is>
          <t>-</t>
        </is>
      </c>
      <c r="L15" s="25" t="inlineStr">
        <is>
          <t>'Shop the full setup'</t>
        </is>
      </c>
      <c r="M15" s="19" t="inlineStr">
        <is>
          <t>On-site desktop</t>
        </is>
      </c>
      <c r="N15" s="19" t="inlineStr">
        <is>
          <t>Desktop session</t>
        </is>
      </c>
      <c r="O15" s="19" t="inlineStr">
        <is>
          <t>Builds bigger basket</t>
        </is>
      </c>
      <c r="P15" s="20" t="inlineStr">
        <is>
          <t>Low</t>
        </is>
      </c>
      <c r="Q15" s="20" t="inlineStr">
        <is>
          <t>Med</t>
        </is>
      </c>
    </row>
    <row r="16">
      <c r="A16" s="10" t="n">
        <v>13</v>
      </c>
      <c r="B16" s="16" t="inlineStr">
        <is>
          <t>Discount-seeker (coupon hunter)</t>
        </is>
      </c>
      <c r="C16" s="10" t="inlineStr">
        <is>
          <t>New</t>
        </is>
      </c>
      <c r="D16" s="10" t="inlineStr">
        <is>
          <t>O1</t>
        </is>
      </c>
      <c r="E16" s="16" t="inlineStr">
        <is>
          <t>Paid/Referral</t>
        </is>
      </c>
      <c r="F16" s="16" t="inlineStr">
        <is>
          <t>any</t>
        </is>
      </c>
      <c r="G16" s="16" t="inlineStr">
        <is>
          <t>cart w/ code intent</t>
        </is>
      </c>
      <c r="H16" s="16" t="inlineStr">
        <is>
          <t>Price-led</t>
        </is>
      </c>
      <c r="I16" s="9" t="inlineStr">
        <is>
          <t>Steer to bank/UPI offer + bundle-as-best-deal</t>
        </is>
      </c>
      <c r="J16" s="16" t="inlineStr">
        <is>
          <t>Partner-funded offer; no deep own-discount</t>
        </is>
      </c>
      <c r="K16" s="16" t="inlineStr">
        <is>
          <t>-</t>
        </is>
      </c>
      <c r="L16" s="9" t="inlineStr">
        <is>
          <t>'Best price with UPI/bank offer'</t>
        </is>
      </c>
      <c r="M16" s="16" t="inlineStr">
        <is>
          <t>On-site</t>
        </is>
      </c>
      <c r="N16" s="16" t="inlineStr">
        <is>
          <t>Coupon field focus</t>
        </is>
      </c>
      <c r="O16" s="16" t="inlineStr">
        <is>
          <t>Uses partner offer</t>
        </is>
      </c>
      <c r="P16" s="10" t="inlineStr">
        <is>
          <t>Low</t>
        </is>
      </c>
      <c r="Q16" s="10" t="inlineStr">
        <is>
          <t>Med</t>
        </is>
      </c>
    </row>
    <row r="17">
      <c r="A17" s="20" t="n">
        <v>14</v>
      </c>
      <c r="B17" s="19" t="inlineStr">
        <is>
          <t>Single-category repeat (cases only)</t>
        </is>
      </c>
      <c r="C17" s="20" t="inlineStr">
        <is>
          <t>Repeat</t>
        </is>
      </c>
      <c r="D17" s="20" t="inlineStr">
        <is>
          <t>O2/O3+</t>
        </is>
      </c>
      <c r="E17" s="19" t="inlineStr">
        <is>
          <t>CRM</t>
        </is>
      </c>
      <c r="F17" s="19" t="inlineStr">
        <is>
          <t>cases only</t>
        </is>
      </c>
      <c r="G17" s="19" t="inlineStr">
        <is>
          <t>-</t>
        </is>
      </c>
      <c r="H17" s="19" t="inlineStr">
        <is>
          <t>Mono-category</t>
        </is>
      </c>
      <c r="I17" s="25" t="inlineStr">
        <is>
          <t>Category-penetration intro</t>
        </is>
      </c>
      <c r="J17" s="19" t="inlineStr">
        <is>
          <t>First-in-new-category incentive</t>
        </is>
      </c>
      <c r="K17" s="19" t="inlineStr">
        <is>
          <t>-</t>
        </is>
      </c>
      <c r="L17" s="25" t="inlineStr">
        <is>
          <t>'Discover your next essential'</t>
        </is>
      </c>
      <c r="M17" s="19" t="inlineStr">
        <is>
          <t>Email/SMS</t>
        </is>
      </c>
      <c r="N17" s="19" t="inlineStr">
        <is>
          <t>2+ orders, 1 category</t>
        </is>
      </c>
      <c r="O17" s="19" t="inlineStr">
        <is>
          <t>Buys adjacent category</t>
        </is>
      </c>
      <c r="P17" s="20" t="inlineStr">
        <is>
          <t>Med</t>
        </is>
      </c>
      <c r="Q17" s="20" t="inlineStr">
        <is>
          <t>Med</t>
        </is>
      </c>
    </row>
  </sheetData>
  <autoFilter ref="A3:Q17"/>
  <mergeCells count="2">
    <mergeCell ref="A2:Q2"/>
    <mergeCell ref="A1:Q1"/>
  </mergeCells>
  <conditionalFormatting sqref="P4:P17">
    <cfRule type="expression" priority="1" dxfId="1">
      <formula>EXACT($P4,"Low")</formula>
    </cfRule>
    <cfRule type="expression" priority="2" dxfId="3">
      <formula>EXACT($P4,"Med")</formula>
    </cfRule>
    <cfRule type="expression" priority="3" dxfId="0">
      <formula>EXACT($P4,"High")</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7"/>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14" customWidth="1" min="3" max="3"/>
    <col width="30" customWidth="1" min="4" max="4"/>
    <col width="40" customWidth="1" min="5" max="5"/>
    <col width="14" customWidth="1" min="6" max="6"/>
    <col width="16" customWidth="1" min="7" max="7"/>
    <col width="18" customWidth="1" min="8" max="8"/>
    <col width="11" customWidth="1" min="9" max="9"/>
    <col width="28" customWidth="1" min="10" max="10"/>
    <col width="34" customWidth="1" min="11" max="11"/>
    <col width="8" customWidth="1" min="12" max="12"/>
    <col width="10" customWidth="1" min="13" max="13"/>
    <col width="10" customWidth="1" min="14" max="14"/>
    <col width="9" customWidth="1" min="15" max="15"/>
  </cols>
  <sheetData>
    <row r="1" ht="30" customHeight="1">
      <c r="A1" s="22" t="inlineStr">
        <is>
          <t>REVENUE LEAKAGES</t>
        </is>
      </c>
    </row>
    <row r="2" ht="22" customHeight="1">
      <c r="A2" s="2" t="inlineStr">
        <is>
          <t>Where money is leaking today, ranked. Metrics OBSERVED from GA4 funnel/device/channel; benchmarks INFERRED.</t>
        </is>
      </c>
    </row>
    <row r="3" ht="34" customHeight="1">
      <c r="A3" s="14" t="inlineStr">
        <is>
          <t>ID</t>
        </is>
      </c>
      <c r="B3" s="14" t="inlineStr">
        <is>
          <t>Area</t>
        </is>
      </c>
      <c r="C3" s="14" t="inlineStr">
        <is>
          <t>Funnel Stage</t>
        </is>
      </c>
      <c r="D3" s="14" t="inlineStr">
        <is>
          <t>Issue</t>
        </is>
      </c>
      <c r="E3" s="14" t="inlineStr">
        <is>
          <t>Evidence (OBS/INF)</t>
        </is>
      </c>
      <c r="F3" s="14" t="inlineStr">
        <is>
          <t>Current Metric</t>
        </is>
      </c>
      <c r="G3" s="14" t="inlineStr">
        <is>
          <t>Benchmark</t>
        </is>
      </c>
      <c r="H3" s="14" t="inlineStr">
        <is>
          <t>Estimated Gap</t>
        </is>
      </c>
      <c r="I3" s="14" t="inlineStr">
        <is>
          <t>Revenue Impact</t>
        </is>
      </c>
      <c r="J3" s="14" t="inlineStr">
        <is>
          <t>Root-Cause Hypothesis</t>
        </is>
      </c>
      <c r="K3" s="14" t="inlineStr">
        <is>
          <t>Tactical Fix</t>
        </is>
      </c>
      <c r="L3" s="14" t="inlineStr">
        <is>
          <t>Effort</t>
        </is>
      </c>
      <c r="M3" s="14" t="inlineStr">
        <is>
          <t>Time to Fix</t>
        </is>
      </c>
      <c r="N3" s="14" t="inlineStr">
        <is>
          <t>Confidence</t>
        </is>
      </c>
      <c r="O3" s="14" t="inlineStr">
        <is>
          <t>Priority</t>
        </is>
      </c>
    </row>
    <row r="4">
      <c r="A4" s="10" t="inlineStr">
        <is>
          <t>LK01</t>
        </is>
      </c>
      <c r="B4" s="16" t="inlineStr">
        <is>
          <t>Mobile conversion</t>
        </is>
      </c>
      <c r="C4" s="16" t="inlineStr">
        <is>
          <t>Full funnel</t>
        </is>
      </c>
      <c r="D4" s="9" t="inlineStr">
        <is>
          <t>Mobile CVR ~half of desktop on 91% of traffic</t>
        </is>
      </c>
      <c r="E4" s="9" t="inlineStr">
        <is>
          <t>OBS: mobile 0.95% vs desktop 1.96% CVR; mobile=49.1M sessions</t>
        </is>
      </c>
      <c r="F4" s="16" t="inlineStr">
        <is>
          <t>0.95%</t>
        </is>
      </c>
      <c r="G4" s="16" t="inlineStr">
        <is>
          <t>1.4-2.0%</t>
        </is>
      </c>
      <c r="H4" s="16" t="inlineStr">
        <is>
          <t>~0.5-1.0pp on 49M sessions</t>
        </is>
      </c>
      <c r="I4" s="10" t="inlineStr">
        <is>
          <t>Very High</t>
        </is>
      </c>
      <c r="J4" s="9" t="inlineStr">
        <is>
          <t>Mobile PDP/checkout friction, slow LCP, payment UX</t>
        </is>
      </c>
      <c r="K4" s="9" t="inlineStr">
        <is>
          <t>Mobile checkout+PDP sprint; express/UPI checkout (ID11/ID12)</t>
        </is>
      </c>
      <c r="L4" s="10" t="inlineStr">
        <is>
          <t>High</t>
        </is>
      </c>
      <c r="M4" s="10" t="inlineStr">
        <is>
          <t>&lt;30d</t>
        </is>
      </c>
      <c r="N4" s="10" t="inlineStr">
        <is>
          <t>High</t>
        </is>
      </c>
      <c r="O4" s="10" t="inlineStr">
        <is>
          <t>High</t>
        </is>
      </c>
    </row>
    <row r="5">
      <c r="A5" s="20" t="inlineStr">
        <is>
          <t>LK02</t>
        </is>
      </c>
      <c r="B5" s="19" t="inlineStr">
        <is>
          <t>Payment</t>
        </is>
      </c>
      <c r="C5" s="19" t="inlineStr">
        <is>
          <t>Payment</t>
        </is>
      </c>
      <c r="D5" s="25" t="inlineStr">
        <is>
          <t>42% drop after entering payment info</t>
        </is>
      </c>
      <c r="E5" s="25" t="inlineStr">
        <is>
          <t>OBS: add_payment_info 1.07M -&gt; purchase 623k</t>
        </is>
      </c>
      <c r="F5" s="19" t="inlineStr">
        <is>
          <t>58% pay-&gt;purchase</t>
        </is>
      </c>
      <c r="G5" s="19" t="inlineStr">
        <is>
          <t>75-85%</t>
        </is>
      </c>
      <c r="H5" s="19" t="inlineStr">
        <is>
          <t>~0.2-0.4M lost orders</t>
        </is>
      </c>
      <c r="I5" s="20" t="inlineStr">
        <is>
          <t>Very High</t>
        </is>
      </c>
      <c r="J5" s="25" t="inlineStr">
        <is>
          <t>Payment failures, limited methods, no retry</t>
        </is>
      </c>
      <c r="K5" s="25" t="inlineStr">
        <is>
          <t>New PSP stack + UPI + retry + SMS recovery (ID12/ID47)</t>
        </is>
      </c>
      <c r="L5" s="20" t="inlineStr">
        <is>
          <t>Med</t>
        </is>
      </c>
      <c r="M5" s="20" t="inlineStr">
        <is>
          <t>&lt;14d</t>
        </is>
      </c>
      <c r="N5" s="20" t="inlineStr">
        <is>
          <t>High</t>
        </is>
      </c>
      <c r="O5" s="20" t="inlineStr">
        <is>
          <t>High</t>
        </is>
      </c>
    </row>
    <row r="6">
      <c r="A6" s="10" t="inlineStr">
        <is>
          <t>LK03</t>
        </is>
      </c>
      <c r="B6" s="16" t="inlineStr">
        <is>
          <t>Cart -&gt; checkout</t>
        </is>
      </c>
      <c r="C6" s="16" t="inlineStr">
        <is>
          <t>Cart</t>
        </is>
      </c>
      <c r="D6" s="9" t="inlineStr">
        <is>
          <t>Only 26% of ATC begin checkout</t>
        </is>
      </c>
      <c r="E6" s="9" t="inlineStr">
        <is>
          <t>OBS: ATC 5.99M -&gt; begin_checkout 1.55M</t>
        </is>
      </c>
      <c r="F6" s="16" t="inlineStr">
        <is>
          <t>25.8%</t>
        </is>
      </c>
      <c r="G6" s="16" t="inlineStr">
        <is>
          <t>35-45%</t>
        </is>
      </c>
      <c r="H6" s="16" t="inlineStr">
        <is>
          <t>large</t>
        </is>
      </c>
      <c r="I6" s="10" t="inlineStr">
        <is>
          <t>High</t>
        </is>
      </c>
      <c r="J6" s="9" t="inlineStr">
        <is>
          <t>No cart progress/urgency, unclear shipping/offers, friction</t>
        </is>
      </c>
      <c r="K6" s="9" t="inlineStr">
        <is>
          <t>Cart drawer + progress bar + FBT + free-ship clarity (ID50/ID06)</t>
        </is>
      </c>
      <c r="L6" s="10" t="inlineStr">
        <is>
          <t>Med</t>
        </is>
      </c>
      <c r="M6" s="10" t="inlineStr">
        <is>
          <t>&lt;14d</t>
        </is>
      </c>
      <c r="N6" s="10" t="inlineStr">
        <is>
          <t>Med</t>
        </is>
      </c>
      <c r="O6" s="10" t="inlineStr">
        <is>
          <t>High</t>
        </is>
      </c>
    </row>
    <row r="7">
      <c r="A7" s="20" t="inlineStr">
        <is>
          <t>LK04</t>
        </is>
      </c>
      <c r="B7" s="19" t="inlineStr">
        <is>
          <t>CRM / owned channels</t>
        </is>
      </c>
      <c r="C7" s="19" t="inlineStr">
        <is>
          <t>Retention</t>
        </is>
      </c>
      <c r="D7" s="25" t="inlineStr">
        <is>
          <t>Email+SMS+Push = ~0.55% of revenue</t>
        </is>
      </c>
      <c r="E7" s="25" t="inlineStr">
        <is>
          <t>OBS: Email Rs5.7M + SMS Rs0.75M + Push Rs0.88M vs Rs1.34B total</t>
        </is>
      </c>
      <c r="F7" s="19" t="inlineStr">
        <is>
          <t>0.55% rev</t>
        </is>
      </c>
      <c r="G7" s="19" t="inlineStr">
        <is>
          <t>8-15% rev</t>
        </is>
      </c>
      <c r="H7" s="19" t="inlineStr">
        <is>
          <t>~Rs50-150M</t>
        </is>
      </c>
      <c r="I7" s="20" t="inlineStr">
        <is>
          <t>Very High</t>
        </is>
      </c>
      <c r="J7" s="25" t="inlineStr">
        <is>
          <t>Flows not built; tiny opt-in base; SMS underused despite 4.2% CVR</t>
        </is>
      </c>
      <c r="K7" s="25" t="inlineStr">
        <is>
          <t>Build lifecycle flows; scale SMS/WhatsApp (ID19-24)</t>
        </is>
      </c>
      <c r="L7" s="20" t="inlineStr">
        <is>
          <t>Med</t>
        </is>
      </c>
      <c r="M7" s="20" t="inlineStr">
        <is>
          <t>&lt;14d</t>
        </is>
      </c>
      <c r="N7" s="20" t="inlineStr">
        <is>
          <t>High</t>
        </is>
      </c>
      <c r="O7" s="20" t="inlineStr">
        <is>
          <t>High</t>
        </is>
      </c>
    </row>
    <row r="8">
      <c r="A8" s="10" t="inlineStr">
        <is>
          <t>LK05</t>
        </is>
      </c>
      <c r="B8" s="16" t="inlineStr">
        <is>
          <t>Paid Social efficiency</t>
        </is>
      </c>
      <c r="C8" s="16" t="inlineStr">
        <is>
          <t>Acquisition</t>
        </is>
      </c>
      <c r="D8" s="9" t="inlineStr">
        <is>
          <t>29M sessions at 0.38% CVR, RPV Rs9.3</t>
        </is>
      </c>
      <c r="E8" s="9" t="inlineStr">
        <is>
          <t>OBS: Paid Social biggest channel, lowest RPV</t>
        </is>
      </c>
      <c r="F8" s="16" t="inlineStr">
        <is>
          <t>0.38% CVR</t>
        </is>
      </c>
      <c r="G8" s="16" t="inlineStr">
        <is>
          <t>0.6-1.0%</t>
        </is>
      </c>
      <c r="H8" s="16" t="inlineStr">
        <is>
          <t>huge (volume)</t>
        </is>
      </c>
      <c r="I8" s="10" t="inlineStr">
        <is>
          <t>High</t>
        </is>
      </c>
      <c r="J8" s="9" t="inlineStr">
        <is>
          <t>Message-LP mismatch, homepage routing, cold traffic</t>
        </is>
      </c>
      <c r="K8" s="9" t="inlineStr">
        <is>
          <t>Matched LPs + first-order hook + quiz (ID29)</t>
        </is>
      </c>
      <c r="L8" s="10" t="inlineStr">
        <is>
          <t>Med</t>
        </is>
      </c>
      <c r="M8" s="10" t="inlineStr">
        <is>
          <t>&lt;14d</t>
        </is>
      </c>
      <c r="N8" s="10" t="inlineStr">
        <is>
          <t>Med</t>
        </is>
      </c>
      <c r="O8" s="10" t="inlineStr">
        <is>
          <t>High</t>
        </is>
      </c>
    </row>
    <row r="9">
      <c r="A9" s="20" t="inlineStr">
        <is>
          <t>LK06</t>
        </is>
      </c>
      <c r="B9" s="19" t="inlineStr">
        <is>
          <t>AOV / attach</t>
        </is>
      </c>
      <c r="C9" s="19" t="inlineStr">
        <is>
          <t>Cart/PDP</t>
        </is>
      </c>
      <c r="D9" s="25" t="inlineStr">
        <is>
          <t>Phone-case ASP ~Rs1,068 on 57% of views; low attach</t>
        </is>
      </c>
      <c r="E9" s="25" t="inlineStr">
        <is>
          <t>OBS: cases 31M views, ASP Rs1,068, view-&gt;purchase 1.2%</t>
        </is>
      </c>
      <c r="F9" s="19" t="inlineStr">
        <is>
          <t>~Rs1,068 ASP</t>
        </is>
      </c>
      <c r="G9" s="19" t="inlineStr">
        <is>
          <t>+15-30% w/ attach</t>
        </is>
      </c>
      <c r="H9" s="19" t="inlineStr">
        <is>
          <t>Med-High</t>
        </is>
      </c>
      <c r="I9" s="20" t="inlineStr">
        <is>
          <t>No systematic attach/FBT on hero category</t>
        </is>
      </c>
      <c r="J9" s="25" t="inlineStr">
        <is>
          <t>Case attach engine + FBT + tier upsell (ID01/ID13/ID16)</t>
        </is>
      </c>
      <c r="K9" s="25" t="inlineStr">
        <is>
          <t>Low</t>
        </is>
      </c>
      <c r="L9" s="20" t="inlineStr">
        <is>
          <t>&lt;7d</t>
        </is>
      </c>
      <c r="M9" s="20" t="inlineStr">
        <is>
          <t>High</t>
        </is>
      </c>
      <c r="N9" s="20" t="inlineStr">
        <is>
          <t>High</t>
        </is>
      </c>
      <c r="O9" s="46" t="n"/>
    </row>
    <row r="10">
      <c r="A10" s="10" t="inlineStr">
        <is>
          <t>LK07</t>
        </is>
      </c>
      <c r="B10" s="16" t="inlineStr">
        <is>
          <t>Backpack conversion</t>
        </is>
      </c>
      <c r="C10" s="16" t="inlineStr">
        <is>
          <t>PDP</t>
        </is>
      </c>
      <c r="D10" s="9" t="inlineStr">
        <is>
          <t>Bags convert far below other big cats</t>
        </is>
      </c>
      <c r="E10" s="9" t="inlineStr">
        <is>
          <t>OBS: backpacks view-&gt;purchase 0.77%, ATC 3.7%</t>
        </is>
      </c>
      <c r="F10" s="16" t="inlineStr">
        <is>
          <t>0.77%</t>
        </is>
      </c>
      <c r="G10" s="16" t="inlineStr">
        <is>
          <t>1.2-1.6%</t>
        </is>
      </c>
      <c r="H10" s="16" t="inlineStr">
        <is>
          <t>Med</t>
        </is>
      </c>
      <c r="I10" s="10" t="inlineStr">
        <is>
          <t>High-consideration hesitation, weak risk reversal</t>
        </is>
      </c>
      <c r="J10" s="9" t="inlineStr">
        <is>
          <t>Risk reversal + carry bundle (ID39/ID03)</t>
        </is>
      </c>
      <c r="K10" s="9" t="inlineStr">
        <is>
          <t>Low</t>
        </is>
      </c>
      <c r="L10" s="10" t="inlineStr">
        <is>
          <t>&lt;7d</t>
        </is>
      </c>
      <c r="M10" s="10" t="inlineStr">
        <is>
          <t>Med</t>
        </is>
      </c>
      <c r="N10" s="10" t="inlineStr">
        <is>
          <t>Med</t>
        </is>
      </c>
    </row>
    <row r="11">
      <c r="A11" s="20" t="inlineStr">
        <is>
          <t>LK08</t>
        </is>
      </c>
      <c r="B11" s="19" t="inlineStr">
        <is>
          <t>Product discovery / PLP</t>
        </is>
      </c>
      <c r="C11" s="19" t="inlineStr">
        <is>
          <t>Discovery</t>
        </is>
      </c>
      <c r="D11" s="25" t="inlineStr">
        <is>
          <t>/collection PLP converts at 0.33%</t>
        </is>
      </c>
      <c r="E11" s="25" t="inlineStr">
        <is>
          <t>OBS: /collection 3.3M sessions, 0.33% CVR vs homepage 1.54%</t>
        </is>
      </c>
      <c r="F11" s="19" t="inlineStr">
        <is>
          <t>0.33%</t>
        </is>
      </c>
      <c r="G11" s="19" t="inlineStr">
        <is>
          <t>0.8-1.2%</t>
        </is>
      </c>
      <c r="H11" s="19" t="inlineStr">
        <is>
          <t>Med</t>
        </is>
      </c>
      <c r="I11" s="20" t="inlineStr">
        <is>
          <t>Weak sort, no price-point/use-case entry, choice overload</t>
        </is>
      </c>
      <c r="J11" s="25" t="inlineStr">
        <is>
          <t>Bestseller sort + price-point stores + device hub (ID25/26/27)</t>
        </is>
      </c>
      <c r="K11" s="25" t="inlineStr">
        <is>
          <t>Low</t>
        </is>
      </c>
      <c r="L11" s="20" t="inlineStr">
        <is>
          <t>&lt;7d</t>
        </is>
      </c>
      <c r="M11" s="20" t="inlineStr">
        <is>
          <t>Med</t>
        </is>
      </c>
      <c r="N11" s="20" t="inlineStr">
        <is>
          <t>High</t>
        </is>
      </c>
      <c r="O11" s="46" t="n"/>
    </row>
    <row r="12">
      <c r="A12" s="10" t="inlineStr">
        <is>
          <t>LK09</t>
        </is>
      </c>
      <c r="B12" s="16" t="inlineStr">
        <is>
          <t>Gifting</t>
        </is>
      </c>
      <c r="C12" s="16" t="inlineStr">
        <is>
          <t>Discovery</t>
        </is>
      </c>
      <c r="D12" s="9" t="inlineStr">
        <is>
          <t>Gifting ~Rs3.2M despite infra</t>
        </is>
      </c>
      <c r="E12" s="9" t="inlineStr">
        <is>
          <t>OBS: 16xx cats Rs3.2M; gift cards + corporate gifting exist</t>
        </is>
      </c>
      <c r="F12" s="16" t="inlineStr">
        <is>
          <t>~Rs3.2M</t>
        </is>
      </c>
      <c r="G12" s="16" t="inlineStr">
        <is>
          <t>much higher</t>
        </is>
      </c>
      <c r="H12" s="16" t="inlineStr">
        <is>
          <t>Med (seasonal)</t>
        </is>
      </c>
      <c r="I12" s="10" t="inlineStr">
        <is>
          <t>No gift finder/hub activation</t>
        </is>
      </c>
      <c r="J12" s="9" t="inlineStr">
        <is>
          <t>Gift hub + finder + corporate lead-gen (ID09/ID56)</t>
        </is>
      </c>
      <c r="K12" s="9" t="inlineStr">
        <is>
          <t>Med</t>
        </is>
      </c>
      <c r="L12" s="10" t="inlineStr">
        <is>
          <t>&lt;14d</t>
        </is>
      </c>
      <c r="M12" s="10" t="inlineStr">
        <is>
          <t>Med</t>
        </is>
      </c>
      <c r="N12" s="10" t="inlineStr">
        <is>
          <t>Med</t>
        </is>
      </c>
    </row>
    <row r="13">
      <c r="A13" s="20" t="inlineStr">
        <is>
          <t>LK10</t>
        </is>
      </c>
      <c r="B13" s="19" t="inlineStr">
        <is>
          <t>Search</t>
        </is>
      </c>
      <c r="C13" s="19" t="inlineStr">
        <is>
          <t>Discovery</t>
        </is>
      </c>
      <c r="D13" s="25" t="inlineStr">
        <is>
          <t>Zero-result &amp; weak search recovery</t>
        </is>
      </c>
      <c r="E13" s="25" t="inlineStr">
        <is>
          <t>OBS: internal analytics tracks zero-results &amp; search CVR</t>
        </is>
      </c>
      <c r="F13" s="19" t="inlineStr">
        <is>
          <t>tracked</t>
        </is>
      </c>
      <c r="G13" s="19" t="inlineStr">
        <is>
          <t>lower zero-result</t>
        </is>
      </c>
      <c r="H13" s="19" t="inlineStr">
        <is>
          <t>Med</t>
        </is>
      </c>
      <c r="I13" s="20" t="inlineStr">
        <is>
          <t>No synonyms/typo tolerance/empty-state recs</t>
        </is>
      </c>
      <c r="J13" s="25" t="inlineStr">
        <is>
          <t>Search config + zero-result recovery (ID38)</t>
        </is>
      </c>
      <c r="K13" s="25" t="inlineStr">
        <is>
          <t>Med</t>
        </is>
      </c>
      <c r="L13" s="20" t="inlineStr">
        <is>
          <t>&lt;14d</t>
        </is>
      </c>
      <c r="M13" s="20" t="inlineStr">
        <is>
          <t>Med</t>
        </is>
      </c>
      <c r="N13" s="20" t="inlineStr">
        <is>
          <t>Med</t>
        </is>
      </c>
      <c r="O13" s="46" t="n"/>
    </row>
    <row r="14">
      <c r="A14" s="10" t="inlineStr">
        <is>
          <t>LK11</t>
        </is>
      </c>
      <c r="B14" s="16" t="inlineStr">
        <is>
          <t>New-user trust</t>
        </is>
      </c>
      <c r="C14" s="16" t="inlineStr">
        <is>
          <t>Consideration</t>
        </is>
      </c>
      <c r="D14" s="9" t="inlineStr">
        <is>
          <t>New CVR 0.69% (66% of traffic)</t>
        </is>
      </c>
      <c r="E14" s="9" t="inlineStr">
        <is>
          <t>OBS: new 0.69% vs returning 1.77%</t>
        </is>
      </c>
      <c r="F14" s="16" t="inlineStr">
        <is>
          <t>0.69%</t>
        </is>
      </c>
      <c r="G14" s="16" t="inlineStr">
        <is>
          <t>1.0-1.3%</t>
        </is>
      </c>
      <c r="H14" s="16" t="inlineStr">
        <is>
          <t>High</t>
        </is>
      </c>
      <c r="I14" s="10" t="inlineStr">
        <is>
          <t>Weak trust cues/ETA/social proof for new visitors</t>
        </is>
      </c>
      <c r="J14" s="9" t="inlineStr">
        <is>
          <t>PDP trust pack + reviews/UGC (ID14/ID51)</t>
        </is>
      </c>
      <c r="K14" s="9" t="inlineStr">
        <is>
          <t>Med</t>
        </is>
      </c>
      <c r="L14" s="10" t="inlineStr">
        <is>
          <t>&lt;14d</t>
        </is>
      </c>
      <c r="M14" s="10" t="inlineStr">
        <is>
          <t>Med</t>
        </is>
      </c>
      <c r="N14" s="10" t="inlineStr">
        <is>
          <t>High</t>
        </is>
      </c>
    </row>
    <row r="15">
      <c r="A15" s="20" t="inlineStr">
        <is>
          <t>LK12</t>
        </is>
      </c>
      <c r="B15" s="19" t="inlineStr">
        <is>
          <t>Repeat / O1-&gt;O2</t>
        </is>
      </c>
      <c r="C15" s="19" t="inlineStr">
        <is>
          <t>Retention</t>
        </is>
      </c>
      <c r="D15" s="25" t="inlineStr">
        <is>
          <t>O1-&gt;O2 not accelerated</t>
        </is>
      </c>
      <c r="E15" s="25" t="inlineStr">
        <is>
          <t>OBS: returning drive 57% of revenue, convert 2.56x</t>
        </is>
      </c>
      <c r="F15" s="19" t="inlineStr">
        <is>
          <t>-</t>
        </is>
      </c>
      <c r="G15" s="19" t="inlineStr">
        <is>
          <t>+repeat rate</t>
        </is>
      </c>
      <c r="H15" s="19" t="inlineStr">
        <is>
          <t>High</t>
        </is>
      </c>
      <c r="I15" s="20" t="inlineStr">
        <is>
          <t>No second-order trigger/loyalty visibility</t>
        </is>
      </c>
      <c r="J15" s="25" t="inlineStr">
        <is>
          <t>O1-&gt;O2 accelerator + loyalty surfacing (ID18/ID30)</t>
        </is>
      </c>
      <c r="K15" s="25" t="inlineStr">
        <is>
          <t>Low</t>
        </is>
      </c>
      <c r="L15" s="20" t="inlineStr">
        <is>
          <t>&lt;7d</t>
        </is>
      </c>
      <c r="M15" s="20" t="inlineStr">
        <is>
          <t>Med</t>
        </is>
      </c>
      <c r="N15" s="20" t="inlineStr">
        <is>
          <t>High</t>
        </is>
      </c>
      <c r="O15" s="46" t="n"/>
    </row>
    <row r="16">
      <c r="A16" s="10" t="inlineStr">
        <is>
          <t>LK13</t>
        </is>
      </c>
      <c r="B16" s="16" t="inlineStr">
        <is>
          <t>Shipping/COD friction</t>
        </is>
      </c>
      <c r="C16" s="16" t="inlineStr">
        <is>
          <t>Checkout</t>
        </is>
      </c>
      <c r="D16" s="9" t="inlineStr">
        <is>
          <t>Inconsistent free-ship + Rs79-99 COD fee</t>
        </is>
      </c>
      <c r="E16" s="9" t="inlineStr">
        <is>
          <t>INF: reported Rs749 vs Rs1,199 free-ship; COD fee varies</t>
        </is>
      </c>
      <c r="F16" s="16" t="inlineStr">
        <is>
          <t>unclear</t>
        </is>
      </c>
      <c r="G16" s="16" t="inlineStr">
        <is>
          <t>clear prepaid nudge</t>
        </is>
      </c>
      <c r="H16" s="16" t="inlineStr">
        <is>
          <t>Med</t>
        </is>
      </c>
      <c r="I16" s="10" t="inlineStr">
        <is>
          <t>Confusing thresholds; COD RTO cost</t>
        </is>
      </c>
      <c r="J16" s="9" t="inlineStr">
        <is>
          <t>Prepaid free-ship reframing (ID07/ID53)</t>
        </is>
      </c>
      <c r="K16" s="9" t="inlineStr">
        <is>
          <t>Low</t>
        </is>
      </c>
      <c r="L16" s="10" t="inlineStr">
        <is>
          <t>&lt;7d</t>
        </is>
      </c>
      <c r="M16" s="10" t="inlineStr">
        <is>
          <t>Med</t>
        </is>
      </c>
      <c r="N16" s="10" t="inlineStr">
        <is>
          <t>High</t>
        </is>
      </c>
    </row>
    <row r="17">
      <c r="A17" s="20" t="inlineStr">
        <is>
          <t>LK14</t>
        </is>
      </c>
      <c r="B17" s="19" t="inlineStr">
        <is>
          <t>Post-purchase</t>
        </is>
      </c>
      <c r="C17" s="19" t="inlineStr">
        <is>
          <t>Post-purchase</t>
        </is>
      </c>
      <c r="D17" s="25" t="inlineStr">
        <is>
          <t>No thank-you upsell / order bump</t>
        </is>
      </c>
      <c r="E17" s="25" t="inlineStr">
        <is>
          <t>INF: standard gap</t>
        </is>
      </c>
      <c r="F17" s="19" t="inlineStr">
        <is>
          <t>-</t>
        </is>
      </c>
      <c r="G17" s="19" t="inlineStr">
        <is>
          <t>+2-5% AOV</t>
        </is>
      </c>
      <c r="H17" s="19" t="inlineStr">
        <is>
          <t>Low-Med</t>
        </is>
      </c>
      <c r="I17" s="20" t="inlineStr">
        <is>
          <t>No one-click upsell/order-bump live</t>
        </is>
      </c>
      <c r="J17" s="25" t="inlineStr">
        <is>
          <t>Thank-you upsell + order bump (ID17/ID42)</t>
        </is>
      </c>
      <c r="K17" s="25" t="inlineStr">
        <is>
          <t>Low</t>
        </is>
      </c>
      <c r="L17" s="20" t="inlineStr">
        <is>
          <t>&lt;14d</t>
        </is>
      </c>
      <c r="M17" s="20" t="inlineStr">
        <is>
          <t>Med</t>
        </is>
      </c>
      <c r="N17" s="20" t="inlineStr">
        <is>
          <t>Med</t>
        </is>
      </c>
      <c r="O17" s="46" t="n"/>
    </row>
  </sheetData>
  <autoFilter ref="A3:O17"/>
  <mergeCells count="2">
    <mergeCell ref="A1:O1"/>
    <mergeCell ref="A2:O2"/>
  </mergeCells>
  <conditionalFormatting sqref="O4:O17">
    <cfRule type="expression" priority="1" dxfId="4">
      <formula>EXACT($O4,"Low")</formula>
    </cfRule>
    <cfRule type="expression" priority="2" dxfId="3">
      <formula>EXACT($O4,"Med")</formula>
    </cfRule>
    <cfRule type="expression" priority="3" dxfId="1">
      <formula>EXACT($O4,"High")</formula>
    </cfRule>
  </conditionalFormatting>
  <conditionalFormatting sqref="I4:I17">
    <cfRule type="expression" priority="4" dxfId="0">
      <formula>EXACT($I4,"Very High")</formula>
    </cfRule>
    <cfRule type="expression" priority="5" dxfId="3">
      <formula>EXACT($I4,"High")</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48" customWidth="1" min="3" max="3"/>
    <col width="26" customWidth="1" min="4" max="4"/>
    <col width="14" customWidth="1" min="5" max="5"/>
    <col width="16" customWidth="1" min="6" max="6"/>
    <col width="12" customWidth="1" min="7" max="7"/>
    <col width="16" customWidth="1" min="8" max="8"/>
    <col width="16" customWidth="1" min="9" max="9"/>
    <col width="22" customWidth="1" min="10" max="10"/>
    <col width="18" customWidth="1" min="11" max="11"/>
    <col width="16" customWidth="1" min="12" max="12"/>
    <col width="16" customWidth="1" min="13" max="13"/>
    <col width="16" customWidth="1" min="14" max="14"/>
    <col width="14" customWidth="1" min="15" max="15"/>
    <col width="9" customWidth="1" min="16" max="16"/>
    <col width="12" customWidth="1" min="17" max="17"/>
    <col width="14" customWidth="1" min="18" max="18"/>
    <col width="12" customWidth="1" min="19" max="19"/>
    <col width="11" customWidth="1" min="20" max="20"/>
    <col width="11" customWidth="1" min="21" max="21"/>
    <col width="12" customWidth="1" min="22" max="22"/>
    <col width="16" customWidth="1" min="23" max="23"/>
    <col width="10" customWidth="1" min="24" max="24"/>
    <col width="18" customWidth="1" min="25" max="25"/>
  </cols>
  <sheetData>
    <row r="1" ht="30" customHeight="1">
      <c r="A1" s="22" t="inlineStr">
        <is>
          <t>EXPERIMENT BACKLOG</t>
        </is>
      </c>
    </row>
    <row r="2" ht="22" customHeight="1">
      <c r="A2" s="2" t="inlineStr">
        <is>
          <t>Living experimentation tracker. Seeded from the top 24 ideas by priority. Fill Owner/Dates/Result as you run them.</t>
        </is>
      </c>
    </row>
    <row r="3" ht="34" customHeight="1">
      <c r="A3" s="14" t="inlineStr">
        <is>
          <t>Exp ID</t>
        </is>
      </c>
      <c r="B3" s="14" t="inlineStr">
        <is>
          <t>Priority</t>
        </is>
      </c>
      <c r="C3" s="14" t="inlineStr">
        <is>
          <t>Hypothesis</t>
        </is>
      </c>
      <c r="D3" s="14" t="inlineStr">
        <is>
          <t>Initiative</t>
        </is>
      </c>
      <c r="E3" s="14" t="inlineStr">
        <is>
          <t>Segment</t>
        </is>
      </c>
      <c r="F3" s="14" t="inlineStr">
        <is>
          <t>Category</t>
        </is>
      </c>
      <c r="G3" s="14" t="inlineStr">
        <is>
          <t>SKUs</t>
        </is>
      </c>
      <c r="H3" s="14" t="inlineStr">
        <is>
          <t>Control</t>
        </is>
      </c>
      <c r="I3" s="14" t="inlineStr">
        <is>
          <t>Variant</t>
        </is>
      </c>
      <c r="J3" s="14" t="inlineStr">
        <is>
          <t>Offer</t>
        </is>
      </c>
      <c r="K3" s="14" t="inlineStr">
        <is>
          <t>Placement</t>
        </is>
      </c>
      <c r="L3" s="14" t="inlineStr">
        <is>
          <t>Primary Metric</t>
        </is>
      </c>
      <c r="M3" s="14" t="inlineStr">
        <is>
          <t>Secondary Metric</t>
        </is>
      </c>
      <c r="N3" s="14" t="inlineStr">
        <is>
          <t>Guardrail Metric</t>
        </is>
      </c>
      <c r="O3" s="14" t="inlineStr">
        <is>
          <t>Expected Uplift</t>
        </is>
      </c>
      <c r="P3" s="14" t="inlineStr">
        <is>
          <t>Effort</t>
        </is>
      </c>
      <c r="Q3" s="14" t="inlineStr">
        <is>
          <t>Test Duration</t>
        </is>
      </c>
      <c r="R3" s="14" t="inlineStr">
        <is>
          <t>Sample Req.</t>
        </is>
      </c>
      <c r="S3" s="14" t="inlineStr">
        <is>
          <t>Owner</t>
        </is>
      </c>
      <c r="T3" s="14" t="inlineStr">
        <is>
          <t>Start Date</t>
        </is>
      </c>
      <c r="U3" s="14" t="inlineStr">
        <is>
          <t>End Date</t>
        </is>
      </c>
      <c r="V3" s="14" t="inlineStr">
        <is>
          <t>Status</t>
        </is>
      </c>
      <c r="W3" s="14" t="inlineStr">
        <is>
          <t>Result</t>
        </is>
      </c>
      <c r="X3" s="14" t="inlineStr">
        <is>
          <t>Decision</t>
        </is>
      </c>
      <c r="Y3" s="14" t="inlineStr">
        <is>
          <t>Next Step</t>
        </is>
      </c>
    </row>
    <row r="4">
      <c r="A4" s="10" t="inlineStr">
        <is>
          <t>EXP01</t>
        </is>
      </c>
      <c r="B4" s="10" t="n">
        <v>51.2</v>
      </c>
      <c r="C4" s="9" t="inlineStr">
        <is>
          <t>If we phone case attach engine (screen guard + charm + strap), then units per transaction improves for all case buyers because The case is the wedge; a discounted, compatible attach is the single most proven...</t>
        </is>
      </c>
      <c r="D4" s="16" t="inlineStr">
        <is>
          <t>Phone Case Attach Engine (screen guard + charm + strap)</t>
        </is>
      </c>
      <c r="E4" s="16" t="inlineStr">
        <is>
          <t>New &amp; Repeat</t>
        </is>
      </c>
      <c r="F4" s="16" t="inlineStr">
        <is>
          <t>Phone Cases</t>
        </is>
      </c>
      <c r="G4" s="16" t="inlineStr">
        <is>
          <t>1101,1103,1815,1812</t>
        </is>
      </c>
      <c r="H4" s="16" t="inlineStr">
        <is>
          <t>Current experience</t>
        </is>
      </c>
      <c r="I4" s="16" t="inlineStr">
        <is>
          <t>New mechanic</t>
        </is>
      </c>
      <c r="J4" s="16" t="inlineStr">
        <is>
          <t>30-50% off attach items with a case</t>
        </is>
      </c>
      <c r="K4" s="16" t="inlineStr">
        <is>
          <t>PDP below CTA + Cart FBT rail</t>
        </is>
      </c>
      <c r="L4" s="16" t="inlineStr">
        <is>
          <t>Units per Transaction</t>
        </is>
      </c>
      <c r="M4" s="16" t="inlineStr">
        <is>
          <t>AOV</t>
        </is>
      </c>
      <c r="N4" s="16" t="inlineStr">
        <is>
          <t>Case CVR, return rate</t>
        </is>
      </c>
      <c r="O4" s="10" t="inlineStr">
        <is>
          <t>+8-15%</t>
        </is>
      </c>
      <c r="P4" s="10" t="inlineStr">
        <is>
          <t>Easy</t>
        </is>
      </c>
      <c r="Q4" s="10" t="inlineStr">
        <is>
          <t>2-4 wks</t>
        </is>
      </c>
      <c r="R4" s="16" t="inlineStr">
        <is>
          <t>per power calc</t>
        </is>
      </c>
      <c r="S4" s="16" t="inlineStr">
        <is>
          <t>Unassigned</t>
        </is>
      </c>
      <c r="T4" s="16" t="inlineStr"/>
      <c r="U4" s="16" t="inlineStr"/>
      <c r="V4" s="10" t="inlineStr">
        <is>
          <t>Backlog</t>
        </is>
      </c>
      <c r="W4" s="16" t="inlineStr"/>
      <c r="X4" s="16" t="inlineStr"/>
      <c r="Y4" s="16" t="inlineStr"/>
    </row>
    <row r="5">
      <c r="A5" s="20" t="inlineStr">
        <is>
          <t>EXP02</t>
        </is>
      </c>
      <c r="B5" s="20" t="n">
        <v>51.2</v>
      </c>
      <c r="C5" s="25" t="inlineStr">
        <is>
          <t>If we cart &amp; checkout abandonment flow (email+sms+push), then revenue from crm audiences improves for abandoners because Recovering even a small % of the 1.5M checkout-abandoners is large; owned channe...</t>
        </is>
      </c>
      <c r="D5" s="19" t="inlineStr">
        <is>
          <t>Cart &amp; checkout abandonment flow (email+SMS+push)</t>
        </is>
      </c>
      <c r="E5" s="19" t="inlineStr">
        <is>
          <t>High-intent non-purchasers</t>
        </is>
      </c>
      <c r="F5" s="19" t="inlineStr">
        <is>
          <t>Cross-category</t>
        </is>
      </c>
      <c r="G5" s="19" t="inlineStr">
        <is>
          <t>all</t>
        </is>
      </c>
      <c r="H5" s="19" t="inlineStr">
        <is>
          <t>Current experience</t>
        </is>
      </c>
      <c r="I5" s="19" t="inlineStr">
        <is>
          <t>New mechanic</t>
        </is>
      </c>
      <c r="J5" s="19" t="inlineStr">
        <is>
          <t>Reminder; light incentive on step 3</t>
        </is>
      </c>
      <c r="K5" s="19" t="inlineStr">
        <is>
          <t>Email/SMS/Push</t>
        </is>
      </c>
      <c r="L5" s="19" t="inlineStr">
        <is>
          <t>Revenue from CRM audiences</t>
        </is>
      </c>
      <c r="M5" s="19" t="inlineStr">
        <is>
          <t>Checkout Completion</t>
        </is>
      </c>
      <c r="N5" s="19" t="inlineStr">
        <is>
          <t>Unsub rate, discount leakage</t>
        </is>
      </c>
      <c r="O5" s="20" t="inlineStr">
        <is>
          <t>+</t>
        </is>
      </c>
      <c r="P5" s="20" t="inlineStr">
        <is>
          <t>Easy</t>
        </is>
      </c>
      <c r="Q5" s="20" t="inlineStr">
        <is>
          <t>2-4 wks</t>
        </is>
      </c>
      <c r="R5" s="19" t="inlineStr">
        <is>
          <t>per power calc</t>
        </is>
      </c>
      <c r="S5" s="19" t="inlineStr">
        <is>
          <t>Unassigned</t>
        </is>
      </c>
      <c r="T5" s="19" t="inlineStr"/>
      <c r="U5" s="19" t="inlineStr"/>
      <c r="V5" s="20" t="inlineStr">
        <is>
          <t>Backlog</t>
        </is>
      </c>
      <c r="W5" s="19" t="inlineStr"/>
      <c r="X5" s="19" t="inlineStr"/>
      <c r="Y5" s="19" t="inlineStr"/>
    </row>
    <row r="6">
      <c r="A6" s="10" t="inlineStr">
        <is>
          <t>EXP03</t>
        </is>
      </c>
      <c r="B6" s="10" t="n">
        <v>48</v>
      </c>
      <c r="C6" s="9" t="inlineStr">
        <is>
          <t>If we cart low-price add-on rail (impulse skus), then units per transaction improves for all carts because Frictionless one-tap add of a cheap complement is pure incremental margin with z...</t>
        </is>
      </c>
      <c r="D6" s="16" t="inlineStr">
        <is>
          <t>Cart low-price add-on rail (impulse SKUs)</t>
        </is>
      </c>
      <c r="E6" s="16" t="inlineStr">
        <is>
          <t>New &amp; Repeat</t>
        </is>
      </c>
      <c r="F6" s="16" t="inlineStr">
        <is>
          <t>Impulse tech</t>
        </is>
      </c>
      <c r="G6" s="16" t="inlineStr">
        <is>
          <t>1811,1812,1815,1705</t>
        </is>
      </c>
      <c r="H6" s="16" t="inlineStr">
        <is>
          <t>Current experience</t>
        </is>
      </c>
      <c r="I6" s="16" t="inlineStr">
        <is>
          <t>New mechanic</t>
        </is>
      </c>
      <c r="J6" s="16" t="inlineStr">
        <is>
          <t>No discount - convenience placement</t>
        </is>
      </c>
      <c r="K6" s="16" t="inlineStr">
        <is>
          <t>Cart add-on rail</t>
        </is>
      </c>
      <c r="L6" s="16" t="inlineStr">
        <is>
          <t>Units per Transaction</t>
        </is>
      </c>
      <c r="M6" s="16" t="inlineStr">
        <is>
          <t>AOV</t>
        </is>
      </c>
      <c r="N6" s="16" t="inlineStr">
        <is>
          <t>Cart abandonment</t>
        </is>
      </c>
      <c r="O6" s="10" t="inlineStr">
        <is>
          <t>+3-6%</t>
        </is>
      </c>
      <c r="P6" s="10" t="inlineStr">
        <is>
          <t>Very Easy</t>
        </is>
      </c>
      <c r="Q6" s="10" t="inlineStr">
        <is>
          <t>2-4 wks</t>
        </is>
      </c>
      <c r="R6" s="16" t="inlineStr">
        <is>
          <t>per power calc</t>
        </is>
      </c>
      <c r="S6" s="16" t="inlineStr">
        <is>
          <t>Unassigned</t>
        </is>
      </c>
      <c r="T6" s="16" t="inlineStr"/>
      <c r="U6" s="16" t="inlineStr"/>
      <c r="V6" s="10" t="inlineStr">
        <is>
          <t>Backlog</t>
        </is>
      </c>
      <c r="W6" s="16" t="inlineStr"/>
      <c r="X6" s="16" t="inlineStr"/>
      <c r="Y6" s="16" t="inlineStr"/>
    </row>
    <row r="7">
      <c r="A7" s="20" t="inlineStr">
        <is>
          <t>EXP04</t>
        </is>
      </c>
      <c r="B7" s="20" t="n">
        <v>48</v>
      </c>
      <c r="C7" s="25" t="inlineStr">
        <is>
          <t>If we bestseller &amp; high-margin sku prioritisation on plp/home, then conversion rate improves for all browsers because Leading with proven winners raises blended CVR and margin without new traffic....</t>
        </is>
      </c>
      <c r="D7" s="19" t="inlineStr">
        <is>
          <t>Bestseller &amp; high-margin SKU prioritisation on PLP/home</t>
        </is>
      </c>
      <c r="E7" s="19" t="inlineStr">
        <is>
          <t>New &amp; Repeat</t>
        </is>
      </c>
      <c r="F7" s="19" t="inlineStr">
        <is>
          <t>Cross-category</t>
        </is>
      </c>
      <c r="G7" s="19" t="inlineStr">
        <is>
          <t>bestsellers</t>
        </is>
      </c>
      <c r="H7" s="19" t="inlineStr">
        <is>
          <t>Current experience</t>
        </is>
      </c>
      <c r="I7" s="19" t="inlineStr">
        <is>
          <t>New mechanic</t>
        </is>
      </c>
      <c r="J7" s="19" t="inlineStr">
        <is>
          <t>None</t>
        </is>
      </c>
      <c r="K7" s="19" t="inlineStr">
        <is>
          <t>PLP sort + homepage</t>
        </is>
      </c>
      <c r="L7" s="19" t="inlineStr">
        <is>
          <t>Conversion Rate</t>
        </is>
      </c>
      <c r="M7" s="19" t="inlineStr">
        <is>
          <t>Revenue per Visitor</t>
        </is>
      </c>
      <c r="N7" s="19" t="inlineStr">
        <is>
          <t>Long-tail exposure</t>
        </is>
      </c>
      <c r="O7" s="20" t="inlineStr">
        <is>
          <t>+</t>
        </is>
      </c>
      <c r="P7" s="20" t="inlineStr">
        <is>
          <t>Very Easy</t>
        </is>
      </c>
      <c r="Q7" s="20" t="inlineStr">
        <is>
          <t>2-4 wks</t>
        </is>
      </c>
      <c r="R7" s="19" t="inlineStr">
        <is>
          <t>per power calc</t>
        </is>
      </c>
      <c r="S7" s="19" t="inlineStr">
        <is>
          <t>Unassigned</t>
        </is>
      </c>
      <c r="T7" s="19" t="inlineStr"/>
      <c r="U7" s="19" t="inlineStr"/>
      <c r="V7" s="20" t="inlineStr">
        <is>
          <t>Backlog</t>
        </is>
      </c>
      <c r="W7" s="19" t="inlineStr"/>
      <c r="X7" s="19" t="inlineStr"/>
      <c r="Y7" s="19" t="inlineStr"/>
    </row>
    <row r="8">
      <c r="A8" s="10" t="inlineStr">
        <is>
          <t>EXP05</t>
        </is>
      </c>
      <c r="B8" s="10" t="n">
        <v>41</v>
      </c>
      <c r="C8" s="9" t="inlineStr">
        <is>
          <t>If we prepaid free-shipping + rs79 cod-fee reframing, then checkout completion improves for cod-inclined shoppers because Shifting COD-&gt;prepaid cuts RTO cost and lifts contribution margin more than the ...</t>
        </is>
      </c>
      <c r="D8" s="16" t="inlineStr">
        <is>
          <t>Prepaid free-shipping + Rs79 COD-fee reframing</t>
        </is>
      </c>
      <c r="E8" s="16" t="inlineStr">
        <is>
          <t>New</t>
        </is>
      </c>
      <c r="F8" s="16" t="inlineStr">
        <is>
          <t>Cross-category</t>
        </is>
      </c>
      <c r="G8" s="16" t="inlineStr">
        <is>
          <t>all</t>
        </is>
      </c>
      <c r="H8" s="16" t="inlineStr">
        <is>
          <t>Current experience</t>
        </is>
      </c>
      <c r="I8" s="16" t="inlineStr">
        <is>
          <t>New mechanic</t>
        </is>
      </c>
      <c r="J8" s="16" t="inlineStr">
        <is>
          <t>Free ship + waive COD fee on prepaid</t>
        </is>
      </c>
      <c r="K8" s="16" t="inlineStr">
        <is>
          <t>Cart + Checkout</t>
        </is>
      </c>
      <c r="L8" s="16" t="inlineStr">
        <is>
          <t>Checkout Completion</t>
        </is>
      </c>
      <c r="M8" s="16" t="inlineStr">
        <is>
          <t>Contribution margin</t>
        </is>
      </c>
      <c r="N8" s="16" t="inlineStr">
        <is>
          <t>Overall CVR</t>
        </is>
      </c>
      <c r="O8" s="10" t="inlineStr">
        <is>
          <t>+</t>
        </is>
      </c>
      <c r="P8" s="10" t="inlineStr">
        <is>
          <t>Easy</t>
        </is>
      </c>
      <c r="Q8" s="10" t="inlineStr">
        <is>
          <t>2-4 wks</t>
        </is>
      </c>
      <c r="R8" s="16" t="inlineStr">
        <is>
          <t>per power calc</t>
        </is>
      </c>
      <c r="S8" s="16" t="inlineStr">
        <is>
          <t>Unassigned</t>
        </is>
      </c>
      <c r="T8" s="16" t="inlineStr"/>
      <c r="U8" s="16" t="inlineStr"/>
      <c r="V8" s="10" t="inlineStr">
        <is>
          <t>Backlog</t>
        </is>
      </c>
      <c r="W8" s="16" t="inlineStr"/>
      <c r="X8" s="16" t="inlineStr"/>
      <c r="Y8" s="16" t="inlineStr"/>
    </row>
    <row r="9">
      <c r="A9" s="20" t="inlineStr">
        <is>
          <t>EXP06</t>
        </is>
      </c>
      <c r="B9" s="20" t="n">
        <v>32.8</v>
      </c>
      <c r="C9" s="25" t="inlineStr">
        <is>
          <t>If we power bank + magsafe case cross-sell bundle, then cross-category purchase improves for power-bank &amp; magsafe shoppers because Qi2/MagSafe interoperability is a real functional reason to pair; premium buyers...</t>
        </is>
      </c>
      <c r="D9" s="19" t="inlineStr">
        <is>
          <t>Power Bank + MagSafe Case cross-sell bundle</t>
        </is>
      </c>
      <c r="E9" s="19" t="inlineStr">
        <is>
          <t>New &amp; Repeat</t>
        </is>
      </c>
      <c r="F9" s="19" t="inlineStr">
        <is>
          <t>Power Banks</t>
        </is>
      </c>
      <c r="G9" s="19" t="inlineStr">
        <is>
          <t>1809,1103</t>
        </is>
      </c>
      <c r="H9" s="19" t="inlineStr">
        <is>
          <t>Current experience</t>
        </is>
      </c>
      <c r="I9" s="19" t="inlineStr">
        <is>
          <t>New mechanic</t>
        </is>
      </c>
      <c r="J9" s="19" t="inlineStr">
        <is>
          <t>Bundle -10% vs buying separately</t>
        </is>
      </c>
      <c r="K9" s="19" t="inlineStr">
        <is>
          <t>PDP FBT + Cart</t>
        </is>
      </c>
      <c r="L9" s="19" t="inlineStr">
        <is>
          <t>Cross-category Purchase</t>
        </is>
      </c>
      <c r="M9" s="19" t="inlineStr">
        <is>
          <t>AOV</t>
        </is>
      </c>
      <c r="N9" s="19" t="inlineStr">
        <is>
          <t>Power bank CVR</t>
        </is>
      </c>
      <c r="O9" s="20" t="inlineStr">
        <is>
          <t>+10-18%</t>
        </is>
      </c>
      <c r="P9" s="20" t="inlineStr">
        <is>
          <t>Easy</t>
        </is>
      </c>
      <c r="Q9" s="20" t="inlineStr">
        <is>
          <t>2-4 wks</t>
        </is>
      </c>
      <c r="R9" s="19" t="inlineStr">
        <is>
          <t>per power calc</t>
        </is>
      </c>
      <c r="S9" s="19" t="inlineStr">
        <is>
          <t>Unassigned</t>
        </is>
      </c>
      <c r="T9" s="19" t="inlineStr"/>
      <c r="U9" s="19" t="inlineStr"/>
      <c r="V9" s="20" t="inlineStr">
        <is>
          <t>Backlog</t>
        </is>
      </c>
      <c r="W9" s="19" t="inlineStr"/>
      <c r="X9" s="19" t="inlineStr"/>
      <c r="Y9" s="19" t="inlineStr"/>
    </row>
    <row r="10">
      <c r="A10" s="10" t="inlineStr">
        <is>
          <t>EXP07</t>
        </is>
      </c>
      <c r="B10" s="10" t="n">
        <v>32.8</v>
      </c>
      <c r="C10" s="9" t="inlineStr">
        <is>
          <t>If we watch-band multi-pack ('band wardrobe'), then units per transaction improves for watch-band shoppers because Bands are a wardrobe item (match outfit/occasion); multi-buy escalators convert ...</t>
        </is>
      </c>
      <c r="D10" s="16" t="inlineStr">
        <is>
          <t>Watch-band multi-pack ('Band Wardrobe')</t>
        </is>
      </c>
      <c r="E10" s="16" t="inlineStr">
        <is>
          <t>New &amp; Repeat</t>
        </is>
      </c>
      <c r="F10" s="16" t="inlineStr">
        <is>
          <t>Apple Watch Bands</t>
        </is>
      </c>
      <c r="G10" s="16" t="inlineStr">
        <is>
          <t>1801</t>
        </is>
      </c>
      <c r="H10" s="16" t="inlineStr">
        <is>
          <t>Current experience</t>
        </is>
      </c>
      <c r="I10" s="16" t="inlineStr">
        <is>
          <t>New mechanic</t>
        </is>
      </c>
      <c r="J10" s="16" t="inlineStr">
        <is>
          <t>Buy 2 -15%, 3+ -20%</t>
        </is>
      </c>
      <c r="K10" s="16" t="inlineStr">
        <is>
          <t>PDP selector + PLP banner</t>
        </is>
      </c>
      <c r="L10" s="16" t="inlineStr">
        <is>
          <t>Units per Transaction</t>
        </is>
      </c>
      <c r="M10" s="16" t="inlineStr">
        <is>
          <t>AOV</t>
        </is>
      </c>
      <c r="N10" s="16" t="inlineStr">
        <is>
          <t>Band margin</t>
        </is>
      </c>
      <c r="O10" s="10" t="inlineStr">
        <is>
          <t>+12-20%</t>
        </is>
      </c>
      <c r="P10" s="10" t="inlineStr">
        <is>
          <t>Easy</t>
        </is>
      </c>
      <c r="Q10" s="10" t="inlineStr">
        <is>
          <t>2-4 wks</t>
        </is>
      </c>
      <c r="R10" s="16" t="inlineStr">
        <is>
          <t>per power calc</t>
        </is>
      </c>
      <c r="S10" s="16" t="inlineStr">
        <is>
          <t>Unassigned</t>
        </is>
      </c>
      <c r="T10" s="16" t="inlineStr"/>
      <c r="U10" s="16" t="inlineStr"/>
      <c r="V10" s="10" t="inlineStr">
        <is>
          <t>Backlog</t>
        </is>
      </c>
      <c r="W10" s="16" t="inlineStr"/>
      <c r="X10" s="16" t="inlineStr"/>
      <c r="Y10" s="16" t="inlineStr"/>
    </row>
    <row r="11">
      <c r="A11" s="20" t="inlineStr">
        <is>
          <t>EXP08</t>
        </is>
      </c>
      <c r="B11" s="20" t="n">
        <v>30.7</v>
      </c>
      <c r="C11" s="25" t="inlineStr">
        <is>
          <t>If we reviews &amp; ugc amplification on high-traffic pdps, then conversion rate improves for pdp visitors because Photo reviews + compatibility Q&amp;A directly reduce the doubts that stall accessor...</t>
        </is>
      </c>
      <c r="D11" s="19" t="inlineStr">
        <is>
          <t>Reviews &amp; UGC amplification on high-traffic PDPs</t>
        </is>
      </c>
      <c r="E11" s="19" t="inlineStr">
        <is>
          <t>New</t>
        </is>
      </c>
      <c r="F11" s="19" t="inlineStr">
        <is>
          <t>Cross-category</t>
        </is>
      </c>
      <c r="G11" s="19" t="inlineStr">
        <is>
          <t>top PDPs</t>
        </is>
      </c>
      <c r="H11" s="19" t="inlineStr">
        <is>
          <t>Current experience</t>
        </is>
      </c>
      <c r="I11" s="19" t="inlineStr">
        <is>
          <t>New mechanic</t>
        </is>
      </c>
      <c r="J11" s="19" t="inlineStr">
        <is>
          <t>None</t>
        </is>
      </c>
      <c r="K11" s="19" t="inlineStr">
        <is>
          <t>PDP</t>
        </is>
      </c>
      <c r="L11" s="19" t="inlineStr">
        <is>
          <t>Conversion Rate</t>
        </is>
      </c>
      <c r="M11" s="19" t="inlineStr">
        <is>
          <t>New User Conversion</t>
        </is>
      </c>
      <c r="N11" s="19" t="inlineStr">
        <is>
          <t>Review authenticity</t>
        </is>
      </c>
      <c r="O11" s="20" t="inlineStr">
        <is>
          <t>+</t>
        </is>
      </c>
      <c r="P11" s="20" t="inlineStr">
        <is>
          <t>Easy</t>
        </is>
      </c>
      <c r="Q11" s="20" t="inlineStr">
        <is>
          <t>2-4 wks</t>
        </is>
      </c>
      <c r="R11" s="19" t="inlineStr">
        <is>
          <t>per power calc</t>
        </is>
      </c>
      <c r="S11" s="19" t="inlineStr">
        <is>
          <t>Unassigned</t>
        </is>
      </c>
      <c r="T11" s="19" t="inlineStr"/>
      <c r="U11" s="19" t="inlineStr"/>
      <c r="V11" s="20" t="inlineStr">
        <is>
          <t>Backlog</t>
        </is>
      </c>
      <c r="W11" s="19" t="inlineStr"/>
      <c r="X11" s="19" t="inlineStr"/>
      <c r="Y11" s="19" t="inlineStr"/>
    </row>
    <row r="12">
      <c r="A12" s="10" t="inlineStr">
        <is>
          <t>EXP09</t>
        </is>
      </c>
      <c r="B12" s="10" t="n">
        <v>30.7</v>
      </c>
      <c r="C12" s="9" t="inlineStr">
        <is>
          <t>If we prepaid-only deeper offer to convert cod share, then contribution margin improves for cod-preferring because Shifting COD-&gt;prepaid saves RTO/logistics cost that exceeds the incentive - net ...</t>
        </is>
      </c>
      <c r="D12" s="16" t="inlineStr">
        <is>
          <t>Prepaid-only deeper offer to convert COD share</t>
        </is>
      </c>
      <c r="E12" s="16" t="inlineStr">
        <is>
          <t>New</t>
        </is>
      </c>
      <c r="F12" s="16" t="inlineStr">
        <is>
          <t>Cross-category</t>
        </is>
      </c>
      <c r="G12" s="16" t="inlineStr">
        <is>
          <t>all</t>
        </is>
      </c>
      <c r="H12" s="16" t="inlineStr">
        <is>
          <t>Current experience</t>
        </is>
      </c>
      <c r="I12" s="16" t="inlineStr">
        <is>
          <t>New mechanic</t>
        </is>
      </c>
      <c r="J12" s="16" t="inlineStr">
        <is>
          <t>Prepaid-only extra 5% / gift</t>
        </is>
      </c>
      <c r="K12" s="16" t="inlineStr">
        <is>
          <t>Checkout</t>
        </is>
      </c>
      <c r="L12" s="16" t="inlineStr">
        <is>
          <t>Contribution margin</t>
        </is>
      </c>
      <c r="M12" s="16" t="inlineStr">
        <is>
          <t>Checkout Completion</t>
        </is>
      </c>
      <c r="N12" s="16" t="inlineStr">
        <is>
          <t>Overall CVR</t>
        </is>
      </c>
      <c r="O12" s="10" t="inlineStr">
        <is>
          <t>Neutral</t>
        </is>
      </c>
      <c r="P12" s="10" t="inlineStr">
        <is>
          <t>Easy</t>
        </is>
      </c>
      <c r="Q12" s="10" t="inlineStr">
        <is>
          <t>2-4 wks</t>
        </is>
      </c>
      <c r="R12" s="16" t="inlineStr">
        <is>
          <t>per power calc</t>
        </is>
      </c>
      <c r="S12" s="16" t="inlineStr">
        <is>
          <t>Unassigned</t>
        </is>
      </c>
      <c r="T12" s="16" t="inlineStr"/>
      <c r="U12" s="16" t="inlineStr"/>
      <c r="V12" s="10" t="inlineStr">
        <is>
          <t>Backlog</t>
        </is>
      </c>
      <c r="W12" s="16" t="inlineStr"/>
      <c r="X12" s="16" t="inlineStr"/>
      <c r="Y12" s="16" t="inlineStr"/>
    </row>
    <row r="13">
      <c r="A13" s="20" t="inlineStr">
        <is>
          <t>EXP10</t>
        </is>
      </c>
      <c r="B13" s="20" t="n">
        <v>28.8</v>
      </c>
      <c r="C13" s="25" t="inlineStr">
        <is>
          <t>If we express/1-tap payment (upi intent, wallets, tokenised cards), then checkout completion improves for all checkout because A large share of the payment-stage drop is failed/abandoned payment, directly re...</t>
        </is>
      </c>
      <c r="D13" s="19" t="inlineStr">
        <is>
          <t>Express/1-tap payment (UPI intent, wallets, tokenised cards)</t>
        </is>
      </c>
      <c r="E13" s="19" t="inlineStr">
        <is>
          <t>New &amp; Repeat</t>
        </is>
      </c>
      <c r="F13" s="19" t="inlineStr">
        <is>
          <t>Cross-category</t>
        </is>
      </c>
      <c r="G13" s="19" t="inlineStr">
        <is>
          <t>all</t>
        </is>
      </c>
      <c r="H13" s="19" t="inlineStr">
        <is>
          <t>Current experience</t>
        </is>
      </c>
      <c r="I13" s="19" t="inlineStr">
        <is>
          <t>New mechanic</t>
        </is>
      </c>
      <c r="J13" s="19" t="inlineStr">
        <is>
          <t>None</t>
        </is>
      </c>
      <c r="K13" s="19" t="inlineStr">
        <is>
          <t>Payment page</t>
        </is>
      </c>
      <c r="L13" s="19" t="inlineStr">
        <is>
          <t>Checkout Completion</t>
        </is>
      </c>
      <c r="M13" s="19" t="inlineStr">
        <is>
          <t>Revenue per Visitor</t>
        </is>
      </c>
      <c r="N13" s="19" t="inlineStr">
        <is>
          <t>Fraud, chargebacks</t>
        </is>
      </c>
      <c r="O13" s="20" t="inlineStr">
        <is>
          <t>++</t>
        </is>
      </c>
      <c r="P13" s="20" t="inlineStr">
        <is>
          <t>Moderate</t>
        </is>
      </c>
      <c r="Q13" s="20" t="inlineStr">
        <is>
          <t>2-4 wks</t>
        </is>
      </c>
      <c r="R13" s="19" t="inlineStr">
        <is>
          <t>per power calc</t>
        </is>
      </c>
      <c r="S13" s="19" t="inlineStr">
        <is>
          <t>Unassigned</t>
        </is>
      </c>
      <c r="T13" s="19" t="inlineStr"/>
      <c r="U13" s="19" t="inlineStr"/>
      <c r="V13" s="20" t="inlineStr">
        <is>
          <t>Backlog</t>
        </is>
      </c>
      <c r="W13" s="19" t="inlineStr"/>
      <c r="X13" s="19" t="inlineStr"/>
      <c r="Y13" s="19" t="inlineStr"/>
    </row>
    <row r="14">
      <c r="A14" s="10" t="inlineStr">
        <is>
          <t>EXP11</t>
        </is>
      </c>
      <c r="B14" s="10" t="n">
        <v>24.6</v>
      </c>
      <c r="C14" s="9" t="inlineStr">
        <is>
          <t>If we second-order accelerator coupon on thank-you + email, then repeat purchase improves for first-order buyers because The O1-&gt;O2 jump is the highest-leverage retention moment; a bounded incentive pu...</t>
        </is>
      </c>
      <c r="D14" s="16" t="inlineStr">
        <is>
          <t>Second-order accelerator coupon on thank-you + email</t>
        </is>
      </c>
      <c r="E14" s="16" t="inlineStr">
        <is>
          <t>O1</t>
        </is>
      </c>
      <c r="F14" s="16" t="inlineStr">
        <is>
          <t>Cross-category</t>
        </is>
      </c>
      <c r="G14" s="16" t="inlineStr">
        <is>
          <t>all</t>
        </is>
      </c>
      <c r="H14" s="16" t="inlineStr">
        <is>
          <t>Current experience</t>
        </is>
      </c>
      <c r="I14" s="16" t="inlineStr">
        <is>
          <t>New mechanic</t>
        </is>
      </c>
      <c r="J14" s="16" t="inlineStr">
        <is>
          <t>Rs200 off next order in 30 days (min Rs1,499)</t>
        </is>
      </c>
      <c r="K14" s="16" t="inlineStr">
        <is>
          <t>Thank-you + email/SMS</t>
        </is>
      </c>
      <c r="L14" s="16" t="inlineStr">
        <is>
          <t>Repeat Purchase</t>
        </is>
      </c>
      <c r="M14" s="16" t="inlineStr">
        <is>
          <t>O1-&gt;O2 rate</t>
        </is>
      </c>
      <c r="N14" s="16" t="inlineStr">
        <is>
          <t>Margin, redemption cannibalisation</t>
        </is>
      </c>
      <c r="O14" s="10" t="inlineStr">
        <is>
          <t>Neutral</t>
        </is>
      </c>
      <c r="P14" s="10" t="inlineStr">
        <is>
          <t>Easy</t>
        </is>
      </c>
      <c r="Q14" s="10" t="inlineStr">
        <is>
          <t>2-4 wks</t>
        </is>
      </c>
      <c r="R14" s="16" t="inlineStr">
        <is>
          <t>per power calc</t>
        </is>
      </c>
      <c r="S14" s="16" t="inlineStr">
        <is>
          <t>Unassigned</t>
        </is>
      </c>
      <c r="T14" s="16" t="inlineStr"/>
      <c r="U14" s="16" t="inlineStr"/>
      <c r="V14" s="10" t="inlineStr">
        <is>
          <t>Backlog</t>
        </is>
      </c>
      <c r="W14" s="16" t="inlineStr"/>
      <c r="X14" s="16" t="inlineStr"/>
      <c r="Y14" s="16" t="inlineStr"/>
    </row>
    <row r="15">
      <c r="A15" s="20" t="inlineStr">
        <is>
          <t>EXP12</t>
        </is>
      </c>
      <c r="B15" s="20" t="n">
        <v>24.6</v>
      </c>
      <c r="C15" s="25" t="inlineStr">
        <is>
          <t>If we first-order offer clarity + email/phone capture popup, then new user conversion improves for new visitors because First-order clarity + capture both lifts new CVR and builds the owned audience t...</t>
        </is>
      </c>
      <c r="D15" s="19" t="inlineStr">
        <is>
          <t>First-order offer clarity + email/phone capture popup</t>
        </is>
      </c>
      <c r="E15" s="19" t="inlineStr">
        <is>
          <t>New</t>
        </is>
      </c>
      <c r="F15" s="19" t="inlineStr">
        <is>
          <t>Cross-category</t>
        </is>
      </c>
      <c r="G15" s="19" t="inlineStr">
        <is>
          <t>all</t>
        </is>
      </c>
      <c r="H15" s="19" t="inlineStr">
        <is>
          <t>Current experience</t>
        </is>
      </c>
      <c r="I15" s="19" t="inlineStr">
        <is>
          <t>New mechanic</t>
        </is>
      </c>
      <c r="J15" s="19" t="inlineStr">
        <is>
          <t>WELCOME300 (Rs300 off &gt; Rs2,299)</t>
        </is>
      </c>
      <c r="K15" s="19" t="inlineStr">
        <is>
          <t>Popup + sticky bar + LP</t>
        </is>
      </c>
      <c r="L15" s="19" t="inlineStr">
        <is>
          <t>New User Conversion</t>
        </is>
      </c>
      <c r="M15" s="19" t="inlineStr">
        <is>
          <t>Revenue from CRM audiences</t>
        </is>
      </c>
      <c r="N15" s="19" t="inlineStr">
        <is>
          <t>Discount on would-buy-anyway</t>
        </is>
      </c>
      <c r="O15" s="20" t="inlineStr">
        <is>
          <t>+</t>
        </is>
      </c>
      <c r="P15" s="20" t="inlineStr">
        <is>
          <t>Easy</t>
        </is>
      </c>
      <c r="Q15" s="20" t="inlineStr">
        <is>
          <t>2-4 wks</t>
        </is>
      </c>
      <c r="R15" s="19" t="inlineStr">
        <is>
          <t>per power calc</t>
        </is>
      </c>
      <c r="S15" s="19" t="inlineStr">
        <is>
          <t>Unassigned</t>
        </is>
      </c>
      <c r="T15" s="19" t="inlineStr"/>
      <c r="U15" s="19" t="inlineStr"/>
      <c r="V15" s="20" t="inlineStr">
        <is>
          <t>Backlog</t>
        </is>
      </c>
      <c r="W15" s="19" t="inlineStr"/>
      <c r="X15" s="19" t="inlineStr"/>
      <c r="Y15" s="19" t="inlineStr"/>
    </row>
    <row r="16">
      <c r="A16" s="10" t="inlineStr">
        <is>
          <t>EXP13</t>
        </is>
      </c>
      <c r="B16" s="10" t="n">
        <v>24.6</v>
      </c>
      <c r="C16" s="9" t="inlineStr">
        <is>
          <t>If we return/exchange-friendly messaging to unlock high-consideration bags, then conversion rate improves for bag shoppers because Premium bag hesitation is about risk; explicit reversal is Mokobara's proven unl...</t>
        </is>
      </c>
      <c r="D16" s="16" t="inlineStr">
        <is>
          <t>Return/exchange-friendly messaging to unlock high-consideration bags</t>
        </is>
      </c>
      <c r="E16" s="16" t="inlineStr">
        <is>
          <t>New</t>
        </is>
      </c>
      <c r="F16" s="16" t="inlineStr">
        <is>
          <t>Backpacks</t>
        </is>
      </c>
      <c r="G16" s="16" t="inlineStr">
        <is>
          <t>1201,1202</t>
        </is>
      </c>
      <c r="H16" s="16" t="inlineStr">
        <is>
          <t>Current experience</t>
        </is>
      </c>
      <c r="I16" s="16" t="inlineStr">
        <is>
          <t>New mechanic</t>
        </is>
      </c>
      <c r="J16" s="16" t="inlineStr">
        <is>
          <t>Trial/returns reassurance</t>
        </is>
      </c>
      <c r="K16" s="16" t="inlineStr">
        <is>
          <t>Bag PDPs</t>
        </is>
      </c>
      <c r="L16" s="16" t="inlineStr">
        <is>
          <t>Conversion Rate</t>
        </is>
      </c>
      <c r="M16" s="16" t="inlineStr">
        <is>
          <t>Category Penetration</t>
        </is>
      </c>
      <c r="N16" s="16" t="inlineStr">
        <is>
          <t>Return rate</t>
        </is>
      </c>
      <c r="O16" s="10" t="inlineStr">
        <is>
          <t>+</t>
        </is>
      </c>
      <c r="P16" s="10" t="inlineStr">
        <is>
          <t>Easy</t>
        </is>
      </c>
      <c r="Q16" s="10" t="inlineStr">
        <is>
          <t>2-4 wks</t>
        </is>
      </c>
      <c r="R16" s="16" t="inlineStr">
        <is>
          <t>per power calc</t>
        </is>
      </c>
      <c r="S16" s="16" t="inlineStr">
        <is>
          <t>Unassigned</t>
        </is>
      </c>
      <c r="T16" s="16" t="inlineStr"/>
      <c r="U16" s="16" t="inlineStr"/>
      <c r="V16" s="10" t="inlineStr">
        <is>
          <t>Backlog</t>
        </is>
      </c>
      <c r="W16" s="16" t="inlineStr"/>
      <c r="X16" s="16" t="inlineStr"/>
      <c r="Y16" s="16" t="inlineStr"/>
    </row>
    <row r="17">
      <c r="A17" s="20" t="inlineStr">
        <is>
          <t>EXP14</t>
        </is>
      </c>
      <c r="B17" s="20" t="n">
        <v>23</v>
      </c>
      <c r="C17" s="25" t="inlineStr">
        <is>
          <t>If we occasion &amp; gifting bundles (diwali/rakhi/wedding/corporate), then category penetration improves for gift shoppers because Gifting converts new users at higher AOV, is margin-friendly (packaging add-on) ...</t>
        </is>
      </c>
      <c r="D17" s="19" t="inlineStr">
        <is>
          <t>Occasion &amp; gifting bundles (Diwali/Rakhi/wedding/corporate)</t>
        </is>
      </c>
      <c r="E17" s="19" t="inlineStr">
        <is>
          <t>New</t>
        </is>
      </c>
      <c r="F17" s="19" t="inlineStr">
        <is>
          <t>Gifting</t>
        </is>
      </c>
      <c r="G17" s="19" t="inlineStr">
        <is>
          <t>1600,1604</t>
        </is>
      </c>
      <c r="H17" s="19" t="inlineStr">
        <is>
          <t>Current experience</t>
        </is>
      </c>
      <c r="I17" s="19" t="inlineStr">
        <is>
          <t>New mechanic</t>
        </is>
      </c>
      <c r="J17" s="19" t="inlineStr">
        <is>
          <t>Curated bundles + paid gift packaging</t>
        </is>
      </c>
      <c r="K17" s="19" t="inlineStr">
        <is>
          <t>Gifting hub + homepage banner</t>
        </is>
      </c>
      <c r="L17" s="19" t="inlineStr">
        <is>
          <t>Category Penetration</t>
        </is>
      </c>
      <c r="M17" s="19" t="inlineStr">
        <is>
          <t>New User Conversion</t>
        </is>
      </c>
      <c r="N17" s="19" t="inlineStr">
        <is>
          <t>Margin</t>
        </is>
      </c>
      <c r="O17" s="20" t="inlineStr">
        <is>
          <t>+high</t>
        </is>
      </c>
      <c r="P17" s="20" t="inlineStr">
        <is>
          <t>Moderate</t>
        </is>
      </c>
      <c r="Q17" s="20" t="inlineStr">
        <is>
          <t>2-4 wks</t>
        </is>
      </c>
      <c r="R17" s="19" t="inlineStr">
        <is>
          <t>per power calc</t>
        </is>
      </c>
      <c r="S17" s="19" t="inlineStr">
        <is>
          <t>Unassigned</t>
        </is>
      </c>
      <c r="T17" s="19" t="inlineStr"/>
      <c r="U17" s="19" t="inlineStr"/>
      <c r="V17" s="20" t="inlineStr">
        <is>
          <t>Backlog</t>
        </is>
      </c>
      <c r="W17" s="19" t="inlineStr"/>
      <c r="X17" s="19" t="inlineStr"/>
      <c r="Y17" s="19" t="inlineStr"/>
    </row>
    <row r="18">
      <c r="A18" s="10" t="inlineStr">
        <is>
          <t>EXP15</t>
        </is>
      </c>
      <c r="B18" s="10" t="n">
        <v>23</v>
      </c>
      <c r="C18" s="9" t="inlineStr">
        <is>
          <t>If we pdp 'frequently bought together' module (data-driven), then units per transaction improves for all pdp visitors because FBT is the highest-ROI PDP module in ecommerce; personalising it to real affinit...</t>
        </is>
      </c>
      <c r="D18" s="16" t="inlineStr">
        <is>
          <t>PDP 'Frequently Bought Together' module (data-driven)</t>
        </is>
      </c>
      <c r="E18" s="16" t="inlineStr">
        <is>
          <t>New &amp; Repeat</t>
        </is>
      </c>
      <c r="F18" s="16" t="inlineStr">
        <is>
          <t>Cross-category</t>
        </is>
      </c>
      <c r="G18" s="16" t="inlineStr">
        <is>
          <t>all top PDPs</t>
        </is>
      </c>
      <c r="H18" s="16" t="inlineStr">
        <is>
          <t>Current experience</t>
        </is>
      </c>
      <c r="I18" s="16" t="inlineStr">
        <is>
          <t>New mechanic</t>
        </is>
      </c>
      <c r="J18" s="16" t="inlineStr">
        <is>
          <t>Optional small combo saving</t>
        </is>
      </c>
      <c r="K18" s="16" t="inlineStr">
        <is>
          <t>PDP below CTA</t>
        </is>
      </c>
      <c r="L18" s="16" t="inlineStr">
        <is>
          <t>Units per Transaction</t>
        </is>
      </c>
      <c r="M18" s="16" t="inlineStr">
        <is>
          <t>Cross-category Purchase</t>
        </is>
      </c>
      <c r="N18" s="16" t="inlineStr">
        <is>
          <t>PDP load time</t>
        </is>
      </c>
      <c r="O18" s="10" t="inlineStr">
        <is>
          <t>+5-10%</t>
        </is>
      </c>
      <c r="P18" s="10" t="inlineStr">
        <is>
          <t>Moderate</t>
        </is>
      </c>
      <c r="Q18" s="10" t="inlineStr">
        <is>
          <t>2-4 wks</t>
        </is>
      </c>
      <c r="R18" s="16" t="inlineStr">
        <is>
          <t>per power calc</t>
        </is>
      </c>
      <c r="S18" s="16" t="inlineStr">
        <is>
          <t>Unassigned</t>
        </is>
      </c>
      <c r="T18" s="16" t="inlineStr"/>
      <c r="U18" s="16" t="inlineStr"/>
      <c r="V18" s="10" t="inlineStr">
        <is>
          <t>Backlog</t>
        </is>
      </c>
      <c r="W18" s="16" t="inlineStr"/>
      <c r="X18" s="16" t="inlineStr"/>
      <c r="Y18" s="16" t="inlineStr"/>
    </row>
    <row r="19">
      <c r="A19" s="20" t="inlineStr">
        <is>
          <t>EXP16</t>
        </is>
      </c>
      <c r="B19" s="20" t="n">
        <v>23</v>
      </c>
      <c r="C19" s="25" t="inlineStr">
        <is>
          <t>If we pdp trust + urgency pack (reviews, delivery eta, low-stock, payment offers), then conversion rate improves for all pdp visitors (esp new) because New visitors need trust + certainty; concrete delivery dates and real scarcity a...</t>
        </is>
      </c>
      <c r="D19" s="19" t="inlineStr">
        <is>
          <t>PDP trust + urgency pack (reviews, delivery ETA, low-stock, payment offers)</t>
        </is>
      </c>
      <c r="E19" s="19" t="inlineStr">
        <is>
          <t>New</t>
        </is>
      </c>
      <c r="F19" s="19" t="inlineStr">
        <is>
          <t>Cross-category</t>
        </is>
      </c>
      <c r="G19" s="19" t="inlineStr">
        <is>
          <t>all</t>
        </is>
      </c>
      <c r="H19" s="19" t="inlineStr">
        <is>
          <t>Current experience</t>
        </is>
      </c>
      <c r="I19" s="19" t="inlineStr">
        <is>
          <t>New mechanic</t>
        </is>
      </c>
      <c r="J19" s="19" t="inlineStr">
        <is>
          <t>Communicate existing offers</t>
        </is>
      </c>
      <c r="K19" s="19" t="inlineStr">
        <is>
          <t>PDP above fold</t>
        </is>
      </c>
      <c r="L19" s="19" t="inlineStr">
        <is>
          <t>Conversion Rate</t>
        </is>
      </c>
      <c r="M19" s="19" t="inlineStr">
        <is>
          <t>New User Conversion</t>
        </is>
      </c>
      <c r="N19" s="19" t="inlineStr">
        <is>
          <t>Bounce, returns</t>
        </is>
      </c>
      <c r="O19" s="20" t="inlineStr">
        <is>
          <t>+</t>
        </is>
      </c>
      <c r="P19" s="20" t="inlineStr">
        <is>
          <t>Moderate</t>
        </is>
      </c>
      <c r="Q19" s="20" t="inlineStr">
        <is>
          <t>2-4 wks</t>
        </is>
      </c>
      <c r="R19" s="19" t="inlineStr">
        <is>
          <t>per power calc</t>
        </is>
      </c>
      <c r="S19" s="19" t="inlineStr">
        <is>
          <t>Unassigned</t>
        </is>
      </c>
      <c r="T19" s="19" t="inlineStr"/>
      <c r="U19" s="19" t="inlineStr"/>
      <c r="V19" s="20" t="inlineStr">
        <is>
          <t>Backlog</t>
        </is>
      </c>
      <c r="W19" s="19" t="inlineStr"/>
      <c r="X19" s="19" t="inlineStr"/>
      <c r="Y19" s="19" t="inlineStr"/>
    </row>
    <row r="20">
      <c r="A20" s="10" t="inlineStr">
        <is>
          <t>EXP17</t>
        </is>
      </c>
      <c r="B20" s="10" t="n">
        <v>23</v>
      </c>
      <c r="C20" s="9" t="inlineStr">
        <is>
          <t>If we price anchoring &amp; 'you save' on mrp-discount skus, then conversion rate improves for deal-sensitive shoppers because Making the existing saving explicit increases perceived value at zero extra cost...</t>
        </is>
      </c>
      <c r="D20" s="16" t="inlineStr">
        <is>
          <t>Price anchoring &amp; 'you save' on MRP-discount SKUs</t>
        </is>
      </c>
      <c r="E20" s="16" t="inlineStr">
        <is>
          <t>New</t>
        </is>
      </c>
      <c r="F20" s="16" t="inlineStr">
        <is>
          <t>Phone Cases</t>
        </is>
      </c>
      <c r="G20" s="16" t="inlineStr">
        <is>
          <t>1101,1103</t>
        </is>
      </c>
      <c r="H20" s="16" t="inlineStr">
        <is>
          <t>Current experience</t>
        </is>
      </c>
      <c r="I20" s="16" t="inlineStr">
        <is>
          <t>New mechanic</t>
        </is>
      </c>
      <c r="J20" s="16" t="inlineStr">
        <is>
          <t>Communicate existing MRP discount</t>
        </is>
      </c>
      <c r="K20" s="16" t="inlineStr">
        <is>
          <t>PDP/PLP/Cart</t>
        </is>
      </c>
      <c r="L20" s="16" t="inlineStr">
        <is>
          <t>Conversion Rate</t>
        </is>
      </c>
      <c r="M20" s="16" t="inlineStr">
        <is>
          <t>AOV</t>
        </is>
      </c>
      <c r="N20" s="16" t="inlineStr">
        <is>
          <t>Margin mix</t>
        </is>
      </c>
      <c r="O20" s="10" t="inlineStr">
        <is>
          <t>+</t>
        </is>
      </c>
      <c r="P20" s="10" t="inlineStr">
        <is>
          <t>Easy</t>
        </is>
      </c>
      <c r="Q20" s="10" t="inlineStr">
        <is>
          <t>2-4 wks</t>
        </is>
      </c>
      <c r="R20" s="16" t="inlineStr">
        <is>
          <t>per power calc</t>
        </is>
      </c>
      <c r="S20" s="16" t="inlineStr">
        <is>
          <t>Unassigned</t>
        </is>
      </c>
      <c r="T20" s="16" t="inlineStr"/>
      <c r="U20" s="16" t="inlineStr"/>
      <c r="V20" s="10" t="inlineStr">
        <is>
          <t>Backlog</t>
        </is>
      </c>
      <c r="W20" s="16" t="inlineStr"/>
      <c r="X20" s="16" t="inlineStr"/>
      <c r="Y20" s="16" t="inlineStr"/>
    </row>
    <row r="21">
      <c r="A21" s="20" t="inlineStr">
        <is>
          <t>EXP18</t>
        </is>
      </c>
      <c r="B21" s="20" t="n">
        <v>23</v>
      </c>
      <c r="C21" s="25" t="inlineStr">
        <is>
          <t>If we browse-abandonment &amp; category-intent triggers, then revenue from crm audiences improves for browsers w/ email because Intent is highest right after browsing; SKU-specific reminders monetise otherwis...</t>
        </is>
      </c>
      <c r="D21" s="19" t="inlineStr">
        <is>
          <t>Browse-abandonment &amp; category-intent triggers</t>
        </is>
      </c>
      <c r="E21" s="19" t="inlineStr">
        <is>
          <t>High-intent non-purchasers</t>
        </is>
      </c>
      <c r="F21" s="19" t="inlineStr">
        <is>
          <t>Cross-category</t>
        </is>
      </c>
      <c r="G21" s="19" t="inlineStr">
        <is>
          <t>all</t>
        </is>
      </c>
      <c r="H21" s="19" t="inlineStr">
        <is>
          <t>Current experience</t>
        </is>
      </c>
      <c r="I21" s="19" t="inlineStr">
        <is>
          <t>New mechanic</t>
        </is>
      </c>
      <c r="J21" s="19" t="inlineStr">
        <is>
          <t>None/soft</t>
        </is>
      </c>
      <c r="K21" s="19" t="inlineStr">
        <is>
          <t>Email/Push</t>
        </is>
      </c>
      <c r="L21" s="19" t="inlineStr">
        <is>
          <t>Revenue from CRM audiences</t>
        </is>
      </c>
      <c r="M21" s="19" t="inlineStr">
        <is>
          <t>Conversion Rate</t>
        </is>
      </c>
      <c r="N21" s="19" t="inlineStr">
        <is>
          <t>Send fatigue</t>
        </is>
      </c>
      <c r="O21" s="20" t="inlineStr">
        <is>
          <t>Neutral</t>
        </is>
      </c>
      <c r="P21" s="20" t="inlineStr">
        <is>
          <t>Moderate</t>
        </is>
      </c>
      <c r="Q21" s="20" t="inlineStr">
        <is>
          <t>2-4 wks</t>
        </is>
      </c>
      <c r="R21" s="19" t="inlineStr">
        <is>
          <t>per power calc</t>
        </is>
      </c>
      <c r="S21" s="19" t="inlineStr">
        <is>
          <t>Unassigned</t>
        </is>
      </c>
      <c r="T21" s="19" t="inlineStr"/>
      <c r="U21" s="19" t="inlineStr"/>
      <c r="V21" s="20" t="inlineStr">
        <is>
          <t>Backlog</t>
        </is>
      </c>
      <c r="W21" s="19" t="inlineStr"/>
      <c r="X21" s="19" t="inlineStr"/>
      <c r="Y21" s="19" t="inlineStr"/>
    </row>
    <row r="22">
      <c r="A22" s="10" t="inlineStr">
        <is>
          <t>EXP19</t>
        </is>
      </c>
      <c r="B22" s="10" t="n">
        <v>23</v>
      </c>
      <c r="C22" s="9" t="inlineStr">
        <is>
          <t>If we sms + whatsapp high-intent programme scale-up, then revenue from crm audiences improves for opted-in mobile users because SMS/WhatsApp is the single highest-converting channel and barely used; scaling o...</t>
        </is>
      </c>
      <c r="D22" s="16" t="inlineStr">
        <is>
          <t>SMS + WhatsApp high-intent programme scale-up</t>
        </is>
      </c>
      <c r="E22" s="16" t="inlineStr">
        <is>
          <t>Repeat</t>
        </is>
      </c>
      <c r="F22" s="16" t="inlineStr">
        <is>
          <t>Cross-category</t>
        </is>
      </c>
      <c r="G22" s="16" t="inlineStr">
        <is>
          <t>all</t>
        </is>
      </c>
      <c r="H22" s="16" t="inlineStr">
        <is>
          <t>Current experience</t>
        </is>
      </c>
      <c r="I22" s="16" t="inlineStr">
        <is>
          <t>New mechanic</t>
        </is>
      </c>
      <c r="J22" s="16" t="inlineStr">
        <is>
          <t>Exclusive drops/offers</t>
        </is>
      </c>
      <c r="K22" s="16" t="inlineStr">
        <is>
          <t>SMS/WhatsApp</t>
        </is>
      </c>
      <c r="L22" s="16" t="inlineStr">
        <is>
          <t>Revenue from CRM audiences</t>
        </is>
      </c>
      <c r="M22" s="16" t="inlineStr">
        <is>
          <t>Repeat Purchase</t>
        </is>
      </c>
      <c r="N22" s="16" t="inlineStr">
        <is>
          <t>Opt-out rate, DND compliance</t>
        </is>
      </c>
      <c r="O22" s="10" t="inlineStr">
        <is>
          <t>Neutral</t>
        </is>
      </c>
      <c r="P22" s="10" t="inlineStr">
        <is>
          <t>Moderate</t>
        </is>
      </c>
      <c r="Q22" s="10" t="inlineStr">
        <is>
          <t>2-4 wks</t>
        </is>
      </c>
      <c r="R22" s="16" t="inlineStr">
        <is>
          <t>per power calc</t>
        </is>
      </c>
      <c r="S22" s="16" t="inlineStr">
        <is>
          <t>Unassigned</t>
        </is>
      </c>
      <c r="T22" s="16" t="inlineStr"/>
      <c r="U22" s="16" t="inlineStr"/>
      <c r="V22" s="10" t="inlineStr">
        <is>
          <t>Backlog</t>
        </is>
      </c>
      <c r="W22" s="16" t="inlineStr"/>
      <c r="X22" s="16" t="inlineStr"/>
      <c r="Y22" s="16" t="inlineStr"/>
    </row>
    <row r="23">
      <c r="A23" s="20" t="inlineStr">
        <is>
          <t>EXP20</t>
        </is>
      </c>
      <c r="B23" s="20" t="n">
        <v>23</v>
      </c>
      <c r="C23" s="25" t="inlineStr">
        <is>
          <t>If we price-point stores ('under rs999', 'rs999-1999', 'premium'), then conversion rate improves for browsers/gifters because Price-first browsing matches how gift/impulse shoppers decide; surfaces cheap en...</t>
        </is>
      </c>
      <c r="D23" s="19" t="inlineStr">
        <is>
          <t>Price-point stores ('Under Rs999', 'Rs999-1999', 'Premium')</t>
        </is>
      </c>
      <c r="E23" s="19" t="inlineStr">
        <is>
          <t>New</t>
        </is>
      </c>
      <c r="F23" s="19" t="inlineStr">
        <is>
          <t>Cross-category</t>
        </is>
      </c>
      <c r="G23" s="19" t="inlineStr">
        <is>
          <t>all</t>
        </is>
      </c>
      <c r="H23" s="19" t="inlineStr">
        <is>
          <t>Current experience</t>
        </is>
      </c>
      <c r="I23" s="19" t="inlineStr">
        <is>
          <t>New mechanic</t>
        </is>
      </c>
      <c r="J23" s="19" t="inlineStr">
        <is>
          <t>None</t>
        </is>
      </c>
      <c r="K23" s="19" t="inlineStr">
        <is>
          <t>Nav + collection pages</t>
        </is>
      </c>
      <c r="L23" s="19" t="inlineStr">
        <is>
          <t>Conversion Rate</t>
        </is>
      </c>
      <c r="M23" s="19" t="inlineStr">
        <is>
          <t>New User Conversion</t>
        </is>
      </c>
      <c r="N23" s="19" t="inlineStr">
        <is>
          <t>AOV mix</t>
        </is>
      </c>
      <c r="O23" s="20" t="inlineStr">
        <is>
          <t>+</t>
        </is>
      </c>
      <c r="P23" s="20" t="inlineStr">
        <is>
          <t>Easy</t>
        </is>
      </c>
      <c r="Q23" s="20" t="inlineStr">
        <is>
          <t>2-4 wks</t>
        </is>
      </c>
      <c r="R23" s="19" t="inlineStr">
        <is>
          <t>per power calc</t>
        </is>
      </c>
      <c r="S23" s="19" t="inlineStr">
        <is>
          <t>Unassigned</t>
        </is>
      </c>
      <c r="T23" s="19" t="inlineStr"/>
      <c r="U23" s="19" t="inlineStr"/>
      <c r="V23" s="20" t="inlineStr">
        <is>
          <t>Backlog</t>
        </is>
      </c>
      <c r="W23" s="19" t="inlineStr"/>
      <c r="X23" s="19" t="inlineStr"/>
      <c r="Y23" s="19" t="inlineStr"/>
    </row>
    <row r="24">
      <c r="A24" s="10" t="inlineStr">
        <is>
          <t>EXP21</t>
        </is>
      </c>
      <c r="B24" s="10" t="n">
        <v>23</v>
      </c>
      <c r="C24" s="9" t="inlineStr">
        <is>
          <t>If we shop-by-device hub upgrade (iphone 17 / galaxy s25 / apple watch), then conversion rate improves for device owners because Accessory purchase is device-gated; a device hub reduces compatibility anxiety a...</t>
        </is>
      </c>
      <c r="D24" s="16" t="inlineStr">
        <is>
          <t>Shop-by-device hub upgrade (iPhone 17 / Galaxy S25 / Apple Watch)</t>
        </is>
      </c>
      <c r="E24" s="16" t="inlineStr">
        <is>
          <t>New &amp; Repeat</t>
        </is>
      </c>
      <c r="F24" s="16" t="inlineStr">
        <is>
          <t>Phone Cases</t>
        </is>
      </c>
      <c r="G24" s="16" t="inlineStr">
        <is>
          <t>1101,1103,1801,1809,1815</t>
        </is>
      </c>
      <c r="H24" s="16" t="inlineStr">
        <is>
          <t>Current experience</t>
        </is>
      </c>
      <c r="I24" s="16" t="inlineStr">
        <is>
          <t>New mechanic</t>
        </is>
      </c>
      <c r="J24" s="16" t="inlineStr">
        <is>
          <t>None</t>
        </is>
      </c>
      <c r="K24" s="16" t="inlineStr">
        <is>
          <t>Shop-by-device hub</t>
        </is>
      </c>
      <c r="L24" s="16" t="inlineStr">
        <is>
          <t>Conversion Rate</t>
        </is>
      </c>
      <c r="M24" s="16" t="inlineStr">
        <is>
          <t>Cross-category Purchase</t>
        </is>
      </c>
      <c r="N24" s="16" t="inlineStr">
        <is>
          <t>CVR</t>
        </is>
      </c>
      <c r="O24" s="10" t="inlineStr">
        <is>
          <t>+</t>
        </is>
      </c>
      <c r="P24" s="10" t="inlineStr">
        <is>
          <t>Moderate</t>
        </is>
      </c>
      <c r="Q24" s="10" t="inlineStr">
        <is>
          <t>2-4 wks</t>
        </is>
      </c>
      <c r="R24" s="16" t="inlineStr">
        <is>
          <t>per power calc</t>
        </is>
      </c>
      <c r="S24" s="16" t="inlineStr">
        <is>
          <t>Unassigned</t>
        </is>
      </c>
      <c r="T24" s="16" t="inlineStr"/>
      <c r="U24" s="16" t="inlineStr"/>
      <c r="V24" s="10" t="inlineStr">
        <is>
          <t>Backlog</t>
        </is>
      </c>
      <c r="W24" s="16" t="inlineStr"/>
      <c r="X24" s="16" t="inlineStr"/>
      <c r="Y24" s="16" t="inlineStr"/>
    </row>
    <row r="25">
      <c r="A25" s="20" t="inlineStr">
        <is>
          <t>EXP22</t>
        </is>
      </c>
      <c r="B25" s="20" t="n">
        <v>23</v>
      </c>
      <c r="C25" s="25" t="inlineStr">
        <is>
          <t>If we device-launch attach campaign (new iphone/galaxy/apple watch), then category penetration improves for new-device owners because New-device owners buy a full accessory stack at once; being first with compatibl...</t>
        </is>
      </c>
      <c r="D25" s="19" t="inlineStr">
        <is>
          <t>Device-launch attach campaign (new iPhone/Galaxy/Apple Watch)</t>
        </is>
      </c>
      <c r="E25" s="19" t="inlineStr">
        <is>
          <t>New &amp; Repeat</t>
        </is>
      </c>
      <c r="F25" s="19" t="inlineStr">
        <is>
          <t>Phone Cases</t>
        </is>
      </c>
      <c r="G25" s="19" t="inlineStr">
        <is>
          <t>1101,1103,1815,1805,1809</t>
        </is>
      </c>
      <c r="H25" s="19" t="inlineStr">
        <is>
          <t>Current experience</t>
        </is>
      </c>
      <c r="I25" s="19" t="inlineStr">
        <is>
          <t>New mechanic</t>
        </is>
      </c>
      <c r="J25" s="19" t="inlineStr">
        <is>
          <t>Starter-kit bundle</t>
        </is>
      </c>
      <c r="K25" s="19" t="inlineStr">
        <is>
          <t>Launch hub + ads + CRM</t>
        </is>
      </c>
      <c r="L25" s="19" t="inlineStr">
        <is>
          <t>Category Penetration</t>
        </is>
      </c>
      <c r="M25" s="19" t="inlineStr">
        <is>
          <t>Cross-category Purchase</t>
        </is>
      </c>
      <c r="N25" s="19" t="inlineStr">
        <is>
          <t>Inventory</t>
        </is>
      </c>
      <c r="O25" s="20" t="inlineStr">
        <is>
          <t>+</t>
        </is>
      </c>
      <c r="P25" s="20" t="inlineStr">
        <is>
          <t>Moderate</t>
        </is>
      </c>
      <c r="Q25" s="20" t="inlineStr">
        <is>
          <t>2-4 wks</t>
        </is>
      </c>
      <c r="R25" s="19" t="inlineStr">
        <is>
          <t>per power calc</t>
        </is>
      </c>
      <c r="S25" s="19" t="inlineStr">
        <is>
          <t>Unassigned</t>
        </is>
      </c>
      <c r="T25" s="19" t="inlineStr"/>
      <c r="U25" s="19" t="inlineStr"/>
      <c r="V25" s="20" t="inlineStr">
        <is>
          <t>Backlog</t>
        </is>
      </c>
      <c r="W25" s="19" t="inlineStr"/>
      <c r="X25" s="19" t="inlineStr"/>
      <c r="Y25" s="19" t="inlineStr"/>
    </row>
    <row r="26">
      <c r="A26" s="10" t="inlineStr">
        <is>
          <t>EXP23</t>
        </is>
      </c>
      <c r="B26" s="10" t="n">
        <v>23</v>
      </c>
      <c r="C26" s="9" t="inlineStr">
        <is>
          <t>If we bank/upi offer strip surfaced across funnel, then checkout completion improves for deal-sensitive because Partner-funded offers lift CVR at zero brand-margin cost - strictly better than ...</t>
        </is>
      </c>
      <c r="D26" s="16" t="inlineStr">
        <is>
          <t>Bank/UPI offer strip surfaced across funnel</t>
        </is>
      </c>
      <c r="E26" s="16" t="inlineStr">
        <is>
          <t>New &amp; Repeat</t>
        </is>
      </c>
      <c r="F26" s="16" t="inlineStr">
        <is>
          <t>Cross-category</t>
        </is>
      </c>
      <c r="G26" s="16" t="inlineStr">
        <is>
          <t>all</t>
        </is>
      </c>
      <c r="H26" s="16" t="inlineStr">
        <is>
          <t>Current experience</t>
        </is>
      </c>
      <c r="I26" s="16" t="inlineStr">
        <is>
          <t>New mechanic</t>
        </is>
      </c>
      <c r="J26" s="16" t="inlineStr">
        <is>
          <t>Bank/UPI cashback (funded by partners)</t>
        </is>
      </c>
      <c r="K26" s="16" t="inlineStr">
        <is>
          <t>PDP/Cart/Checkout</t>
        </is>
      </c>
      <c r="L26" s="16" t="inlineStr">
        <is>
          <t>Checkout Completion</t>
        </is>
      </c>
      <c r="M26" s="16" t="inlineStr">
        <is>
          <t>Contribution margin</t>
        </is>
      </c>
      <c r="N26" s="16" t="inlineStr">
        <is>
          <t>None</t>
        </is>
      </c>
      <c r="O26" s="10" t="inlineStr">
        <is>
          <t>+</t>
        </is>
      </c>
      <c r="P26" s="10" t="inlineStr">
        <is>
          <t>Easy</t>
        </is>
      </c>
      <c r="Q26" s="10" t="inlineStr">
        <is>
          <t>2-4 wks</t>
        </is>
      </c>
      <c r="R26" s="16" t="inlineStr">
        <is>
          <t>per power calc</t>
        </is>
      </c>
      <c r="S26" s="16" t="inlineStr">
        <is>
          <t>Unassigned</t>
        </is>
      </c>
      <c r="T26" s="16" t="inlineStr"/>
      <c r="U26" s="16" t="inlineStr"/>
      <c r="V26" s="10" t="inlineStr">
        <is>
          <t>Backlog</t>
        </is>
      </c>
      <c r="W26" s="16" t="inlineStr"/>
      <c r="X26" s="16" t="inlineStr"/>
      <c r="Y26" s="16" t="inlineStr"/>
    </row>
    <row r="27">
      <c r="A27" s="20" t="inlineStr">
        <is>
          <t>EXP24</t>
        </is>
      </c>
      <c r="B27" s="20" t="n">
        <v>23</v>
      </c>
      <c r="C27" s="25" t="inlineStr">
        <is>
          <t>If we abandonment + prepaid-fail sms with upi retry link, then checkout completion improves for payment-fail/cod abandon because Instant, one-tap retry on the highest-CVR channel recovers already-decided buyer...</t>
        </is>
      </c>
      <c r="D27" s="19" t="inlineStr">
        <is>
          <t>Abandonment + prepaid-fail SMS with UPI retry link</t>
        </is>
      </c>
      <c r="E27" s="19" t="inlineStr">
        <is>
          <t>High-intent non-purchasers</t>
        </is>
      </c>
      <c r="F27" s="19" t="inlineStr">
        <is>
          <t>Cross-category</t>
        </is>
      </c>
      <c r="G27" s="19" t="inlineStr">
        <is>
          <t>all</t>
        </is>
      </c>
      <c r="H27" s="19" t="inlineStr">
        <is>
          <t>Current experience</t>
        </is>
      </c>
      <c r="I27" s="19" t="inlineStr">
        <is>
          <t>New mechanic</t>
        </is>
      </c>
      <c r="J27" s="19" t="inlineStr">
        <is>
          <t>UPI retry + COD-fee saving</t>
        </is>
      </c>
      <c r="K27" s="19" t="inlineStr">
        <is>
          <t>SMS/WhatsApp</t>
        </is>
      </c>
      <c r="L27" s="19" t="inlineStr">
        <is>
          <t>Checkout Completion</t>
        </is>
      </c>
      <c r="M27" s="19" t="inlineStr">
        <is>
          <t>Contribution margin</t>
        </is>
      </c>
      <c r="N27" s="19" t="inlineStr">
        <is>
          <t>Message compliance</t>
        </is>
      </c>
      <c r="O27" s="20" t="inlineStr">
        <is>
          <t>++</t>
        </is>
      </c>
      <c r="P27" s="20" t="inlineStr">
        <is>
          <t>Moderate</t>
        </is>
      </c>
      <c r="Q27" s="20" t="inlineStr">
        <is>
          <t>2-4 wks</t>
        </is>
      </c>
      <c r="R27" s="19" t="inlineStr">
        <is>
          <t>per power calc</t>
        </is>
      </c>
      <c r="S27" s="19" t="inlineStr">
        <is>
          <t>Unassigned</t>
        </is>
      </c>
      <c r="T27" s="19" t="inlineStr"/>
      <c r="U27" s="19" t="inlineStr"/>
      <c r="V27" s="20" t="inlineStr">
        <is>
          <t>Backlog</t>
        </is>
      </c>
      <c r="W27" s="19" t="inlineStr"/>
      <c r="X27" s="19" t="inlineStr"/>
      <c r="Y27" s="19" t="inlineStr"/>
    </row>
  </sheetData>
  <autoFilter ref="A3:Y27"/>
  <mergeCells count="2">
    <mergeCell ref="A2:Y2"/>
    <mergeCell ref="A1:Y1"/>
  </mergeCells>
  <conditionalFormatting sqref="B4:B27">
    <cfRule type="colorScale" priority="1">
      <colorScale>
        <cfvo type="num" val="0"/>
        <cfvo type="num" val="30"/>
        <cfvo type="num" val="70"/>
        <color rgb="00F8696B"/>
        <color rgb="00FFEB84"/>
        <color rgb="0063BE7B"/>
      </colorScale>
    </cfRule>
  </conditionalFormatting>
  <dataValidations count="3">
    <dataValidation sqref="V4 V5 V6 V7 V8 V9 V10 V11 V12 V13 V14 V15 V16 V17 V18 V19 V20 V21 V22 V23 V24 V25 V26 V27" showDropDown="0" showInputMessage="0" showErrorMessage="0" allowBlank="1" type="list">
      <formula1>"Backlog,Designing,Running,Analysing,Won,Lost,Inconclusive"</formula1>
    </dataValidation>
    <dataValidation sqref="X4 X5 X6 X7 X8 X9 X10 X11 X12 X13 X14 X15 X16 X17 X18 X19 X20 X21 X22 X23 X24 X25 X26 X27" showDropDown="0" showInputMessage="0" showErrorMessage="0" allowBlank="1" type="list">
      <formula1>"Scale,Iterate,Kill,Hold"</formula1>
    </dataValidation>
    <dataValidation sqref="S4 S5 S6 S7 S8 S9 S10 S11 S12 S13 S14 S15 S16 S17 S18 S19 S20 S21 S22 S23 S24 S25 S26 S27" showDropDown="0" showInputMessage="0" showErrorMessage="0" allowBlank="1" type="list">
      <formula1>"Growth,CRM,Merchandising,Product/Eng,Performance Mktg,Retention,Design,Unassigned"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32"/>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ht="30" customHeight="1">
      <c r="A1" s="22" t="inlineStr">
        <is>
          <t>FINANCIAL MODEL  (base case)</t>
        </is>
      </c>
    </row>
    <row r="2" ht="22" customHeight="1">
      <c r="A2" s="2" t="inlineStr">
        <is>
          <t>Yellow = editable assumptions. All outputs are formulas - change any assumption and the model recomputes. Uplifts are HYPOTHESES; ground them with test reads. Traffic/baselines from GA4 'DO - GA4' (273672074), via Windsor.ai, pulled 2026-08-10</t>
        </is>
      </c>
    </row>
    <row r="4">
      <c r="A4" s="47" t="inlineStr">
        <is>
          <t>GLOBAL ASSUMPTIONS</t>
        </is>
      </c>
    </row>
    <row r="5">
      <c r="A5" s="6" t="inlineStr">
        <is>
          <t>Blended gross margin %</t>
        </is>
      </c>
      <c r="B5" s="48" t="n">
        <v>0.55</v>
      </c>
    </row>
    <row r="6">
      <c r="A6" s="6" t="inlineStr">
        <is>
          <t>Payment cost % of revenue</t>
        </is>
      </c>
      <c r="B6" s="48" t="n">
        <v>0.02</v>
      </c>
    </row>
    <row r="7">
      <c r="A7" s="6" t="inlineStr">
        <is>
          <t>Incremental shipping cost / order (Rs)</t>
        </is>
      </c>
      <c r="B7" s="49" t="n">
        <v>40</v>
      </c>
    </row>
    <row r="8">
      <c r="A8" s="6" t="inlineStr">
        <is>
          <t>Best-case multiplier (on contribution)</t>
        </is>
      </c>
      <c r="B8" s="50" t="n">
        <v>1.5</v>
      </c>
    </row>
    <row r="9">
      <c r="A9" s="6" t="inlineStr">
        <is>
          <t>Worst-case multiplier (on contribution)</t>
        </is>
      </c>
      <c r="B9" s="50" t="n">
        <v>0.4</v>
      </c>
    </row>
    <row r="11" ht="34" customHeight="1">
      <c r="A11" s="51" t="inlineStr">
        <is>
          <t>Initiative</t>
        </is>
      </c>
      <c r="B11" s="51" t="inlineStr">
        <is>
          <t>Eligible Traffic</t>
        </is>
      </c>
      <c r="C11" s="51" t="inlineStr">
        <is>
          <t>Base CVR</t>
        </is>
      </c>
      <c r="D11" s="51" t="inlineStr">
        <is>
          <t>Exp. CVR</t>
        </is>
      </c>
      <c r="E11" s="51" t="inlineStr">
        <is>
          <t>CVR Uplift</t>
        </is>
      </c>
      <c r="F11" s="51" t="inlineStr">
        <is>
          <t>Base Orders</t>
        </is>
      </c>
      <c r="G11" s="51" t="inlineStr">
        <is>
          <t>Exp. Orders</t>
        </is>
      </c>
      <c r="H11" s="51" t="inlineStr">
        <is>
          <t>Incr. Orders</t>
        </is>
      </c>
      <c r="I11" s="51" t="inlineStr">
        <is>
          <t>Base AOV</t>
        </is>
      </c>
      <c r="J11" s="51" t="inlineStr">
        <is>
          <t>Exp. AOV</t>
        </is>
      </c>
      <c r="K11" s="51" t="inlineStr">
        <is>
          <t>AOV Uplift</t>
        </is>
      </c>
      <c r="L11" s="51" t="inlineStr">
        <is>
          <t>Incr. Revenue</t>
        </is>
      </c>
      <c r="M11" s="51" t="inlineStr">
        <is>
          <t>Disc %</t>
        </is>
      </c>
      <c r="N11" s="51" t="inlineStr">
        <is>
          <t>Discount Cost</t>
        </is>
      </c>
      <c r="O11" s="51" t="inlineStr">
        <is>
          <t>Gift COGS/ord</t>
        </is>
      </c>
      <c r="P11" s="51" t="inlineStr">
        <is>
          <t>Gift COGS</t>
        </is>
      </c>
      <c r="Q11" s="51" t="inlineStr">
        <is>
          <t>Incr. Shipping</t>
        </is>
      </c>
      <c r="R11" s="51" t="inlineStr">
        <is>
          <t>Payment Cost</t>
        </is>
      </c>
      <c r="S11" s="51" t="inlineStr">
        <is>
          <t>Incr. COGS</t>
        </is>
      </c>
      <c r="T11" s="51" t="inlineStr">
        <is>
          <t>Incr. Gross Margin</t>
        </is>
      </c>
      <c r="U11" s="51" t="inlineStr">
        <is>
          <t>Program Spend</t>
        </is>
      </c>
      <c r="V11" s="51" t="inlineStr">
        <is>
          <t>Incr. Contribution</t>
        </is>
      </c>
      <c r="W11" s="51" t="inlineStr">
        <is>
          <t>Rev ROI</t>
        </is>
      </c>
      <c r="X11" s="51" t="inlineStr">
        <is>
          <t>Contrib ROI</t>
        </is>
      </c>
      <c r="Y11" s="51" t="inlineStr">
        <is>
          <t>Best Case</t>
        </is>
      </c>
      <c r="Z11" s="51" t="inlineStr">
        <is>
          <t>Worst Case</t>
        </is>
      </c>
    </row>
    <row r="12">
      <c r="A12" s="52" t="inlineStr">
        <is>
          <t>ID11 Mobile checkout &amp; PDP sprint</t>
        </is>
      </c>
      <c r="B12" s="53" t="n">
        <v>49120510</v>
      </c>
      <c r="C12" s="54" t="n">
        <v>0.0095</v>
      </c>
      <c r="D12" s="54" t="n">
        <v>0.0109</v>
      </c>
      <c r="E12" s="38">
        <f>IF(C12=0,"n/a",D12/C12-1)</f>
        <v/>
      </c>
      <c r="F12" s="29">
        <f>B12*C12</f>
        <v/>
      </c>
      <c r="G12" s="29">
        <f>B12*D12</f>
        <v/>
      </c>
      <c r="H12" s="29">
        <f>G12-F12</f>
        <v/>
      </c>
      <c r="I12" s="55" t="n">
        <v>2362</v>
      </c>
      <c r="J12" s="55" t="n">
        <v>2362</v>
      </c>
      <c r="K12" s="38">
        <f>IF(I12=0,"n/a",J12/I12-1)</f>
        <v/>
      </c>
      <c r="L12" s="28">
        <f>G12*J12-F12*I12</f>
        <v/>
      </c>
      <c r="M12" s="56" t="n">
        <v>0</v>
      </c>
      <c r="N12" s="28">
        <f>M12*L12</f>
        <v/>
      </c>
      <c r="O12" s="55" t="n">
        <v>0</v>
      </c>
      <c r="P12" s="28">
        <f>O12*H12</f>
        <v/>
      </c>
      <c r="Q12" s="28">
        <f>H12*$B$7</f>
        <v/>
      </c>
      <c r="R12" s="28">
        <f>L12*$B$6</f>
        <v/>
      </c>
      <c r="S12" s="28">
        <f>L12*(1-$B$5)</f>
        <v/>
      </c>
      <c r="T12" s="28">
        <f>L12-S12</f>
        <v/>
      </c>
      <c r="U12" s="28">
        <f>N12+P12</f>
        <v/>
      </c>
      <c r="V12" s="28">
        <f>T12-N12-P12-Q12-R12</f>
        <v/>
      </c>
      <c r="W12" s="57">
        <f>IF(U12=0,"no spend",L12/U12)</f>
        <v/>
      </c>
      <c r="X12" s="57">
        <f>IF(U12=0,"no spend",V12/U12)</f>
        <v/>
      </c>
      <c r="Y12" s="28">
        <f>V12*$B$8</f>
        <v/>
      </c>
      <c r="Z12" s="28">
        <f>V12*$B$9</f>
        <v/>
      </c>
    </row>
    <row r="13">
      <c r="A13" s="58" t="inlineStr">
        <is>
          <t>ID12 Express/UPI payment + retry</t>
        </is>
      </c>
      <c r="B13" s="59" t="n">
        <v>53984509</v>
      </c>
      <c r="C13" s="60" t="n">
        <v>0.01025</v>
      </c>
      <c r="D13" s="60" t="n">
        <v>0.0112</v>
      </c>
      <c r="E13" s="39">
        <f>IF(C13=0,"n/a",D13/C13-1)</f>
        <v/>
      </c>
      <c r="F13" s="32">
        <f>B13*C13</f>
        <v/>
      </c>
      <c r="G13" s="32">
        <f>B13*D13</f>
        <v/>
      </c>
      <c r="H13" s="32">
        <f>G13-F13</f>
        <v/>
      </c>
      <c r="I13" s="61" t="n">
        <v>2429</v>
      </c>
      <c r="J13" s="61" t="n">
        <v>2429</v>
      </c>
      <c r="K13" s="39">
        <f>IF(I13=0,"n/a",J13/I13-1)</f>
        <v/>
      </c>
      <c r="L13" s="31">
        <f>G13*J13-F13*I13</f>
        <v/>
      </c>
      <c r="M13" s="62" t="n">
        <v>0</v>
      </c>
      <c r="N13" s="31">
        <f>M13*L13</f>
        <v/>
      </c>
      <c r="O13" s="61" t="n">
        <v>0</v>
      </c>
      <c r="P13" s="31">
        <f>O13*H13</f>
        <v/>
      </c>
      <c r="Q13" s="31">
        <f>H13*$B$7</f>
        <v/>
      </c>
      <c r="R13" s="31">
        <f>L13*$B$6</f>
        <v/>
      </c>
      <c r="S13" s="31">
        <f>L13*(1-$B$5)</f>
        <v/>
      </c>
      <c r="T13" s="31">
        <f>L13-S13</f>
        <v/>
      </c>
      <c r="U13" s="31">
        <f>N13+P13</f>
        <v/>
      </c>
      <c r="V13" s="31">
        <f>T13-N13-P13-Q13-R13</f>
        <v/>
      </c>
      <c r="W13" s="63">
        <f>IF(U13=0,"no spend",L13/U13)</f>
        <v/>
      </c>
      <c r="X13" s="63">
        <f>IF(U13=0,"no spend",V13/U13)</f>
        <v/>
      </c>
      <c r="Y13" s="31">
        <f>V13*$B$8</f>
        <v/>
      </c>
      <c r="Z13" s="31">
        <f>V13*$B$9</f>
        <v/>
      </c>
    </row>
    <row r="14">
      <c r="A14" s="52" t="inlineStr">
        <is>
          <t>ID19 Cart/checkout abandonment flow</t>
        </is>
      </c>
      <c r="B14" s="53" t="n">
        <v>5360000</v>
      </c>
      <c r="C14" s="54" t="n">
        <v>0</v>
      </c>
      <c r="D14" s="54" t="n">
        <v>0.03</v>
      </c>
      <c r="E14" s="38">
        <f>IF(C14=0,"n/a",D14/C14-1)</f>
        <v/>
      </c>
      <c r="F14" s="29">
        <f>B14*C14</f>
        <v/>
      </c>
      <c r="G14" s="29">
        <f>B14*D14</f>
        <v/>
      </c>
      <c r="H14" s="29">
        <f>G14-F14</f>
        <v/>
      </c>
      <c r="I14" s="55" t="n">
        <v>2429</v>
      </c>
      <c r="J14" s="55" t="n">
        <v>2429</v>
      </c>
      <c r="K14" s="38">
        <f>IF(I14=0,"n/a",J14/I14-1)</f>
        <v/>
      </c>
      <c r="L14" s="28">
        <f>G14*J14-F14*I14</f>
        <v/>
      </c>
      <c r="M14" s="56" t="n">
        <v>0.05</v>
      </c>
      <c r="N14" s="28">
        <f>M14*L14</f>
        <v/>
      </c>
      <c r="O14" s="55" t="n">
        <v>0</v>
      </c>
      <c r="P14" s="28">
        <f>O14*H14</f>
        <v/>
      </c>
      <c r="Q14" s="28">
        <f>H14*$B$7</f>
        <v/>
      </c>
      <c r="R14" s="28">
        <f>L14*$B$6</f>
        <v/>
      </c>
      <c r="S14" s="28">
        <f>L14*(1-$B$5)</f>
        <v/>
      </c>
      <c r="T14" s="28">
        <f>L14-S14</f>
        <v/>
      </c>
      <c r="U14" s="28">
        <f>N14+P14</f>
        <v/>
      </c>
      <c r="V14" s="28">
        <f>T14-N14-P14-Q14-R14</f>
        <v/>
      </c>
      <c r="W14" s="57">
        <f>IF(U14=0,"no spend",L14/U14)</f>
        <v/>
      </c>
      <c r="X14" s="57">
        <f>IF(U14=0,"no spend",V14/U14)</f>
        <v/>
      </c>
      <c r="Y14" s="28">
        <f>V14*$B$8</f>
        <v/>
      </c>
      <c r="Z14" s="28">
        <f>V14*$B$9</f>
        <v/>
      </c>
    </row>
    <row r="15">
      <c r="A15" s="58" t="inlineStr">
        <is>
          <t>ID47 Payment-fail SMS/UPI retry</t>
        </is>
      </c>
      <c r="B15" s="59" t="n">
        <v>446000</v>
      </c>
      <c r="C15" s="60" t="n">
        <v>0</v>
      </c>
      <c r="D15" s="60" t="n">
        <v>0.12</v>
      </c>
      <c r="E15" s="39">
        <f>IF(C15=0,"n/a",D15/C15-1)</f>
        <v/>
      </c>
      <c r="F15" s="32">
        <f>B15*C15</f>
        <v/>
      </c>
      <c r="G15" s="32">
        <f>B15*D15</f>
        <v/>
      </c>
      <c r="H15" s="32">
        <f>G15-F15</f>
        <v/>
      </c>
      <c r="I15" s="61" t="n">
        <v>2429</v>
      </c>
      <c r="J15" s="61" t="n">
        <v>2429</v>
      </c>
      <c r="K15" s="39">
        <f>IF(I15=0,"n/a",J15/I15-1)</f>
        <v/>
      </c>
      <c r="L15" s="31">
        <f>G15*J15-F15*I15</f>
        <v/>
      </c>
      <c r="M15" s="62" t="n">
        <v>0</v>
      </c>
      <c r="N15" s="31">
        <f>M15*L15</f>
        <v/>
      </c>
      <c r="O15" s="61" t="n">
        <v>0</v>
      </c>
      <c r="P15" s="31">
        <f>O15*H15</f>
        <v/>
      </c>
      <c r="Q15" s="31">
        <f>H15*$B$7</f>
        <v/>
      </c>
      <c r="R15" s="31">
        <f>L15*$B$6</f>
        <v/>
      </c>
      <c r="S15" s="31">
        <f>L15*(1-$B$5)</f>
        <v/>
      </c>
      <c r="T15" s="31">
        <f>L15-S15</f>
        <v/>
      </c>
      <c r="U15" s="31">
        <f>N15+P15</f>
        <v/>
      </c>
      <c r="V15" s="31">
        <f>T15-N15-P15-Q15-R15</f>
        <v/>
      </c>
      <c r="W15" s="63">
        <f>IF(U15=0,"no spend",L15/U15)</f>
        <v/>
      </c>
      <c r="X15" s="63">
        <f>IF(U15=0,"no spend",V15/U15)</f>
        <v/>
      </c>
      <c r="Y15" s="31">
        <f>V15*$B$8</f>
        <v/>
      </c>
      <c r="Z15" s="31">
        <f>V15*$B$9</f>
        <v/>
      </c>
    </row>
    <row r="16">
      <c r="A16" s="52" t="inlineStr">
        <is>
          <t>ID01 Phone-case attach engine</t>
        </is>
      </c>
      <c r="B16" s="53" t="n">
        <v>387008</v>
      </c>
      <c r="C16" s="54" t="n">
        <v>1</v>
      </c>
      <c r="D16" s="54" t="n">
        <v>1</v>
      </c>
      <c r="E16" s="38">
        <f>IF(C16=0,"n/a",D16/C16-1)</f>
        <v/>
      </c>
      <c r="F16" s="29">
        <f>B16*C16</f>
        <v/>
      </c>
      <c r="G16" s="29">
        <f>B16*D16</f>
        <v/>
      </c>
      <c r="H16" s="29">
        <f>G16-F16</f>
        <v/>
      </c>
      <c r="I16" s="55" t="n">
        <v>1068</v>
      </c>
      <c r="J16" s="55" t="n">
        <v>1175</v>
      </c>
      <c r="K16" s="38">
        <f>IF(I16=0,"n/a",J16/I16-1)</f>
        <v/>
      </c>
      <c r="L16" s="28">
        <f>G16*J16-F16*I16</f>
        <v/>
      </c>
      <c r="M16" s="56" t="n">
        <v>0</v>
      </c>
      <c r="N16" s="28">
        <f>M16*L16</f>
        <v/>
      </c>
      <c r="O16" s="55" t="n">
        <v>0</v>
      </c>
      <c r="P16" s="28">
        <f>O16*H16</f>
        <v/>
      </c>
      <c r="Q16" s="28">
        <f>H16*$B$7</f>
        <v/>
      </c>
      <c r="R16" s="28">
        <f>L16*$B$6</f>
        <v/>
      </c>
      <c r="S16" s="28">
        <f>L16*(1-$B$5)</f>
        <v/>
      </c>
      <c r="T16" s="28">
        <f>L16-S16</f>
        <v/>
      </c>
      <c r="U16" s="28">
        <f>N16+P16</f>
        <v/>
      </c>
      <c r="V16" s="28">
        <f>T16-N16-P16-Q16-R16</f>
        <v/>
      </c>
      <c r="W16" s="57">
        <f>IF(U16=0,"no spend",L16/U16)</f>
        <v/>
      </c>
      <c r="X16" s="57">
        <f>IF(U16=0,"no spend",V16/U16)</f>
        <v/>
      </c>
      <c r="Y16" s="28">
        <f>V16*$B$8</f>
        <v/>
      </c>
      <c r="Z16" s="28">
        <f>V16*$B$9</f>
        <v/>
      </c>
    </row>
    <row r="17">
      <c r="A17" s="58" t="inlineStr">
        <is>
          <t>ID02 Power bank + MagSafe case bundle</t>
        </is>
      </c>
      <c r="B17" s="59" t="n">
        <v>127803</v>
      </c>
      <c r="C17" s="60" t="n">
        <v>1</v>
      </c>
      <c r="D17" s="60" t="n">
        <v>1</v>
      </c>
      <c r="E17" s="39">
        <f>IF(C17=0,"n/a",D17/C17-1)</f>
        <v/>
      </c>
      <c r="F17" s="32">
        <f>B17*C17</f>
        <v/>
      </c>
      <c r="G17" s="32">
        <f>B17*D17</f>
        <v/>
      </c>
      <c r="H17" s="32">
        <f>G17-F17</f>
        <v/>
      </c>
      <c r="I17" s="61" t="n">
        <v>3108</v>
      </c>
      <c r="J17" s="61" t="n">
        <v>3357</v>
      </c>
      <c r="K17" s="39">
        <f>IF(I17=0,"n/a",J17/I17-1)</f>
        <v/>
      </c>
      <c r="L17" s="31">
        <f>G17*J17-F17*I17</f>
        <v/>
      </c>
      <c r="M17" s="62" t="n">
        <v>0.03</v>
      </c>
      <c r="N17" s="31">
        <f>M17*L17</f>
        <v/>
      </c>
      <c r="O17" s="61" t="n">
        <v>0</v>
      </c>
      <c r="P17" s="31">
        <f>O17*H17</f>
        <v/>
      </c>
      <c r="Q17" s="31">
        <f>H17*$B$7</f>
        <v/>
      </c>
      <c r="R17" s="31">
        <f>L17*$B$6</f>
        <v/>
      </c>
      <c r="S17" s="31">
        <f>L17*(1-$B$5)</f>
        <v/>
      </c>
      <c r="T17" s="31">
        <f>L17-S17</f>
        <v/>
      </c>
      <c r="U17" s="31">
        <f>N17+P17</f>
        <v/>
      </c>
      <c r="V17" s="31">
        <f>T17-N17-P17-Q17-R17</f>
        <v/>
      </c>
      <c r="W17" s="63">
        <f>IF(U17=0,"no spend",L17/U17)</f>
        <v/>
      </c>
      <c r="X17" s="63">
        <f>IF(U17=0,"no spend",V17/U17)</f>
        <v/>
      </c>
      <c r="Y17" s="31">
        <f>V17*$B$8</f>
        <v/>
      </c>
      <c r="Z17" s="31">
        <f>V17*$B$9</f>
        <v/>
      </c>
    </row>
    <row r="18">
      <c r="A18" s="52" t="inlineStr">
        <is>
          <t>ID03 Bag carry-system bundle</t>
        </is>
      </c>
      <c r="B18" s="53" t="n">
        <v>107901</v>
      </c>
      <c r="C18" s="54" t="n">
        <v>1</v>
      </c>
      <c r="D18" s="54" t="n">
        <v>1</v>
      </c>
      <c r="E18" s="38">
        <f>IF(C18=0,"n/a",D18/C18-1)</f>
        <v/>
      </c>
      <c r="F18" s="29">
        <f>B18*C18</f>
        <v/>
      </c>
      <c r="G18" s="29">
        <f>B18*D18</f>
        <v/>
      </c>
      <c r="H18" s="29">
        <f>G18-F18</f>
        <v/>
      </c>
      <c r="I18" s="55" t="n">
        <v>2000</v>
      </c>
      <c r="J18" s="55" t="n">
        <v>2300</v>
      </c>
      <c r="K18" s="38">
        <f>IF(I18=0,"n/a",J18/I18-1)</f>
        <v/>
      </c>
      <c r="L18" s="28">
        <f>G18*J18-F18*I18</f>
        <v/>
      </c>
      <c r="M18" s="56" t="n">
        <v>0.05</v>
      </c>
      <c r="N18" s="28">
        <f>M18*L18</f>
        <v/>
      </c>
      <c r="O18" s="55" t="n">
        <v>0</v>
      </c>
      <c r="P18" s="28">
        <f>O18*H18</f>
        <v/>
      </c>
      <c r="Q18" s="28">
        <f>H18*$B$7</f>
        <v/>
      </c>
      <c r="R18" s="28">
        <f>L18*$B$6</f>
        <v/>
      </c>
      <c r="S18" s="28">
        <f>L18*(1-$B$5)</f>
        <v/>
      </c>
      <c r="T18" s="28">
        <f>L18-S18</f>
        <v/>
      </c>
      <c r="U18" s="28">
        <f>N18+P18</f>
        <v/>
      </c>
      <c r="V18" s="28">
        <f>T18-N18-P18-Q18-R18</f>
        <v/>
      </c>
      <c r="W18" s="57">
        <f>IF(U18=0,"no spend",L18/U18)</f>
        <v/>
      </c>
      <c r="X18" s="57">
        <f>IF(U18=0,"no spend",V18/U18)</f>
        <v/>
      </c>
      <c r="Y18" s="28">
        <f>V18*$B$8</f>
        <v/>
      </c>
      <c r="Z18" s="28">
        <f>V18*$B$9</f>
        <v/>
      </c>
    </row>
    <row r="19">
      <c r="A19" s="58" t="inlineStr">
        <is>
          <t>ID04 Watch-band multi-pack</t>
        </is>
      </c>
      <c r="B19" s="59" t="n">
        <v>107273</v>
      </c>
      <c r="C19" s="60" t="n">
        <v>1</v>
      </c>
      <c r="D19" s="60" t="n">
        <v>1</v>
      </c>
      <c r="E19" s="39">
        <f>IF(C19=0,"n/a",D19/C19-1)</f>
        <v/>
      </c>
      <c r="F19" s="32">
        <f>B19*C19</f>
        <v/>
      </c>
      <c r="G19" s="32">
        <f>B19*D19</f>
        <v/>
      </c>
      <c r="H19" s="32">
        <f>G19-F19</f>
        <v/>
      </c>
      <c r="I19" s="61" t="n">
        <v>1108</v>
      </c>
      <c r="J19" s="61" t="n">
        <v>1241</v>
      </c>
      <c r="K19" s="39">
        <f>IF(I19=0,"n/a",J19/I19-1)</f>
        <v/>
      </c>
      <c r="L19" s="31">
        <f>G19*J19-F19*I19</f>
        <v/>
      </c>
      <c r="M19" s="62" t="n">
        <v>0.08</v>
      </c>
      <c r="N19" s="31">
        <f>M19*L19</f>
        <v/>
      </c>
      <c r="O19" s="61" t="n">
        <v>0</v>
      </c>
      <c r="P19" s="31">
        <f>O19*H19</f>
        <v/>
      </c>
      <c r="Q19" s="31">
        <f>H19*$B$7</f>
        <v/>
      </c>
      <c r="R19" s="31">
        <f>L19*$B$6</f>
        <v/>
      </c>
      <c r="S19" s="31">
        <f>L19*(1-$B$5)</f>
        <v/>
      </c>
      <c r="T19" s="31">
        <f>L19-S19</f>
        <v/>
      </c>
      <c r="U19" s="31">
        <f>N19+P19</f>
        <v/>
      </c>
      <c r="V19" s="31">
        <f>T19-N19-P19-Q19-R19</f>
        <v/>
      </c>
      <c r="W19" s="63">
        <f>IF(U19=0,"no spend",L19/U19)</f>
        <v/>
      </c>
      <c r="X19" s="63">
        <f>IF(U19=0,"no spend",V19/U19)</f>
        <v/>
      </c>
      <c r="Y19" s="31">
        <f>V19*$B$8</f>
        <v/>
      </c>
      <c r="Z19" s="31">
        <f>V19*$B$9</f>
        <v/>
      </c>
    </row>
    <row r="20">
      <c r="A20" s="52" t="inlineStr">
        <is>
          <t>ID06 Cart free-gift ladder</t>
        </is>
      </c>
      <c r="B20" s="53" t="n">
        <v>553257</v>
      </c>
      <c r="C20" s="54" t="n">
        <v>1</v>
      </c>
      <c r="D20" s="54" t="n">
        <v>1</v>
      </c>
      <c r="E20" s="38">
        <f>IF(C20=0,"n/a",D20/C20-1)</f>
        <v/>
      </c>
      <c r="F20" s="29">
        <f>B20*C20</f>
        <v/>
      </c>
      <c r="G20" s="29">
        <f>B20*D20</f>
        <v/>
      </c>
      <c r="H20" s="29">
        <f>G20-F20</f>
        <v/>
      </c>
      <c r="I20" s="55" t="n">
        <v>2429</v>
      </c>
      <c r="J20" s="55" t="n">
        <v>2599</v>
      </c>
      <c r="K20" s="38">
        <f>IF(I20=0,"n/a",J20/I20-1)</f>
        <v/>
      </c>
      <c r="L20" s="28">
        <f>G20*J20-F20*I20</f>
        <v/>
      </c>
      <c r="M20" s="56" t="n">
        <v>0</v>
      </c>
      <c r="N20" s="28">
        <f>M20*L20</f>
        <v/>
      </c>
      <c r="O20" s="55" t="n">
        <v>45</v>
      </c>
      <c r="P20" s="28">
        <f>O20*H20</f>
        <v/>
      </c>
      <c r="Q20" s="28">
        <f>H20*$B$7</f>
        <v/>
      </c>
      <c r="R20" s="28">
        <f>L20*$B$6</f>
        <v/>
      </c>
      <c r="S20" s="28">
        <f>L20*(1-$B$5)</f>
        <v/>
      </c>
      <c r="T20" s="28">
        <f>L20-S20</f>
        <v/>
      </c>
      <c r="U20" s="28">
        <f>N20+P20</f>
        <v/>
      </c>
      <c r="V20" s="28">
        <f>T20-N20-P20-Q20-R20</f>
        <v/>
      </c>
      <c r="W20" s="57">
        <f>IF(U20=0,"no spend",L20/U20)</f>
        <v/>
      </c>
      <c r="X20" s="57">
        <f>IF(U20=0,"no spend",V20/U20)</f>
        <v/>
      </c>
      <c r="Y20" s="28">
        <f>V20*$B$8</f>
        <v/>
      </c>
      <c r="Z20" s="28">
        <f>V20*$B$9</f>
        <v/>
      </c>
    </row>
    <row r="21">
      <c r="A21" s="58" t="inlineStr">
        <is>
          <t>ID13 PDP Frequently-Bought-Together</t>
        </is>
      </c>
      <c r="B21" s="59" t="n">
        <v>553257</v>
      </c>
      <c r="C21" s="60" t="n">
        <v>1</v>
      </c>
      <c r="D21" s="60" t="n">
        <v>1</v>
      </c>
      <c r="E21" s="39">
        <f>IF(C21=0,"n/a",D21/C21-1)</f>
        <v/>
      </c>
      <c r="F21" s="32">
        <f>B21*C21</f>
        <v/>
      </c>
      <c r="G21" s="32">
        <f>B21*D21</f>
        <v/>
      </c>
      <c r="H21" s="32">
        <f>G21-F21</f>
        <v/>
      </c>
      <c r="I21" s="61" t="n">
        <v>2429</v>
      </c>
      <c r="J21" s="61" t="n">
        <v>2550</v>
      </c>
      <c r="K21" s="39">
        <f>IF(I21=0,"n/a",J21/I21-1)</f>
        <v/>
      </c>
      <c r="L21" s="31">
        <f>G21*J21-F21*I21</f>
        <v/>
      </c>
      <c r="M21" s="62" t="n">
        <v>0</v>
      </c>
      <c r="N21" s="31">
        <f>M21*L21</f>
        <v/>
      </c>
      <c r="O21" s="61" t="n">
        <v>0</v>
      </c>
      <c r="P21" s="31">
        <f>O21*H21</f>
        <v/>
      </c>
      <c r="Q21" s="31">
        <f>H21*$B$7</f>
        <v/>
      </c>
      <c r="R21" s="31">
        <f>L21*$B$6</f>
        <v/>
      </c>
      <c r="S21" s="31">
        <f>L21*(1-$B$5)</f>
        <v/>
      </c>
      <c r="T21" s="31">
        <f>L21-S21</f>
        <v/>
      </c>
      <c r="U21" s="31">
        <f>N21+P21</f>
        <v/>
      </c>
      <c r="V21" s="31">
        <f>T21-N21-P21-Q21-R21</f>
        <v/>
      </c>
      <c r="W21" s="63">
        <f>IF(U21=0,"no spend",L21/U21)</f>
        <v/>
      </c>
      <c r="X21" s="63">
        <f>IF(U21=0,"no spend",V21/U21)</f>
        <v/>
      </c>
      <c r="Y21" s="31">
        <f>V21*$B$8</f>
        <v/>
      </c>
      <c r="Z21" s="31">
        <f>V21*$B$9</f>
        <v/>
      </c>
    </row>
    <row r="22">
      <c r="A22" s="52" t="inlineStr">
        <is>
          <t>ID18 O1-&gt;O2 accelerator</t>
        </is>
      </c>
      <c r="B22" s="53" t="n">
        <v>250000</v>
      </c>
      <c r="C22" s="54" t="n">
        <v>0.3</v>
      </c>
      <c r="D22" s="54" t="n">
        <v>0.36</v>
      </c>
      <c r="E22" s="38">
        <f>IF(C22=0,"n/a",D22/C22-1)</f>
        <v/>
      </c>
      <c r="F22" s="29">
        <f>B22*C22</f>
        <v/>
      </c>
      <c r="G22" s="29">
        <f>B22*D22</f>
        <v/>
      </c>
      <c r="H22" s="29">
        <f>G22-F22</f>
        <v/>
      </c>
      <c r="I22" s="55" t="n">
        <v>2429</v>
      </c>
      <c r="J22" s="55" t="n">
        <v>2429</v>
      </c>
      <c r="K22" s="38">
        <f>IF(I22=0,"n/a",J22/I22-1)</f>
        <v/>
      </c>
      <c r="L22" s="28">
        <f>G22*J22-F22*I22</f>
        <v/>
      </c>
      <c r="M22" s="56" t="n">
        <v>0.082</v>
      </c>
      <c r="N22" s="28">
        <f>M22*L22</f>
        <v/>
      </c>
      <c r="O22" s="55" t="n">
        <v>0</v>
      </c>
      <c r="P22" s="28">
        <f>O22*H22</f>
        <v/>
      </c>
      <c r="Q22" s="28">
        <f>H22*$B$7</f>
        <v/>
      </c>
      <c r="R22" s="28">
        <f>L22*$B$6</f>
        <v/>
      </c>
      <c r="S22" s="28">
        <f>L22*(1-$B$5)</f>
        <v/>
      </c>
      <c r="T22" s="28">
        <f>L22-S22</f>
        <v/>
      </c>
      <c r="U22" s="28">
        <f>N22+P22</f>
        <v/>
      </c>
      <c r="V22" s="28">
        <f>T22-N22-P22-Q22-R22</f>
        <v/>
      </c>
      <c r="W22" s="57">
        <f>IF(U22=0,"no spend",L22/U22)</f>
        <v/>
      </c>
      <c r="X22" s="57">
        <f>IF(U22=0,"no spend",V22/U22)</f>
        <v/>
      </c>
      <c r="Y22" s="28">
        <f>V22*$B$8</f>
        <v/>
      </c>
      <c r="Z22" s="28">
        <f>V22*$B$9</f>
        <v/>
      </c>
    </row>
    <row r="23">
      <c r="A23" s="58" t="inlineStr">
        <is>
          <t>ID29 Paid-Social matched LPs</t>
        </is>
      </c>
      <c r="B23" s="59" t="n">
        <v>29240422</v>
      </c>
      <c r="C23" s="60" t="n">
        <v>0.0038</v>
      </c>
      <c r="D23" s="60" t="n">
        <v>0.0045</v>
      </c>
      <c r="E23" s="39">
        <f>IF(C23=0,"n/a",D23/C23-1)</f>
        <v/>
      </c>
      <c r="F23" s="32">
        <f>B23*C23</f>
        <v/>
      </c>
      <c r="G23" s="32">
        <f>B23*D23</f>
        <v/>
      </c>
      <c r="H23" s="32">
        <f>G23-F23</f>
        <v/>
      </c>
      <c r="I23" s="61" t="n">
        <v>2429</v>
      </c>
      <c r="J23" s="61" t="n">
        <v>2429</v>
      </c>
      <c r="K23" s="39">
        <f>IF(I23=0,"n/a",J23/I23-1)</f>
        <v/>
      </c>
      <c r="L23" s="31">
        <f>G23*J23-F23*I23</f>
        <v/>
      </c>
      <c r="M23" s="62" t="n">
        <v>0.05</v>
      </c>
      <c r="N23" s="31">
        <f>M23*L23</f>
        <v/>
      </c>
      <c r="O23" s="61" t="n">
        <v>0</v>
      </c>
      <c r="P23" s="31">
        <f>O23*H23</f>
        <v/>
      </c>
      <c r="Q23" s="31">
        <f>H23*$B$7</f>
        <v/>
      </c>
      <c r="R23" s="31">
        <f>L23*$B$6</f>
        <v/>
      </c>
      <c r="S23" s="31">
        <f>L23*(1-$B$5)</f>
        <v/>
      </c>
      <c r="T23" s="31">
        <f>L23-S23</f>
        <v/>
      </c>
      <c r="U23" s="31">
        <f>N23+P23</f>
        <v/>
      </c>
      <c r="V23" s="31">
        <f>T23-N23-P23-Q23-R23</f>
        <v/>
      </c>
      <c r="W23" s="63">
        <f>IF(U23=0,"no spend",L23/U23)</f>
        <v/>
      </c>
      <c r="X23" s="63">
        <f>IF(U23=0,"no spend",V23/U23)</f>
        <v/>
      </c>
      <c r="Y23" s="31">
        <f>V23*$B$8</f>
        <v/>
      </c>
      <c r="Z23" s="31">
        <f>V23*$B$9</f>
        <v/>
      </c>
    </row>
    <row r="24">
      <c r="A24" s="52" t="inlineStr">
        <is>
          <t>ID07 Prepaid free-ship reframing</t>
        </is>
      </c>
      <c r="B24" s="53" t="n">
        <v>53984509</v>
      </c>
      <c r="C24" s="54" t="n">
        <v>0.01025</v>
      </c>
      <c r="D24" s="54" t="n">
        <v>0.0108</v>
      </c>
      <c r="E24" s="38">
        <f>IF(C24=0,"n/a",D24/C24-1)</f>
        <v/>
      </c>
      <c r="F24" s="29">
        <f>B24*C24</f>
        <v/>
      </c>
      <c r="G24" s="29">
        <f>B24*D24</f>
        <v/>
      </c>
      <c r="H24" s="29">
        <f>G24-F24</f>
        <v/>
      </c>
      <c r="I24" s="55" t="n">
        <v>2429</v>
      </c>
      <c r="J24" s="55" t="n">
        <v>2429</v>
      </c>
      <c r="K24" s="38">
        <f>IF(I24=0,"n/a",J24/I24-1)</f>
        <v/>
      </c>
      <c r="L24" s="28">
        <f>G24*J24-F24*I24</f>
        <v/>
      </c>
      <c r="M24" s="56" t="n">
        <v>0</v>
      </c>
      <c r="N24" s="28">
        <f>M24*L24</f>
        <v/>
      </c>
      <c r="O24" s="55" t="n">
        <v>0</v>
      </c>
      <c r="P24" s="28">
        <f>O24*H24</f>
        <v/>
      </c>
      <c r="Q24" s="28">
        <f>H24*$B$7</f>
        <v/>
      </c>
      <c r="R24" s="28">
        <f>L24*$B$6</f>
        <v/>
      </c>
      <c r="S24" s="28">
        <f>L24*(1-$B$5)</f>
        <v/>
      </c>
      <c r="T24" s="28">
        <f>L24-S24</f>
        <v/>
      </c>
      <c r="U24" s="28">
        <f>N24+P24</f>
        <v/>
      </c>
      <c r="V24" s="28">
        <f>T24-N24-P24-Q24-R24</f>
        <v/>
      </c>
      <c r="W24" s="57">
        <f>IF(U24=0,"no spend",L24/U24)</f>
        <v/>
      </c>
      <c r="X24" s="57">
        <f>IF(U24=0,"no spend",V24/U24)</f>
        <v/>
      </c>
      <c r="Y24" s="28">
        <f>V24*$B$8</f>
        <v/>
      </c>
      <c r="Z24" s="28">
        <f>V24*$B$9</f>
        <v/>
      </c>
    </row>
    <row r="25">
      <c r="A25" s="58" t="inlineStr">
        <is>
          <t>ID14 PDP trust pack (new users)</t>
        </is>
      </c>
      <c r="B25" s="59" t="n">
        <v>32900471</v>
      </c>
      <c r="C25" s="60" t="n">
        <v>0.0069</v>
      </c>
      <c r="D25" s="60" t="n">
        <v>0.0076</v>
      </c>
      <c r="E25" s="39">
        <f>IF(C25=0,"n/a",D25/C25-1)</f>
        <v/>
      </c>
      <c r="F25" s="32">
        <f>B25*C25</f>
        <v/>
      </c>
      <c r="G25" s="32">
        <f>B25*D25</f>
        <v/>
      </c>
      <c r="H25" s="32">
        <f>G25-F25</f>
        <v/>
      </c>
      <c r="I25" s="61" t="n">
        <v>2262</v>
      </c>
      <c r="J25" s="61" t="n">
        <v>2262</v>
      </c>
      <c r="K25" s="39">
        <f>IF(I25=0,"n/a",J25/I25-1)</f>
        <v/>
      </c>
      <c r="L25" s="31">
        <f>G25*J25-F25*I25</f>
        <v/>
      </c>
      <c r="M25" s="62" t="n">
        <v>0</v>
      </c>
      <c r="N25" s="31">
        <f>M25*L25</f>
        <v/>
      </c>
      <c r="O25" s="61" t="n">
        <v>0</v>
      </c>
      <c r="P25" s="31">
        <f>O25*H25</f>
        <v/>
      </c>
      <c r="Q25" s="31">
        <f>H25*$B$7</f>
        <v/>
      </c>
      <c r="R25" s="31">
        <f>L25*$B$6</f>
        <v/>
      </c>
      <c r="S25" s="31">
        <f>L25*(1-$B$5)</f>
        <v/>
      </c>
      <c r="T25" s="31">
        <f>L25-S25</f>
        <v/>
      </c>
      <c r="U25" s="31">
        <f>N25+P25</f>
        <v/>
      </c>
      <c r="V25" s="31">
        <f>T25-N25-P25-Q25-R25</f>
        <v/>
      </c>
      <c r="W25" s="63">
        <f>IF(U25=0,"no spend",L25/U25)</f>
        <v/>
      </c>
      <c r="X25" s="63">
        <f>IF(U25=0,"no spend",V25/U25)</f>
        <v/>
      </c>
      <c r="Y25" s="31">
        <f>V25*$B$8</f>
        <v/>
      </c>
      <c r="Z25" s="31">
        <f>V25*$B$9</f>
        <v/>
      </c>
    </row>
    <row r="26">
      <c r="A26" s="52" t="inlineStr">
        <is>
          <t>ID24 SMS/WhatsApp programme</t>
        </is>
      </c>
      <c r="B26" s="53" t="n">
        <v>2000000</v>
      </c>
      <c r="C26" s="54" t="n">
        <v>0.02</v>
      </c>
      <c r="D26" s="54" t="n">
        <v>0.03</v>
      </c>
      <c r="E26" s="38">
        <f>IF(C26=0,"n/a",D26/C26-1)</f>
        <v/>
      </c>
      <c r="F26" s="29">
        <f>B26*C26</f>
        <v/>
      </c>
      <c r="G26" s="29">
        <f>B26*D26</f>
        <v/>
      </c>
      <c r="H26" s="29">
        <f>G26-F26</f>
        <v/>
      </c>
      <c r="I26" s="55" t="n">
        <v>2429</v>
      </c>
      <c r="J26" s="55" t="n">
        <v>2429</v>
      </c>
      <c r="K26" s="38">
        <f>IF(I26=0,"n/a",J26/I26-1)</f>
        <v/>
      </c>
      <c r="L26" s="28">
        <f>G26*J26-F26*I26</f>
        <v/>
      </c>
      <c r="M26" s="56" t="n">
        <v>0</v>
      </c>
      <c r="N26" s="28">
        <f>M26*L26</f>
        <v/>
      </c>
      <c r="O26" s="55" t="n">
        <v>0</v>
      </c>
      <c r="P26" s="28">
        <f>O26*H26</f>
        <v/>
      </c>
      <c r="Q26" s="28">
        <f>H26*$B$7</f>
        <v/>
      </c>
      <c r="R26" s="28">
        <f>L26*$B$6</f>
        <v/>
      </c>
      <c r="S26" s="28">
        <f>L26*(1-$B$5)</f>
        <v/>
      </c>
      <c r="T26" s="28">
        <f>L26-S26</f>
        <v/>
      </c>
      <c r="U26" s="28">
        <f>N26+P26</f>
        <v/>
      </c>
      <c r="V26" s="28">
        <f>T26-N26-P26-Q26-R26</f>
        <v/>
      </c>
      <c r="W26" s="57">
        <f>IF(U26=0,"no spend",L26/U26)</f>
        <v/>
      </c>
      <c r="X26" s="57">
        <f>IF(U26=0,"no spend",V26/U26)</f>
        <v/>
      </c>
      <c r="Y26" s="28">
        <f>V26*$B$8</f>
        <v/>
      </c>
      <c r="Z26" s="28">
        <f>V26*$B$9</f>
        <v/>
      </c>
    </row>
    <row r="27">
      <c r="A27" s="58" t="inlineStr">
        <is>
          <t>ID09 Gifting hub + finder</t>
        </is>
      </c>
      <c r="B27" s="59" t="n">
        <v>1000000</v>
      </c>
      <c r="C27" s="60" t="n">
        <v>0.01</v>
      </c>
      <c r="D27" s="60" t="n">
        <v>0.015</v>
      </c>
      <c r="E27" s="39">
        <f>IF(C27=0,"n/a",D27/C27-1)</f>
        <v/>
      </c>
      <c r="F27" s="32">
        <f>B27*C27</f>
        <v/>
      </c>
      <c r="G27" s="32">
        <f>B27*D27</f>
        <v/>
      </c>
      <c r="H27" s="32">
        <f>G27-F27</f>
        <v/>
      </c>
      <c r="I27" s="61" t="n">
        <v>2429</v>
      </c>
      <c r="J27" s="61" t="n">
        <v>2600</v>
      </c>
      <c r="K27" s="39">
        <f>IF(I27=0,"n/a",J27/I27-1)</f>
        <v/>
      </c>
      <c r="L27" s="31">
        <f>G27*J27-F27*I27</f>
        <v/>
      </c>
      <c r="M27" s="62" t="n">
        <v>0</v>
      </c>
      <c r="N27" s="31">
        <f>M27*L27</f>
        <v/>
      </c>
      <c r="O27" s="61" t="n">
        <v>0</v>
      </c>
      <c r="P27" s="31">
        <f>O27*H27</f>
        <v/>
      </c>
      <c r="Q27" s="31">
        <f>H27*$B$7</f>
        <v/>
      </c>
      <c r="R27" s="31">
        <f>L27*$B$6</f>
        <v/>
      </c>
      <c r="S27" s="31">
        <f>L27*(1-$B$5)</f>
        <v/>
      </c>
      <c r="T27" s="31">
        <f>L27-S27</f>
        <v/>
      </c>
      <c r="U27" s="31">
        <f>N27+P27</f>
        <v/>
      </c>
      <c r="V27" s="31">
        <f>T27-N27-P27-Q27-R27</f>
        <v/>
      </c>
      <c r="W27" s="63">
        <f>IF(U27=0,"no spend",L27/U27)</f>
        <v/>
      </c>
      <c r="X27" s="63">
        <f>IF(U27=0,"no spend",V27/U27)</f>
        <v/>
      </c>
      <c r="Y27" s="31">
        <f>V27*$B$8</f>
        <v/>
      </c>
      <c r="Z27" s="31">
        <f>V27*$B$9</f>
        <v/>
      </c>
    </row>
    <row r="28">
      <c r="A28" s="52" t="inlineStr">
        <is>
          <t>ID27 Bestseller-first PLP sort</t>
        </is>
      </c>
      <c r="B28" s="53" t="n">
        <v>53984509</v>
      </c>
      <c r="C28" s="54" t="n">
        <v>0.01025</v>
      </c>
      <c r="D28" s="54" t="n">
        <v>0.0107</v>
      </c>
      <c r="E28" s="38">
        <f>IF(C28=0,"n/a",D28/C28-1)</f>
        <v/>
      </c>
      <c r="F28" s="29">
        <f>B28*C28</f>
        <v/>
      </c>
      <c r="G28" s="29">
        <f>B28*D28</f>
        <v/>
      </c>
      <c r="H28" s="29">
        <f>G28-F28</f>
        <v/>
      </c>
      <c r="I28" s="55" t="n">
        <v>2429</v>
      </c>
      <c r="J28" s="55" t="n">
        <v>2429</v>
      </c>
      <c r="K28" s="38">
        <f>IF(I28=0,"n/a",J28/I28-1)</f>
        <v/>
      </c>
      <c r="L28" s="28">
        <f>G28*J28-F28*I28</f>
        <v/>
      </c>
      <c r="M28" s="56" t="n">
        <v>0</v>
      </c>
      <c r="N28" s="28">
        <f>M28*L28</f>
        <v/>
      </c>
      <c r="O28" s="55" t="n">
        <v>0</v>
      </c>
      <c r="P28" s="28">
        <f>O28*H28</f>
        <v/>
      </c>
      <c r="Q28" s="28">
        <f>H28*$B$7</f>
        <v/>
      </c>
      <c r="R28" s="28">
        <f>L28*$B$6</f>
        <v/>
      </c>
      <c r="S28" s="28">
        <f>L28*(1-$B$5)</f>
        <v/>
      </c>
      <c r="T28" s="28">
        <f>L28-S28</f>
        <v/>
      </c>
      <c r="U28" s="28">
        <f>N28+P28</f>
        <v/>
      </c>
      <c r="V28" s="28">
        <f>T28-N28-P28-Q28-R28</f>
        <v/>
      </c>
      <c r="W28" s="57">
        <f>IF(U28=0,"no spend",L28/U28)</f>
        <v/>
      </c>
      <c r="X28" s="57">
        <f>IF(U28=0,"no spend",V28/U28)</f>
        <v/>
      </c>
      <c r="Y28" s="28">
        <f>V28*$B$8</f>
        <v/>
      </c>
      <c r="Z28" s="28">
        <f>V28*$B$9</f>
        <v/>
      </c>
    </row>
    <row r="29">
      <c r="A29" s="58" t="inlineStr">
        <is>
          <t>ID33 Device-launch attach</t>
        </is>
      </c>
      <c r="B29" s="59" t="n">
        <v>2000000</v>
      </c>
      <c r="C29" s="60" t="n">
        <v>0.012</v>
      </c>
      <c r="D29" s="60" t="n">
        <v>0.014</v>
      </c>
      <c r="E29" s="39">
        <f>IF(C29=0,"n/a",D29/C29-1)</f>
        <v/>
      </c>
      <c r="F29" s="32">
        <f>B29*C29</f>
        <v/>
      </c>
      <c r="G29" s="32">
        <f>B29*D29</f>
        <v/>
      </c>
      <c r="H29" s="32">
        <f>G29-F29</f>
        <v/>
      </c>
      <c r="I29" s="61" t="n">
        <v>1200</v>
      </c>
      <c r="J29" s="61" t="n">
        <v>1500</v>
      </c>
      <c r="K29" s="39">
        <f>IF(I29=0,"n/a",J29/I29-1)</f>
        <v/>
      </c>
      <c r="L29" s="31">
        <f>G29*J29-F29*I29</f>
        <v/>
      </c>
      <c r="M29" s="62" t="n">
        <v>0</v>
      </c>
      <c r="N29" s="31">
        <f>M29*L29</f>
        <v/>
      </c>
      <c r="O29" s="61" t="n">
        <v>0</v>
      </c>
      <c r="P29" s="31">
        <f>O29*H29</f>
        <v/>
      </c>
      <c r="Q29" s="31">
        <f>H29*$B$7</f>
        <v/>
      </c>
      <c r="R29" s="31">
        <f>L29*$B$6</f>
        <v/>
      </c>
      <c r="S29" s="31">
        <f>L29*(1-$B$5)</f>
        <v/>
      </c>
      <c r="T29" s="31">
        <f>L29-S29</f>
        <v/>
      </c>
      <c r="U29" s="31">
        <f>N29+P29</f>
        <v/>
      </c>
      <c r="V29" s="31">
        <f>T29-N29-P29-Q29-R29</f>
        <v/>
      </c>
      <c r="W29" s="63">
        <f>IF(U29=0,"no spend",L29/U29)</f>
        <v/>
      </c>
      <c r="X29" s="63">
        <f>IF(U29=0,"no spend",V29/U29)</f>
        <v/>
      </c>
      <c r="Y29" s="31">
        <f>V29*$B$8</f>
        <v/>
      </c>
      <c r="Z29" s="31">
        <f>V29*$B$9</f>
        <v/>
      </c>
    </row>
    <row r="30">
      <c r="A30" s="64" t="inlineStr">
        <is>
          <t>TOTAL (base case)</t>
        </is>
      </c>
      <c r="B30" s="65" t="n"/>
      <c r="C30" s="65" t="n"/>
      <c r="D30" s="65" t="n"/>
      <c r="E30" s="65" t="n"/>
      <c r="F30" s="65" t="n"/>
      <c r="G30" s="65" t="n"/>
      <c r="H30" s="66">
        <f>SUM(H12:H29)</f>
        <v/>
      </c>
      <c r="I30" s="65" t="n"/>
      <c r="J30" s="65" t="n"/>
      <c r="K30" s="65" t="n"/>
      <c r="L30" s="67">
        <f>SUM(L12:L29)</f>
        <v/>
      </c>
      <c r="M30" s="65" t="n"/>
      <c r="N30" s="67">
        <f>SUM(N12:N29)</f>
        <v/>
      </c>
      <c r="O30" s="65" t="n"/>
      <c r="P30" s="67">
        <f>SUM(P12:P29)</f>
        <v/>
      </c>
      <c r="Q30" s="67">
        <f>SUM(Q12:Q29)</f>
        <v/>
      </c>
      <c r="R30" s="67">
        <f>SUM(R12:R29)</f>
        <v/>
      </c>
      <c r="S30" s="67">
        <f>SUM(S12:S29)</f>
        <v/>
      </c>
      <c r="T30" s="67">
        <f>SUM(T12:T29)</f>
        <v/>
      </c>
      <c r="U30" s="67">
        <f>SUM(U12:U29)</f>
        <v/>
      </c>
      <c r="V30" s="67">
        <f>SUM(V12:V29)</f>
        <v/>
      </c>
      <c r="W30" s="65" t="n"/>
      <c r="X30" s="65" t="n"/>
      <c r="Y30" s="67">
        <f>SUM(Y12:Y29)</f>
        <v/>
      </c>
      <c r="Z30" s="67">
        <f>SUM(Z12:Z29)</f>
        <v/>
      </c>
    </row>
    <row r="32">
      <c r="A32" s="68" t="inlineStr">
        <is>
          <t>Note: Incr. Gross Margin (col T) = Incr. Revenue - Incr. COGS; Incr. Contribution (col V) = Gross Margin - Discount - Gift - Shipping - Payment. Program Spend (col U) = promotional cost (discount + gift) used for ROI. Uplift %s are base-case HYPOTHESES - replace with test reads.</t>
        </is>
      </c>
    </row>
  </sheetData>
  <mergeCells count="2">
    <mergeCell ref="A2:V2"/>
    <mergeCell ref="A1:V1"/>
  </mergeCells>
  <conditionalFormatting sqref="V12:V29">
    <cfRule type="colorScale" priority="1">
      <colorScale>
        <cfvo type="min"/>
        <cfvo type="max"/>
        <color rgb="00FFFFFF"/>
        <color rgb="0063BE7B"/>
      </colorScale>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3"/>
  <sheetViews>
    <sheetView workbookViewId="0">
      <pane ySplit="3" topLeftCell="A4" activePane="bottomLeft" state="frozen"/>
      <selection pane="bottomLeft" activeCell="A1" sqref="A1"/>
    </sheetView>
  </sheetViews>
  <sheetFormatPr baseColWidth="8" defaultRowHeight="15"/>
  <cols>
    <col width="9" customWidth="1" min="1" max="1"/>
    <col width="8" customWidth="1" min="2" max="2"/>
    <col width="30" customWidth="1" min="3" max="3"/>
    <col width="18" customWidth="1" min="4" max="4"/>
    <col width="14" customWidth="1" min="5" max="5"/>
    <col width="60" customWidth="1" min="6" max="6"/>
    <col width="22" customWidth="1" min="7" max="7"/>
    <col width="12" customWidth="1" min="8" max="8"/>
    <col width="12" customWidth="1" min="9" max="9"/>
    <col width="18" customWidth="1" min="10" max="10"/>
    <col width="13" customWidth="1" min="11" max="11"/>
    <col width="12" customWidth="1" min="12" max="12"/>
  </cols>
  <sheetData>
    <row r="1" ht="30" customHeight="1">
      <c r="A1" s="22" t="inlineStr">
        <is>
          <t>30-DAY ACTION PLAN</t>
        </is>
      </c>
    </row>
    <row r="2" ht="22" customHeight="1">
      <c r="A2" s="2" t="inlineStr">
        <is>
          <t>Execution roadmap. Week 1 = fastest, highest-priority, no/low discount. Sequenced by Time-to-Launch and Priority.</t>
        </is>
      </c>
    </row>
    <row r="3" ht="34" customHeight="1">
      <c r="A3" s="14" t="inlineStr">
        <is>
          <t>Week</t>
        </is>
      </c>
      <c r="B3" s="14" t="inlineStr">
        <is>
          <t>Priority</t>
        </is>
      </c>
      <c r="C3" s="14" t="inlineStr">
        <is>
          <t>Initiative</t>
        </is>
      </c>
      <c r="D3" s="14" t="inlineStr">
        <is>
          <t>Category</t>
        </is>
      </c>
      <c r="E3" s="14" t="inlineStr">
        <is>
          <t>Owner</t>
        </is>
      </c>
      <c r="F3" s="14" t="inlineStr">
        <is>
          <t>Action</t>
        </is>
      </c>
      <c r="G3" s="14" t="inlineStr">
        <is>
          <t>Dependency</t>
        </is>
      </c>
      <c r="H3" s="14" t="inlineStr">
        <is>
          <t>Start Date</t>
        </is>
      </c>
      <c r="I3" s="14" t="inlineStr">
        <is>
          <t>Launch Date</t>
        </is>
      </c>
      <c r="J3" s="14" t="inlineStr">
        <is>
          <t>Metric</t>
        </is>
      </c>
      <c r="K3" s="14" t="inlineStr">
        <is>
          <t>Expected Impact</t>
        </is>
      </c>
      <c r="L3" s="14" t="inlineStr">
        <is>
          <t>Status</t>
        </is>
      </c>
    </row>
    <row r="4">
      <c r="A4" s="10" t="inlineStr">
        <is>
          <t>Week 1</t>
        </is>
      </c>
      <c r="B4" s="10" t="n">
        <v>51.2</v>
      </c>
      <c r="C4" s="16" t="inlineStr">
        <is>
          <t>Phone Case Attach Engine (screen guard + charm + strap)</t>
        </is>
      </c>
      <c r="D4" s="16" t="inlineStr">
        <is>
          <t>Phone Cases</t>
        </is>
      </c>
      <c r="E4" s="16" t="inlineStr">
        <is>
          <t>Unassigned</t>
        </is>
      </c>
      <c r="F4" s="9" t="inlineStr">
        <is>
          <t>On every phone-case PDP + cart, show a 'Complete your case' rail: matching tempered-glass ...</t>
        </is>
      </c>
      <c r="G4" s="16" t="inlineStr">
        <is>
          <t>Merch rule / FBT widget</t>
        </is>
      </c>
      <c r="H4" s="10" t="inlineStr"/>
      <c r="I4" s="10" t="inlineStr"/>
      <c r="J4" s="16" t="inlineStr">
        <is>
          <t>Units per Transaction</t>
        </is>
      </c>
      <c r="K4" s="10" t="inlineStr">
        <is>
          <t>High</t>
        </is>
      </c>
      <c r="L4" s="10" t="inlineStr">
        <is>
          <t>Not started</t>
        </is>
      </c>
    </row>
    <row r="5">
      <c r="A5" s="10" t="inlineStr">
        <is>
          <t>Week 1</t>
        </is>
      </c>
      <c r="B5" s="10" t="n">
        <v>51.2</v>
      </c>
      <c r="C5" s="16" t="inlineStr">
        <is>
          <t>Cart &amp; checkout abandonment flow (email+SMS+push)</t>
        </is>
      </c>
      <c r="D5" s="16" t="inlineStr">
        <is>
          <t>Cross-category</t>
        </is>
      </c>
      <c r="E5" s="16" t="inlineStr">
        <is>
          <t>Unassigned</t>
        </is>
      </c>
      <c r="F5" s="9" t="inlineStr">
        <is>
          <t>3-step abandonment series: 30min reminder, 24h with social proof, 48h with a modest incent...</t>
        </is>
      </c>
      <c r="G5" s="16" t="inlineStr">
        <is>
          <t>CRM/ESP flows + events</t>
        </is>
      </c>
      <c r="H5" s="10" t="inlineStr"/>
      <c r="I5" s="10" t="inlineStr"/>
      <c r="J5" s="16" t="inlineStr">
        <is>
          <t>Revenue from CRM audiences</t>
        </is>
      </c>
      <c r="K5" s="10" t="inlineStr">
        <is>
          <t>High</t>
        </is>
      </c>
      <c r="L5" s="10" t="inlineStr">
        <is>
          <t>Not started</t>
        </is>
      </c>
    </row>
    <row r="6">
      <c r="A6" s="10" t="inlineStr">
        <is>
          <t>Week 1</t>
        </is>
      </c>
      <c r="B6" s="10" t="n">
        <v>48</v>
      </c>
      <c r="C6" s="16" t="inlineStr">
        <is>
          <t>Cart low-price add-on rail (impulse SKUs)</t>
        </is>
      </c>
      <c r="D6" s="16" t="inlineStr">
        <is>
          <t>Impulse tech</t>
        </is>
      </c>
      <c r="E6" s="16" t="inlineStr">
        <is>
          <t>Unassigned</t>
        </is>
      </c>
      <c r="F6" s="9" t="inlineStr">
        <is>
          <t>In cart, show a horizontal 'Add for a little more' rail of high-margin impulse SKUs &lt;Rs499...</t>
        </is>
      </c>
      <c r="G6" s="16" t="inlineStr">
        <is>
          <t>Cart widget</t>
        </is>
      </c>
      <c r="H6" s="10" t="inlineStr"/>
      <c r="I6" s="10" t="inlineStr"/>
      <c r="J6" s="16" t="inlineStr">
        <is>
          <t>Units per Transaction</t>
        </is>
      </c>
      <c r="K6" s="10" t="inlineStr">
        <is>
          <t>Med</t>
        </is>
      </c>
      <c r="L6" s="10" t="inlineStr">
        <is>
          <t>Not started</t>
        </is>
      </c>
    </row>
    <row r="7">
      <c r="A7" s="10" t="inlineStr">
        <is>
          <t>Week 1</t>
        </is>
      </c>
      <c r="B7" s="10" t="n">
        <v>48</v>
      </c>
      <c r="C7" s="16" t="inlineStr">
        <is>
          <t>Bestseller &amp; high-margin SKU prioritisation on PLP/home</t>
        </is>
      </c>
      <c r="D7" s="16" t="inlineStr">
        <is>
          <t>Cross-category</t>
        </is>
      </c>
      <c r="E7" s="16" t="inlineStr">
        <is>
          <t>Unassigned</t>
        </is>
      </c>
      <c r="F7" s="9" t="inlineStr">
        <is>
          <t>Re-sort PLPs and homepage rails to lead with proven high-CVR, high-margin bestsellers (Wra...</t>
        </is>
      </c>
      <c r="G7" s="16" t="inlineStr">
        <is>
          <t>Merch sort rules</t>
        </is>
      </c>
      <c r="H7" s="10" t="inlineStr"/>
      <c r="I7" s="10" t="inlineStr"/>
      <c r="J7" s="16" t="inlineStr">
        <is>
          <t>Conversion Rate</t>
        </is>
      </c>
      <c r="K7" s="10" t="inlineStr">
        <is>
          <t>Med</t>
        </is>
      </c>
      <c r="L7" s="10" t="inlineStr">
        <is>
          <t>Not started</t>
        </is>
      </c>
    </row>
    <row r="8">
      <c r="A8" s="10" t="inlineStr">
        <is>
          <t>Week 1</t>
        </is>
      </c>
      <c r="B8" s="10" t="n">
        <v>41</v>
      </c>
      <c r="C8" s="16" t="inlineStr">
        <is>
          <t>Prepaid free-shipping + Rs79 COD-fee reframing</t>
        </is>
      </c>
      <c r="D8" s="16" t="inlineStr">
        <is>
          <t>Cross-category</t>
        </is>
      </c>
      <c r="E8" s="16" t="inlineStr">
        <is>
          <t>Unassigned</t>
        </is>
      </c>
      <c r="F8" s="9" t="inlineStr">
        <is>
          <t>Make free shipping explicit and prepaid-gated with a visible bar ('You're Rs X from free s...</t>
        </is>
      </c>
      <c r="G8" s="16" t="inlineStr">
        <is>
          <t>Checkout config</t>
        </is>
      </c>
      <c r="H8" s="10" t="inlineStr"/>
      <c r="I8" s="10" t="inlineStr"/>
      <c r="J8" s="16" t="inlineStr">
        <is>
          <t>Checkout Completion</t>
        </is>
      </c>
      <c r="K8" s="10" t="inlineStr">
        <is>
          <t>High</t>
        </is>
      </c>
      <c r="L8" s="10" t="inlineStr">
        <is>
          <t>Not started</t>
        </is>
      </c>
    </row>
    <row r="9">
      <c r="A9" s="10" t="inlineStr">
        <is>
          <t>Week 1</t>
        </is>
      </c>
      <c r="B9" s="10" t="n">
        <v>32.8</v>
      </c>
      <c r="C9" s="16" t="inlineStr">
        <is>
          <t>Power Bank + MagSafe Case cross-sell bundle</t>
        </is>
      </c>
      <c r="D9" s="16" t="inlineStr">
        <is>
          <t>Power Banks</t>
        </is>
      </c>
      <c r="E9" s="16" t="inlineStr">
        <is>
          <t>Unassigned</t>
        </is>
      </c>
      <c r="F9" s="9" t="inlineStr">
        <is>
          <t>On Loop Qi2 power-bank PDPs, add 'Powers up perfectly with' a MagSafe case at bundle price...</t>
        </is>
      </c>
      <c r="G9" s="16" t="inlineStr">
        <is>
          <t>FBT widget</t>
        </is>
      </c>
      <c r="H9" s="10" t="inlineStr"/>
      <c r="I9" s="10" t="inlineStr"/>
      <c r="J9" s="16" t="inlineStr">
        <is>
          <t>Cross-category Purchase</t>
        </is>
      </c>
      <c r="K9" s="10" t="inlineStr">
        <is>
          <t>High</t>
        </is>
      </c>
      <c r="L9" s="10" t="inlineStr">
        <is>
          <t>Not started</t>
        </is>
      </c>
    </row>
    <row r="10">
      <c r="A10" s="10" t="inlineStr">
        <is>
          <t>Week 1</t>
        </is>
      </c>
      <c r="B10" s="10" t="n">
        <v>32.8</v>
      </c>
      <c r="C10" s="16" t="inlineStr">
        <is>
          <t>Watch-band multi-pack ('Band Wardrobe')</t>
        </is>
      </c>
      <c r="D10" s="16" t="inlineStr">
        <is>
          <t>Apple Watch Bands</t>
        </is>
      </c>
      <c r="E10" s="16" t="inlineStr">
        <is>
          <t>Unassigned</t>
        </is>
      </c>
      <c r="F10" s="9" t="inlineStr">
        <is>
          <t>On Apple Watch band PDPs offer buy-2-save-15% / buy-3-save-20% across bands (mix leather/s...</t>
        </is>
      </c>
      <c r="G10" s="16" t="inlineStr">
        <is>
          <t>Qty-tier promo</t>
        </is>
      </c>
      <c r="H10" s="10" t="inlineStr"/>
      <c r="I10" s="10" t="inlineStr"/>
      <c r="J10" s="16" t="inlineStr">
        <is>
          <t>Units per Transaction</t>
        </is>
      </c>
      <c r="K10" s="10" t="inlineStr">
        <is>
          <t>Med-High</t>
        </is>
      </c>
      <c r="L10" s="10" t="inlineStr">
        <is>
          <t>Not started</t>
        </is>
      </c>
    </row>
    <row r="11">
      <c r="A11" s="10" t="inlineStr">
        <is>
          <t>Week 1</t>
        </is>
      </c>
      <c r="B11" s="10" t="n">
        <v>30.7</v>
      </c>
      <c r="C11" s="16" t="inlineStr">
        <is>
          <t>Reviews &amp; UGC amplification on high-traffic PDPs</t>
        </is>
      </c>
      <c r="D11" s="16" t="inlineStr">
        <is>
          <t>Cross-category</t>
        </is>
      </c>
      <c r="E11" s="16" t="inlineStr">
        <is>
          <t>Unassigned</t>
        </is>
      </c>
      <c r="F11" s="9" t="inlineStr">
        <is>
          <t>Surface photo reviews, review count and Q&amp;A prominently on top PDPs; seed Q&amp;A for compatib...</t>
        </is>
      </c>
      <c r="G11" s="16" t="inlineStr">
        <is>
          <t>Reviews widget</t>
        </is>
      </c>
      <c r="H11" s="10" t="inlineStr"/>
      <c r="I11" s="10" t="inlineStr"/>
      <c r="J11" s="16" t="inlineStr">
        <is>
          <t>Conversion Rate</t>
        </is>
      </c>
      <c r="K11" s="10" t="inlineStr">
        <is>
          <t>Med</t>
        </is>
      </c>
      <c r="L11" s="10" t="inlineStr">
        <is>
          <t>Not started</t>
        </is>
      </c>
    </row>
    <row r="12">
      <c r="A12" s="10" t="inlineStr">
        <is>
          <t>Week 2</t>
        </is>
      </c>
      <c r="B12" s="10" t="n">
        <v>30.7</v>
      </c>
      <c r="C12" s="16" t="inlineStr">
        <is>
          <t>Prepaid-only deeper offer to convert COD share</t>
        </is>
      </c>
      <c r="D12" s="16" t="inlineStr">
        <is>
          <t>Cross-category</t>
        </is>
      </c>
      <c r="E12" s="16" t="inlineStr">
        <is>
          <t>Unassigned</t>
        </is>
      </c>
      <c r="F12" s="9" t="inlineStr">
        <is>
          <t>Offer the best price/gift ONLY on prepaid (COD gets base price); reframe as 'prepaid perks...</t>
        </is>
      </c>
      <c r="G12" s="16" t="inlineStr">
        <is>
          <t>Checkout rules</t>
        </is>
      </c>
      <c r="H12" s="10" t="inlineStr"/>
      <c r="I12" s="10" t="inlineStr"/>
      <c r="J12" s="16" t="inlineStr">
        <is>
          <t>Contribution margin</t>
        </is>
      </c>
      <c r="K12" s="10" t="inlineStr">
        <is>
          <t>Med</t>
        </is>
      </c>
      <c r="L12" s="10" t="inlineStr">
        <is>
          <t>Not started</t>
        </is>
      </c>
    </row>
    <row r="13">
      <c r="A13" s="10" t="inlineStr">
        <is>
          <t>Week 2</t>
        </is>
      </c>
      <c r="B13" s="10" t="n">
        <v>28.8</v>
      </c>
      <c r="C13" s="16" t="inlineStr">
        <is>
          <t>Express/1-tap payment (UPI intent, wallets, tokenised cards)</t>
        </is>
      </c>
      <c r="D13" s="16" t="inlineStr">
        <is>
          <t>Cross-category</t>
        </is>
      </c>
      <c r="E13" s="16" t="inlineStr">
        <is>
          <t>Unassigned</t>
        </is>
      </c>
      <c r="F13" s="9" t="inlineStr">
        <is>
          <t>Add UPI-intent one-tap, popular wallets, saved/tokenised cards and a prominent 'Pay by UPI...</t>
        </is>
      </c>
      <c r="G13" s="16" t="inlineStr">
        <is>
          <t>PSP integration + retry flow</t>
        </is>
      </c>
      <c r="H13" s="10" t="inlineStr"/>
      <c r="I13" s="10" t="inlineStr"/>
      <c r="J13" s="16" t="inlineStr">
        <is>
          <t>Checkout Completion</t>
        </is>
      </c>
      <c r="K13" s="10" t="inlineStr">
        <is>
          <t>Very High</t>
        </is>
      </c>
      <c r="L13" s="10" t="inlineStr">
        <is>
          <t>Not started</t>
        </is>
      </c>
    </row>
    <row r="14">
      <c r="A14" s="10" t="inlineStr">
        <is>
          <t>Week 2</t>
        </is>
      </c>
      <c r="B14" s="10" t="n">
        <v>24.6</v>
      </c>
      <c r="C14" s="16" t="inlineStr">
        <is>
          <t>Second-order accelerator coupon on thank-you + email</t>
        </is>
      </c>
      <c r="D14" s="16" t="inlineStr">
        <is>
          <t>Cross-category</t>
        </is>
      </c>
      <c r="E14" s="16" t="inlineStr">
        <is>
          <t>Unassigned</t>
        </is>
      </c>
      <c r="F14" s="9" t="inlineStr">
        <is>
          <t>Give every first-time buyer a time-boxed next-order incentive (e.g. Rs200 off next order w...</t>
        </is>
      </c>
      <c r="G14" s="16" t="inlineStr">
        <is>
          <t>Coupon + CRM flow</t>
        </is>
      </c>
      <c r="H14" s="10" t="inlineStr"/>
      <c r="I14" s="10" t="inlineStr"/>
      <c r="J14" s="16" t="inlineStr">
        <is>
          <t>Repeat Purchase</t>
        </is>
      </c>
      <c r="K14" s="10" t="inlineStr">
        <is>
          <t>High</t>
        </is>
      </c>
      <c r="L14" s="10" t="inlineStr">
        <is>
          <t>Not started</t>
        </is>
      </c>
    </row>
    <row r="15">
      <c r="A15" s="10" t="inlineStr">
        <is>
          <t>Week 2</t>
        </is>
      </c>
      <c r="B15" s="10" t="n">
        <v>24.6</v>
      </c>
      <c r="C15" s="16" t="inlineStr">
        <is>
          <t>First-order offer clarity + email/phone capture popup</t>
        </is>
      </c>
      <c r="D15" s="16" t="inlineStr">
        <is>
          <t>Cross-category</t>
        </is>
      </c>
      <c r="E15" s="16" t="inlineStr">
        <is>
          <t>Unassigned</t>
        </is>
      </c>
      <c r="F15" s="9" t="inlineStr">
        <is>
          <t>Tighten the welcome popup: 'Get Rs300 off your first order over Rs2,299 - unlock now' with...</t>
        </is>
      </c>
      <c r="G15" s="16" t="inlineStr">
        <is>
          <t>Popup + CRM</t>
        </is>
      </c>
      <c r="H15" s="10" t="inlineStr"/>
      <c r="I15" s="10" t="inlineStr"/>
      <c r="J15" s="16" t="inlineStr">
        <is>
          <t>New User Conversion</t>
        </is>
      </c>
      <c r="K15" s="10" t="inlineStr">
        <is>
          <t>Med-High</t>
        </is>
      </c>
      <c r="L15" s="10" t="inlineStr">
        <is>
          <t>Not started</t>
        </is>
      </c>
    </row>
    <row r="16">
      <c r="A16" s="10" t="inlineStr">
        <is>
          <t>Week 2</t>
        </is>
      </c>
      <c r="B16" s="10" t="n">
        <v>24.6</v>
      </c>
      <c r="C16" s="16" t="inlineStr">
        <is>
          <t>Return/exchange-friendly messaging to unlock high-consideration bags</t>
        </is>
      </c>
      <c r="D16" s="16" t="inlineStr">
        <is>
          <t>Backpacks</t>
        </is>
      </c>
      <c r="E16" s="16" t="inlineStr">
        <is>
          <t>Unassigned</t>
        </is>
      </c>
      <c r="F16" s="9" t="inlineStr">
        <is>
          <t>Add prominent easy-returns + warranty + '30-day trial' style reassurance on backpack/lugga...</t>
        </is>
      </c>
      <c r="G16" s="16" t="inlineStr">
        <is>
          <t>PDP content + returns policy</t>
        </is>
      </c>
      <c r="H16" s="10" t="inlineStr"/>
      <c r="I16" s="10" t="inlineStr"/>
      <c r="J16" s="16" t="inlineStr">
        <is>
          <t>Conversion Rate</t>
        </is>
      </c>
      <c r="K16" s="10" t="inlineStr">
        <is>
          <t>Med</t>
        </is>
      </c>
      <c r="L16" s="10" t="inlineStr">
        <is>
          <t>Not started</t>
        </is>
      </c>
    </row>
    <row r="17">
      <c r="A17" s="10" t="inlineStr">
        <is>
          <t>Week 2</t>
        </is>
      </c>
      <c r="B17" s="10" t="n">
        <v>23</v>
      </c>
      <c r="C17" s="16" t="inlineStr">
        <is>
          <t>Occasion &amp; gifting bundles (Diwali/Rakhi/wedding/corporate)</t>
        </is>
      </c>
      <c r="D17" s="16" t="inlineStr">
        <is>
          <t>Gifting</t>
        </is>
      </c>
      <c r="E17" s="16" t="inlineStr">
        <is>
          <t>Unassigned</t>
        </is>
      </c>
      <c r="F17" s="9" t="inlineStr">
        <is>
          <t>Stand up an occasion 'Gift Shop' with curated ready-to-gift bundles at 3 price points (Rs9...</t>
        </is>
      </c>
      <c r="G17" s="16" t="inlineStr">
        <is>
          <t>Merch collections + form</t>
        </is>
      </c>
      <c r="H17" s="10" t="inlineStr"/>
      <c r="I17" s="10" t="inlineStr"/>
      <c r="J17" s="16" t="inlineStr">
        <is>
          <t>Category Penetration</t>
        </is>
      </c>
      <c r="K17" s="10" t="inlineStr">
        <is>
          <t>High (seasonal)</t>
        </is>
      </c>
      <c r="L17" s="10" t="inlineStr">
        <is>
          <t>Not started</t>
        </is>
      </c>
    </row>
    <row r="18">
      <c r="A18" s="10" t="inlineStr">
        <is>
          <t>Week 2</t>
        </is>
      </c>
      <c r="B18" s="10" t="n">
        <v>23</v>
      </c>
      <c r="C18" s="16" t="inlineStr">
        <is>
          <t>PDP 'Frequently Bought Together' module (data-driven)</t>
        </is>
      </c>
      <c r="D18" s="16" t="inlineStr">
        <is>
          <t>Cross-category</t>
        </is>
      </c>
      <c r="E18" s="16" t="inlineStr">
        <is>
          <t>Unassigned</t>
        </is>
      </c>
      <c r="F18" s="9" t="inlineStr">
        <is>
          <t>Add an FBT module on top PDPs seeded by real co-purchase/affinity: e.g. case-&gt;screen guard...</t>
        </is>
      </c>
      <c r="G18" s="16" t="inlineStr">
        <is>
          <t>Recommendation widget</t>
        </is>
      </c>
      <c r="H18" s="10" t="inlineStr"/>
      <c r="I18" s="10" t="inlineStr"/>
      <c r="J18" s="16" t="inlineStr">
        <is>
          <t>Units per Transaction</t>
        </is>
      </c>
      <c r="K18" s="10" t="inlineStr">
        <is>
          <t>High</t>
        </is>
      </c>
      <c r="L18" s="10" t="inlineStr">
        <is>
          <t>Not started</t>
        </is>
      </c>
    </row>
    <row r="19">
      <c r="A19" s="10" t="inlineStr">
        <is>
          <t>Week 2</t>
        </is>
      </c>
      <c r="B19" s="10" t="n">
        <v>23</v>
      </c>
      <c r="C19" s="16" t="inlineStr">
        <is>
          <t>PDP trust + urgency pack (reviews, delivery ETA, low-stock, payment offers)</t>
        </is>
      </c>
      <c r="D19" s="16" t="inlineStr">
        <is>
          <t>Cross-category</t>
        </is>
      </c>
      <c r="E19" s="16" t="inlineStr">
        <is>
          <t>Unassigned</t>
        </is>
      </c>
      <c r="F19" s="9" t="inlineStr">
        <is>
          <t>Standardise above-the-fold PDP trust cues: star rating + review count, 'Delivered by &lt;date...</t>
        </is>
      </c>
      <c r="G19" s="16" t="inlineStr">
        <is>
          <t>PDP template + pincode ETA</t>
        </is>
      </c>
      <c r="H19" s="10" t="inlineStr"/>
      <c r="I19" s="10" t="inlineStr"/>
      <c r="J19" s="16" t="inlineStr">
        <is>
          <t>Conversion Rate</t>
        </is>
      </c>
      <c r="K19" s="10" t="inlineStr">
        <is>
          <t>Med-High</t>
        </is>
      </c>
      <c r="L19" s="10" t="inlineStr">
        <is>
          <t>Not started</t>
        </is>
      </c>
    </row>
    <row r="20">
      <c r="A20" s="10" t="inlineStr">
        <is>
          <t>Week 2</t>
        </is>
      </c>
      <c r="B20" s="10" t="n">
        <v>23</v>
      </c>
      <c r="C20" s="16" t="inlineStr">
        <is>
          <t>Price anchoring &amp; 'you save' on MRP-discount SKUs</t>
        </is>
      </c>
      <c r="D20" s="16" t="inlineStr">
        <is>
          <t>Phone Cases</t>
        </is>
      </c>
      <c r="E20" s="16" t="inlineStr">
        <is>
          <t>Unassigned</t>
        </is>
      </c>
      <c r="F20" s="9" t="inlineStr">
        <is>
          <t>Consistently show MRP struck-through + 'You save Rs X (Y%)' on PDP/PLP/cart, plus per-unit...</t>
        </is>
      </c>
      <c r="G20" s="16" t="inlineStr">
        <is>
          <t>PDP/PLP template</t>
        </is>
      </c>
      <c r="H20" s="10" t="inlineStr"/>
      <c r="I20" s="10" t="inlineStr"/>
      <c r="J20" s="16" t="inlineStr">
        <is>
          <t>Conversion Rate</t>
        </is>
      </c>
      <c r="K20" s="10" t="inlineStr">
        <is>
          <t>Med</t>
        </is>
      </c>
      <c r="L20" s="10" t="inlineStr">
        <is>
          <t>Not started</t>
        </is>
      </c>
    </row>
    <row r="21">
      <c r="A21" s="10" t="inlineStr">
        <is>
          <t>Week 2</t>
        </is>
      </c>
      <c r="B21" s="10" t="n">
        <v>23</v>
      </c>
      <c r="C21" s="16" t="inlineStr">
        <is>
          <t>Price-point stores ('Under Rs999', 'Rs999-1999', 'Premium')</t>
        </is>
      </c>
      <c r="D21" s="16" t="inlineStr">
        <is>
          <t>Cross-category</t>
        </is>
      </c>
      <c r="E21" s="16" t="inlineStr">
        <is>
          <t>Unassigned</t>
        </is>
      </c>
      <c r="F21" s="9" t="inlineStr">
        <is>
          <t>Add shop-by-price navigation and landing pages: 'Under Rs999' (impulse/gift entry), 'Rs999...</t>
        </is>
      </c>
      <c r="G21" s="16" t="inlineStr">
        <is>
          <t>Merch collections</t>
        </is>
      </c>
      <c r="H21" s="10" t="inlineStr"/>
      <c r="I21" s="10" t="inlineStr"/>
      <c r="J21" s="16" t="inlineStr">
        <is>
          <t>Conversion Rate</t>
        </is>
      </c>
      <c r="K21" s="10" t="inlineStr">
        <is>
          <t>Med</t>
        </is>
      </c>
      <c r="L21" s="10" t="inlineStr">
        <is>
          <t>Not started</t>
        </is>
      </c>
    </row>
    <row r="22">
      <c r="A22" s="10" t="inlineStr">
        <is>
          <t>Week 2</t>
        </is>
      </c>
      <c r="B22" s="10" t="n">
        <v>23</v>
      </c>
      <c r="C22" s="16" t="inlineStr">
        <is>
          <t>Bank/UPI offer strip surfaced across funnel</t>
        </is>
      </c>
      <c r="D22" s="16" t="inlineStr">
        <is>
          <t>Cross-category</t>
        </is>
      </c>
      <c r="E22" s="16" t="inlineStr">
        <is>
          <t>Unassigned</t>
        </is>
      </c>
      <c r="F22" s="9" t="inlineStr">
        <is>
          <t>Surface live bank/UPI/cashback offers (HDFC SmartBuy, UPI cashback) as a strip on PDP/cart...</t>
        </is>
      </c>
      <c r="G22" s="16" t="inlineStr">
        <is>
          <t>Offers strip</t>
        </is>
      </c>
      <c r="H22" s="10" t="inlineStr"/>
      <c r="I22" s="10" t="inlineStr"/>
      <c r="J22" s="16" t="inlineStr">
        <is>
          <t>Checkout Completion</t>
        </is>
      </c>
      <c r="K22" s="10" t="inlineStr">
        <is>
          <t>Med</t>
        </is>
      </c>
      <c r="L22" s="10" t="inlineStr">
        <is>
          <t>Not started</t>
        </is>
      </c>
    </row>
    <row r="23">
      <c r="A23" s="10" t="inlineStr">
        <is>
          <t>Week 2</t>
        </is>
      </c>
      <c r="B23" s="10" t="n">
        <v>18.4</v>
      </c>
      <c r="C23" s="16" t="inlineStr">
        <is>
          <t>Payday / salary-week revenue moment</t>
        </is>
      </c>
      <c r="D23" s="16" t="inlineStr">
        <is>
          <t>Cross-category</t>
        </is>
      </c>
      <c r="E23" s="16" t="inlineStr">
        <is>
          <t>Unassigned</t>
        </is>
      </c>
      <c r="F23" s="9" t="inlineStr">
        <is>
          <t>Run a recurring 'Payday Edit' (25th-2nd) with UPI cashback + a curated higher-AOV edit and...</t>
        </is>
      </c>
      <c r="G23" s="16" t="inlineStr">
        <is>
          <t>Merch + CRM calendar</t>
        </is>
      </c>
      <c r="H23" s="10" t="inlineStr"/>
      <c r="I23" s="10" t="inlineStr"/>
      <c r="J23" s="16" t="inlineStr">
        <is>
          <t>Revenue per Visitor</t>
        </is>
      </c>
      <c r="K23" s="10" t="inlineStr">
        <is>
          <t>Med</t>
        </is>
      </c>
      <c r="L23" s="10" t="inlineStr">
        <is>
          <t>Not started</t>
        </is>
      </c>
    </row>
    <row r="24">
      <c r="A24" s="10" t="inlineStr">
        <is>
          <t>Week 2</t>
        </is>
      </c>
      <c r="B24" s="10" t="n">
        <v>18.4</v>
      </c>
      <c r="C24" s="16" t="inlineStr">
        <is>
          <t>Free-gift threshold aligned to WELCOME300 (Rs2,299)</t>
        </is>
      </c>
      <c r="D24" s="16" t="inlineStr">
        <is>
          <t>Cross-category</t>
        </is>
      </c>
      <c r="E24" s="16" t="inlineStr">
        <is>
          <t>Unassigned</t>
        </is>
      </c>
      <c r="F24" s="9" t="inlineStr">
        <is>
          <t>Align the first-order threshold and a free-gift/free-ship rung at the SAME Rs2,299 point s...</t>
        </is>
      </c>
      <c r="G24" s="16" t="inlineStr">
        <is>
          <t>Cart rules</t>
        </is>
      </c>
      <c r="H24" s="10" t="inlineStr"/>
      <c r="I24" s="10" t="inlineStr"/>
      <c r="J24" s="16" t="inlineStr">
        <is>
          <t>New User Conversion</t>
        </is>
      </c>
      <c r="K24" s="10" t="inlineStr">
        <is>
          <t>Med</t>
        </is>
      </c>
      <c r="L24" s="10" t="inlineStr">
        <is>
          <t>Not started</t>
        </is>
      </c>
    </row>
    <row r="25">
      <c r="A25" s="10" t="inlineStr">
        <is>
          <t>Week 2</t>
        </is>
      </c>
      <c r="B25" s="10" t="n">
        <v>15.4</v>
      </c>
      <c r="C25" s="16" t="inlineStr">
        <is>
          <t>Weekend flash 'Drop' on high-margin impulse SKUs</t>
        </is>
      </c>
      <c r="D25" s="16" t="inlineStr">
        <is>
          <t>Impulse tech</t>
        </is>
      </c>
      <c r="E25" s="16" t="inlineStr">
        <is>
          <t>Unassigned</t>
        </is>
      </c>
      <c r="F25" s="9" t="inlineStr">
        <is>
          <t>Every weekend feature a limited 'Weekend Drop' of genuine limited-inventory or new impulse...</t>
        </is>
      </c>
      <c r="G25" s="16" t="inlineStr">
        <is>
          <t>Merch + countdown</t>
        </is>
      </c>
      <c r="H25" s="10" t="inlineStr"/>
      <c r="I25" s="10" t="inlineStr"/>
      <c r="J25" s="16" t="inlineStr">
        <is>
          <t>Conversion Rate</t>
        </is>
      </c>
      <c r="K25" s="10" t="inlineStr">
        <is>
          <t>Low-Med</t>
        </is>
      </c>
      <c r="L25" s="10" t="inlineStr">
        <is>
          <t>Not started</t>
        </is>
      </c>
    </row>
    <row r="26">
      <c r="A26" s="10" t="inlineStr">
        <is>
          <t>Week 2</t>
        </is>
      </c>
      <c r="B26" s="10" t="n">
        <v>12.3</v>
      </c>
      <c r="C26" s="16" t="inlineStr">
        <is>
          <t>Spend ladder: tiered % on basket size (buy-more-save-more)</t>
        </is>
      </c>
      <c r="D26" s="16" t="inlineStr">
        <is>
          <t>Cross-category</t>
        </is>
      </c>
      <c r="E26" s="16" t="inlineStr">
        <is>
          <t>Unassigned</t>
        </is>
      </c>
      <c r="F26" s="9" t="inlineStr">
        <is>
          <t>Sitewide (or category) ladder: spend Rs1,999 save 5%, Rs2,999 save 10%, Rs3,999 save 12% -...</t>
        </is>
      </c>
      <c r="G26" s="16" t="inlineStr">
        <is>
          <t>Cart promo engine</t>
        </is>
      </c>
      <c r="H26" s="10" t="inlineStr"/>
      <c r="I26" s="10" t="inlineStr"/>
      <c r="J26" s="16" t="inlineStr">
        <is>
          <t>AOV</t>
        </is>
      </c>
      <c r="K26" s="10" t="inlineStr">
        <is>
          <t>Med-High</t>
        </is>
      </c>
      <c r="L26" s="10" t="inlineStr">
        <is>
          <t>Not started</t>
        </is>
      </c>
    </row>
    <row r="27">
      <c r="A27" s="10" t="inlineStr">
        <is>
          <t>Week 3</t>
        </is>
      </c>
      <c r="B27" s="10" t="n">
        <v>23</v>
      </c>
      <c r="C27" s="16" t="inlineStr">
        <is>
          <t>Browse-abandonment &amp; category-intent triggers</t>
        </is>
      </c>
      <c r="D27" s="16" t="inlineStr">
        <is>
          <t>Cross-category</t>
        </is>
      </c>
      <c r="E27" s="16" t="inlineStr">
        <is>
          <t>Unassigned</t>
        </is>
      </c>
      <c r="F27" s="9" t="inlineStr">
        <is>
          <t>Trigger flows off high-intent browsing: viewed a case model 2+ times, viewed power banks, ...</t>
        </is>
      </c>
      <c r="G27" s="16" t="inlineStr">
        <is>
          <t>CRM behavioural triggers</t>
        </is>
      </c>
      <c r="H27" s="10" t="inlineStr"/>
      <c r="I27" s="10" t="inlineStr"/>
      <c r="J27" s="16" t="inlineStr">
        <is>
          <t>Revenue from CRM audiences</t>
        </is>
      </c>
      <c r="K27" s="10" t="inlineStr">
        <is>
          <t>Med-High</t>
        </is>
      </c>
      <c r="L27" s="10" t="inlineStr">
        <is>
          <t>Not started</t>
        </is>
      </c>
    </row>
    <row r="28">
      <c r="A28" s="10" t="inlineStr">
        <is>
          <t>Week 3</t>
        </is>
      </c>
      <c r="B28" s="10" t="n">
        <v>23</v>
      </c>
      <c r="C28" s="16" t="inlineStr">
        <is>
          <t>SMS + WhatsApp high-intent programme scale-up</t>
        </is>
      </c>
      <c r="D28" s="16" t="inlineStr">
        <is>
          <t>Cross-category</t>
        </is>
      </c>
      <c r="E28" s="16" t="inlineStr">
        <is>
          <t>Unassigned</t>
        </is>
      </c>
      <c r="F28" s="9" t="inlineStr">
        <is>
          <t>Grow opt-in SMS/WhatsApp for order-linked + high-intent moments (abandonment, BIS, drops, ...</t>
        </is>
      </c>
      <c r="G28" s="16" t="inlineStr">
        <is>
          <t>SMS/WA platform + opt-in capture</t>
        </is>
      </c>
      <c r="H28" s="10" t="inlineStr"/>
      <c r="I28" s="10" t="inlineStr"/>
      <c r="J28" s="16" t="inlineStr">
        <is>
          <t>Revenue from CRM audiences</t>
        </is>
      </c>
      <c r="K28" s="10" t="inlineStr">
        <is>
          <t>High</t>
        </is>
      </c>
      <c r="L28" s="10" t="inlineStr">
        <is>
          <t>Not started</t>
        </is>
      </c>
    </row>
    <row r="29">
      <c r="A29" s="10" t="inlineStr">
        <is>
          <t>Week 3</t>
        </is>
      </c>
      <c r="B29" s="10" t="n">
        <v>23</v>
      </c>
      <c r="C29" s="16" t="inlineStr">
        <is>
          <t>Shop-by-device hub upgrade (iPhone 17 / Galaxy S25 / Apple Watch)</t>
        </is>
      </c>
      <c r="D29" s="16" t="inlineStr">
        <is>
          <t>Phone Cases</t>
        </is>
      </c>
      <c r="E29" s="16" t="inlineStr">
        <is>
          <t>Unassigned</t>
        </is>
      </c>
      <c r="F29" s="9" t="inlineStr">
        <is>
          <t>Strengthen 'Shop by Apple/device' into a guided hub: pick your phone/watch -&gt; see all comp...</t>
        </is>
      </c>
      <c r="G29" s="16" t="inlineStr">
        <is>
          <t>Merch + compatibility mapping</t>
        </is>
      </c>
      <c r="H29" s="10" t="inlineStr"/>
      <c r="I29" s="10" t="inlineStr"/>
      <c r="J29" s="16" t="inlineStr">
        <is>
          <t>Conversion Rate</t>
        </is>
      </c>
      <c r="K29" s="10" t="inlineStr">
        <is>
          <t>Med-High</t>
        </is>
      </c>
      <c r="L29" s="10" t="inlineStr">
        <is>
          <t>Not started</t>
        </is>
      </c>
    </row>
    <row r="30">
      <c r="A30" s="10" t="inlineStr">
        <is>
          <t>Week 3</t>
        </is>
      </c>
      <c r="B30" s="10" t="n">
        <v>23</v>
      </c>
      <c r="C30" s="16" t="inlineStr">
        <is>
          <t>Device-launch attach campaign (new iPhone/Galaxy/Apple Watch)</t>
        </is>
      </c>
      <c r="D30" s="16" t="inlineStr">
        <is>
          <t>Phone Cases</t>
        </is>
      </c>
      <c r="E30" s="16" t="inlineStr">
        <is>
          <t>Unassigned</t>
        </is>
      </c>
      <c r="F30" s="9" t="inlineStr">
        <is>
          <t>Pre-build 'New iPhone? Gear up' hubs and CRM/ads timed to launches: new-model cases + scre...</t>
        </is>
      </c>
      <c r="G30" s="16" t="inlineStr">
        <is>
          <t>Merch + inventory + CRM</t>
        </is>
      </c>
      <c r="H30" s="10" t="inlineStr"/>
      <c r="I30" s="10" t="inlineStr"/>
      <c r="J30" s="16" t="inlineStr">
        <is>
          <t>Category Penetration</t>
        </is>
      </c>
      <c r="K30" s="10" t="inlineStr">
        <is>
          <t>High (event)</t>
        </is>
      </c>
      <c r="L30" s="10" t="inlineStr">
        <is>
          <t>Not started</t>
        </is>
      </c>
    </row>
    <row r="31">
      <c r="A31" s="10" t="inlineStr">
        <is>
          <t>Week 3</t>
        </is>
      </c>
      <c r="B31" s="10" t="n">
        <v>23</v>
      </c>
      <c r="C31" s="16" t="inlineStr">
        <is>
          <t>Abandonment + prepaid-fail SMS with UPI retry link</t>
        </is>
      </c>
      <c r="D31" s="16" t="inlineStr">
        <is>
          <t>Cross-category</t>
        </is>
      </c>
      <c r="E31" s="16" t="inlineStr">
        <is>
          <t>Unassigned</t>
        </is>
      </c>
      <c r="F31" s="9" t="inlineStr">
        <is>
          <t>For payment-failed/COD-abandon orders, send an instant SMS/WhatsApp with a one-tap UPI ret...</t>
        </is>
      </c>
      <c r="G31" s="16" t="inlineStr">
        <is>
          <t>PSP webhook + SMS/WA</t>
        </is>
      </c>
      <c r="H31" s="10" t="inlineStr"/>
      <c r="I31" s="10" t="inlineStr"/>
      <c r="J31" s="16" t="inlineStr">
        <is>
          <t>Checkout Completion</t>
        </is>
      </c>
      <c r="K31" s="10" t="inlineStr">
        <is>
          <t>High</t>
        </is>
      </c>
      <c r="L31" s="10" t="inlineStr">
        <is>
          <t>Not started</t>
        </is>
      </c>
    </row>
    <row r="32">
      <c r="A32" s="10" t="inlineStr">
        <is>
          <t>Week 3</t>
        </is>
      </c>
      <c r="B32" s="10" t="n">
        <v>18.4</v>
      </c>
      <c r="C32" s="16" t="inlineStr">
        <is>
          <t>Bag 'Complete the Carry' attach (sleeve + tech organiser)</t>
        </is>
      </c>
      <c r="D32" s="16" t="inlineStr">
        <is>
          <t>Backpacks</t>
        </is>
      </c>
      <c r="E32" s="16" t="inlineStr">
        <is>
          <t>Unassigned</t>
        </is>
      </c>
      <c r="F32" s="9" t="inlineStr">
        <is>
          <t>On backpack/sling/laptop-bag PDPs, offer a 3-piece 'Carry System': bag + matching laptop s...</t>
        </is>
      </c>
      <c r="G32" s="16" t="inlineStr">
        <is>
          <t>PDP kit builder</t>
        </is>
      </c>
      <c r="H32" s="10" t="inlineStr"/>
      <c r="I32" s="10" t="inlineStr"/>
      <c r="J32" s="16" t="inlineStr">
        <is>
          <t>Cross-category Purchase</t>
        </is>
      </c>
      <c r="K32" s="10" t="inlineStr">
        <is>
          <t>High</t>
        </is>
      </c>
      <c r="L32" s="10" t="inlineStr">
        <is>
          <t>Not started</t>
        </is>
      </c>
    </row>
    <row r="33">
      <c r="A33" s="10" t="inlineStr">
        <is>
          <t>Week 3</t>
        </is>
      </c>
      <c r="B33" s="10" t="n">
        <v>18.4</v>
      </c>
      <c r="C33" s="16" t="inlineStr">
        <is>
          <t>Cart free-gift ladder tied to AOV bands</t>
        </is>
      </c>
      <c r="D33" s="16" t="inlineStr">
        <is>
          <t>Cross-category</t>
        </is>
      </c>
      <c r="E33" s="16" t="inlineStr">
        <is>
          <t>Unassigned</t>
        </is>
      </c>
      <c r="F33" s="9" t="inlineStr">
        <is>
          <t>Cart progress bar with a 2-rung gift ladder: spend Rs1,999 -&gt; free premium cable bind; spe...</t>
        </is>
      </c>
      <c r="G33" s="16" t="inlineStr">
        <is>
          <t>Cart GWP engine</t>
        </is>
      </c>
      <c r="H33" s="10" t="inlineStr"/>
      <c r="I33" s="10" t="inlineStr"/>
      <c r="J33" s="16" t="inlineStr">
        <is>
          <t>AOV</t>
        </is>
      </c>
      <c r="K33" s="10" t="inlineStr">
        <is>
          <t>High</t>
        </is>
      </c>
      <c r="L33" s="10" t="inlineStr">
        <is>
          <t>Not started</t>
        </is>
      </c>
    </row>
  </sheetData>
  <autoFilter ref="A3:L33"/>
  <mergeCells count="2">
    <mergeCell ref="A2:L2"/>
    <mergeCell ref="A1:L1"/>
  </mergeCells>
  <conditionalFormatting sqref="A4:A33">
    <cfRule type="expression" priority="1" dxfId="2">
      <formula>EXACT($A4,"Week 1")</formula>
    </cfRule>
    <cfRule type="expression" priority="2" dxfId="5">
      <formula>EXACT($A4,"Week 2")</formula>
    </cfRule>
    <cfRule type="expression" priority="3" dxfId="6">
      <formula>EXACT($A4,"Week 3")</formula>
    </cfRule>
    <cfRule type="expression" priority="4" dxfId="7">
      <formula>EXACT($A4,"Week 4")</formula>
    </cfRule>
  </conditionalFormatting>
  <dataValidations count="2">
    <dataValidation sqref="L4 L5 L6 L7 L8 L9 L10 L11 L12 L13 L14 L15 L16 L17 L18 L19 L20 L21 L22 L23 L24 L25 L26 L27 L28 L29 L30 L31 L32 L33" showDropDown="0" showInputMessage="0" showErrorMessage="0" allowBlank="1" type="list">
      <formula1>"Not started,In progress,Blocked,Live,Done"</formula1>
    </dataValidation>
    <dataValidation sqref="E4 E5 E6 E7 E8 E9 E10 E11 E12 E13 E14 E15 E16 E17 E18 E19 E20 E21 E22 E23 E24 E25 E26 E27 E28 E29 E30 E31 E32 E33" showDropDown="0" showInputMessage="0" showErrorMessage="0" allowBlank="1" type="list">
      <formula1>"Growth,CRM,Merchandising,Product/Eng,Performance Mktg,Retention,Design,Unassigned"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3"/>
  <sheetViews>
    <sheetView workbookViewId="0">
      <pane ySplit="3" topLeftCell="A4" activePane="bottomLeft" state="frozen"/>
      <selection pane="bottomLeft" activeCell="A1" sqref="A1"/>
    </sheetView>
  </sheetViews>
  <sheetFormatPr baseColWidth="8" defaultRowHeight="15"/>
  <cols>
    <col width="9" customWidth="1" min="1" max="1"/>
    <col width="20" customWidth="1" min="2" max="2"/>
    <col width="16" customWidth="1" min="3" max="3"/>
    <col width="50" customWidth="1" min="4" max="4"/>
    <col width="34" customWidth="1" min="5" max="5"/>
    <col width="11" customWidth="1" min="6" max="6"/>
    <col width="30" customWidth="1" min="7" max="7"/>
    <col width="16" customWidth="1" min="8" max="8"/>
    <col width="20" customWidth="1" min="9" max="9"/>
  </cols>
  <sheetData>
    <row r="1" ht="30" customHeight="1">
      <c r="A1" s="22" t="inlineStr">
        <is>
          <t>RESEARCH SOURCES</t>
        </is>
      </c>
    </row>
    <row r="2" ht="22" customHeight="1">
      <c r="A2" s="2" t="inlineStr">
        <is>
          <t>Auditable source log. Internal data = High reliability; external brand tactics = 'Reported' (search-index, re-verify live).</t>
        </is>
      </c>
    </row>
    <row r="3" ht="34" customHeight="1">
      <c r="A3" s="14" t="inlineStr">
        <is>
          <t>Source ID</t>
        </is>
      </c>
      <c r="B3" s="14" t="inlineStr">
        <is>
          <t>Brand / Entity</t>
        </is>
      </c>
      <c r="C3" s="14" t="inlineStr">
        <is>
          <t>Source Type</t>
        </is>
      </c>
      <c r="D3" s="14" t="inlineStr">
        <is>
          <t>Title / Description</t>
        </is>
      </c>
      <c r="E3" s="14" t="inlineStr">
        <is>
          <t>URL</t>
        </is>
      </c>
      <c r="F3" s="14" t="inlineStr">
        <is>
          <t>Date</t>
        </is>
      </c>
      <c r="G3" s="14" t="inlineStr">
        <is>
          <t>What It Supports</t>
        </is>
      </c>
      <c r="H3" s="14" t="inlineStr">
        <is>
          <t>Reliability</t>
        </is>
      </c>
      <c r="I3" s="14" t="inlineStr">
        <is>
          <t>Used In</t>
        </is>
      </c>
    </row>
    <row r="4">
      <c r="A4" s="10" t="inlineStr">
        <is>
          <t>S01</t>
        </is>
      </c>
      <c r="B4" s="16" t="inlineStr">
        <is>
          <t>DailyObjects</t>
        </is>
      </c>
      <c r="C4" s="16" t="inlineStr">
        <is>
          <t>Internal analytics</t>
        </is>
      </c>
      <c r="D4" s="9" t="inlineStr">
        <is>
          <t>GA4 property 'DO - GA4' (273672074) via Windsor.ai - funnel, device, channel, new/return, category, landing pages</t>
        </is>
      </c>
      <c r="E4" s="16" t="inlineStr">
        <is>
          <t>GA4 'DO - GA4' (273672074), via Windsor.ai, pulled 2026-08-10</t>
        </is>
      </c>
      <c r="F4" s="10" t="inlineStr">
        <is>
          <t>2026-08-10</t>
        </is>
      </c>
      <c r="G4" s="9" t="inlineStr">
        <is>
          <t>All internal metrics &amp; category economics</t>
        </is>
      </c>
      <c r="H4" s="10" t="inlineStr">
        <is>
          <t>High</t>
        </is>
      </c>
      <c r="I4" s="16" t="inlineStr">
        <is>
          <t>All GA4-cited ideas</t>
        </is>
      </c>
    </row>
    <row r="5">
      <c r="A5" s="20" t="inlineStr">
        <is>
          <t>S02</t>
        </is>
      </c>
      <c r="B5" s="19" t="inlineStr">
        <is>
          <t>DailyObjects</t>
        </is>
      </c>
      <c r="C5" s="19" t="inlineStr">
        <is>
          <t>Internal file</t>
        </is>
      </c>
      <c r="D5" s="25" t="inlineStr">
        <is>
          <t>Order-level file daily-marketing-report-v2-2.csv (Order Total, Qty, Discount, Payment, Source)</t>
        </is>
      </c>
      <c r="E5" s="19" t="inlineStr">
        <is>
          <t>Google Drive (internal)</t>
        </is>
      </c>
      <c r="F5" s="20" t="inlineStr">
        <is>
          <t>2025-10</t>
        </is>
      </c>
      <c r="G5" s="25" t="inlineStr">
        <is>
          <t>AOV/threshold/discount/payment analysis</t>
        </is>
      </c>
      <c r="H5" s="20" t="inlineStr">
        <is>
          <t>High</t>
        </is>
      </c>
      <c r="I5" s="19" t="inlineStr">
        <is>
          <t>ID06-08,49,53; Tab 7</t>
        </is>
      </c>
    </row>
    <row r="6">
      <c r="A6" s="10" t="inlineStr">
        <is>
          <t>S03</t>
        </is>
      </c>
      <c r="B6" s="16" t="inlineStr">
        <is>
          <t>DailyObjects</t>
        </is>
      </c>
      <c r="C6" s="16" t="inlineStr">
        <is>
          <t>Internal deck</t>
        </is>
      </c>
      <c r="D6" s="9" t="inlineStr">
        <is>
          <t>VoC deck - 80,303 reviews across 11,771 SKUs + returns</t>
        </is>
      </c>
      <c r="E6" s="16" t="inlineStr">
        <is>
          <t>Google Drive (internal)</t>
        </is>
      </c>
      <c r="F6" s="10" t="inlineStr">
        <is>
          <t>2026-08</t>
        </is>
      </c>
      <c r="G6" s="9" t="inlineStr">
        <is>
          <t>Social proof, returns, PDP trust</t>
        </is>
      </c>
      <c r="H6" s="10" t="inlineStr">
        <is>
          <t>High</t>
        </is>
      </c>
      <c r="I6" s="16" t="inlineStr">
        <is>
          <t>ID14,ID51</t>
        </is>
      </c>
    </row>
    <row r="7">
      <c r="A7" s="20" t="inlineStr">
        <is>
          <t>S04</t>
        </is>
      </c>
      <c r="B7" s="19" t="inlineStr">
        <is>
          <t>DailyObjects</t>
        </is>
      </c>
      <c r="C7" s="19" t="inlineStr">
        <is>
          <t>Internal decks</t>
        </is>
      </c>
      <c r="D7" s="25" t="inlineStr">
        <is>
          <t>Category strategy 3-yr + per-category economics (backpacks, wireless chargers, power banks, desks, watch straps, organisers)</t>
        </is>
      </c>
      <c r="E7" s="19" t="inlineStr">
        <is>
          <t>Google Drive (internal)</t>
        </is>
      </c>
      <c r="F7" s="20" t="inlineStr">
        <is>
          <t>2026-07</t>
        </is>
      </c>
      <c r="G7" s="25" t="inlineStr">
        <is>
          <t>Category roles &amp; economics</t>
        </is>
      </c>
      <c r="H7" s="20" t="inlineStr">
        <is>
          <t>High</t>
        </is>
      </c>
      <c r="I7" s="19" t="inlineStr">
        <is>
          <t>Tab 5</t>
        </is>
      </c>
    </row>
    <row r="8">
      <c r="A8" s="10" t="inlineStr">
        <is>
          <t>S05</t>
        </is>
      </c>
      <c r="B8" s="16" t="inlineStr">
        <is>
          <t>DailyObjects</t>
        </is>
      </c>
      <c r="C8" s="16" t="inlineStr">
        <is>
          <t>Website</t>
        </is>
      </c>
      <c r="D8" s="9" t="inlineStr">
        <is>
          <t>Site taxonomy (cid URL structure), rewards, trendingOffers, gifting, corporate gifting, shop-by-Apple</t>
        </is>
      </c>
      <c r="E8" s="16" t="inlineStr">
        <is>
          <t>dailyobjects.com</t>
        </is>
      </c>
      <c r="F8" s="10" t="inlineStr">
        <is>
          <t>2026-08</t>
        </is>
      </c>
      <c r="G8" s="9" t="inlineStr">
        <is>
          <t>cid-&gt;category mapping, offers, loyalty</t>
        </is>
      </c>
      <c r="H8" s="10" t="inlineStr">
        <is>
          <t>Med (search-index)</t>
        </is>
      </c>
      <c r="I8" s="16" t="inlineStr">
        <is>
          <t>Tab 5; ID09,26,28,30,44</t>
        </is>
      </c>
    </row>
    <row r="9">
      <c r="A9" s="20" t="inlineStr">
        <is>
          <t>S06</t>
        </is>
      </c>
      <c r="B9" s="19" t="inlineStr">
        <is>
          <t>boAt</t>
        </is>
      </c>
      <c r="C9" s="19" t="inlineStr">
        <is>
          <t>Coupon/press</t>
        </is>
      </c>
      <c r="D9" s="25" t="inlineStr">
        <is>
          <t>BOATHEAD prepaid 5%; UPI cashback; RRP launch anchor; e-gift 8%</t>
        </is>
      </c>
      <c r="E9" s="19" t="inlineStr">
        <is>
          <t>grabon.in/boat-coupons</t>
        </is>
      </c>
      <c r="F9" s="20" t="inlineStr">
        <is>
          <t>2026-08</t>
        </is>
      </c>
      <c r="G9" s="25" t="inlineStr">
        <is>
          <t>Prepaid/UPI &amp; anchoring tactics</t>
        </is>
      </c>
      <c r="H9" s="20" t="inlineStr">
        <is>
          <t>Reported</t>
        </is>
      </c>
      <c r="I9" s="19" t="inlineStr">
        <is>
          <t>ID07,12,15,32,44,53</t>
        </is>
      </c>
    </row>
    <row r="10">
      <c r="A10" s="10" t="inlineStr">
        <is>
          <t>S07</t>
        </is>
      </c>
      <c r="B10" s="16" t="inlineStr">
        <is>
          <t>Mokobara</t>
        </is>
      </c>
      <c r="C10" s="16" t="inlineStr">
        <is>
          <t>Coupon/review</t>
        </is>
      </c>
      <c r="D10" s="9" t="inlineStr">
        <is>
          <t>Moko Club Rs499/6mo; 30-day trial + warranty; luggage sets</t>
        </is>
      </c>
      <c r="E10" s="16" t="inlineStr">
        <is>
          <t>grabon.in/mokobara</t>
        </is>
      </c>
      <c r="F10" s="10" t="inlineStr">
        <is>
          <t>2026-08</t>
        </is>
      </c>
      <c r="G10" s="9" t="inlineStr">
        <is>
          <t>Membership, risk reversal, set pricing</t>
        </is>
      </c>
      <c r="H10" s="10" t="inlineStr">
        <is>
          <t>Reported</t>
        </is>
      </c>
      <c r="I10" s="16" t="inlineStr">
        <is>
          <t>ID39,40,03</t>
        </is>
      </c>
    </row>
    <row r="11">
      <c r="A11" s="20" t="inlineStr">
        <is>
          <t>S08</t>
        </is>
      </c>
      <c r="B11" s="19" t="inlineStr">
        <is>
          <t>Zouk</t>
        </is>
      </c>
      <c r="C11" s="19" t="inlineStr">
        <is>
          <t>Brand site</t>
        </is>
      </c>
      <c r="D11" s="25" t="inlineStr">
        <is>
          <t>Named bag+wallet combos up to 50%; prepaid incentives</t>
        </is>
      </c>
      <c r="E11" s="19" t="inlineStr">
        <is>
          <t>zouk.co.in</t>
        </is>
      </c>
      <c r="F11" s="20" t="inlineStr">
        <is>
          <t>2026-08</t>
        </is>
      </c>
      <c r="G11" s="25" t="inlineStr">
        <is>
          <t>Bag cross-sell combos</t>
        </is>
      </c>
      <c r="H11" s="20" t="inlineStr">
        <is>
          <t>Reported</t>
        </is>
      </c>
      <c r="I11" s="19" t="inlineStr">
        <is>
          <t>ID03,45</t>
        </is>
      </c>
    </row>
    <row r="12">
      <c r="A12" s="10" t="inlineStr">
        <is>
          <t>S09</t>
        </is>
      </c>
      <c r="B12" s="16" t="inlineStr">
        <is>
          <t>Casetify</t>
        </is>
      </c>
      <c r="C12" s="16" t="inlineStr">
        <is>
          <t>Coupon</t>
        </is>
      </c>
      <c r="D12" s="9" t="inlineStr">
        <is>
          <t>Auto multi-buy 15/20/30%; up to 50% accessories with a case</t>
        </is>
      </c>
      <c r="E12" s="16" t="inlineStr">
        <is>
          <t>couponfollow.com/site/casetify.com</t>
        </is>
      </c>
      <c r="F12" s="10" t="inlineStr">
        <is>
          <t>2026-08</t>
        </is>
      </c>
      <c r="G12" s="9" t="inlineStr">
        <is>
          <t>Case attach &amp; multi-buy escalator</t>
        </is>
      </c>
      <c r="H12" s="10" t="inlineStr">
        <is>
          <t>Reported</t>
        </is>
      </c>
      <c r="I12" s="16" t="inlineStr">
        <is>
          <t>ID01,04,54</t>
        </is>
      </c>
    </row>
    <row r="13">
      <c r="A13" s="20" t="inlineStr">
        <is>
          <t>S10</t>
        </is>
      </c>
      <c r="B13" s="19" t="inlineStr">
        <is>
          <t>dbrand</t>
        </is>
      </c>
      <c r="C13" s="19" t="inlineStr">
        <is>
          <t>FAQ/press</t>
        </is>
      </c>
      <c r="D13" s="25" t="inlineStr">
        <is>
          <t>Grip+Prism bundle 15%; checkout screen-protector upsell; no-stack rule</t>
        </is>
      </c>
      <c r="E13" s="19" t="inlineStr">
        <is>
          <t>dbrand.com/support/faq/product-questions</t>
        </is>
      </c>
      <c r="F13" s="20" t="inlineStr">
        <is>
          <t>2026-08</t>
        </is>
      </c>
      <c r="G13" s="25" t="inlineStr">
        <is>
          <t>Bundle &amp; checkout upsell, margin guardrail</t>
        </is>
      </c>
      <c r="H13" s="20" t="inlineStr">
        <is>
          <t>Reported</t>
        </is>
      </c>
      <c r="I13" s="19" t="inlineStr">
        <is>
          <t>ID08b,13,17,54</t>
        </is>
      </c>
    </row>
    <row r="14">
      <c r="A14" s="10" t="inlineStr">
        <is>
          <t>S11</t>
        </is>
      </c>
      <c r="B14" s="16" t="inlineStr">
        <is>
          <t>Bellroy</t>
        </is>
      </c>
      <c r="C14" s="16" t="inlineStr">
        <is>
          <t>Brand site</t>
        </is>
      </c>
      <c r="D14" s="9" t="inlineStr">
        <is>
          <t>Value sets; Tech Kit organiser attach</t>
        </is>
      </c>
      <c r="E14" s="16" t="inlineStr">
        <is>
          <t>bellroy.com/bundles</t>
        </is>
      </c>
      <c r="F14" s="10" t="inlineStr">
        <is>
          <t>2026-08</t>
        </is>
      </c>
      <c r="G14" s="9" t="inlineStr">
        <is>
          <t>Value sets &amp; organiser attach</t>
        </is>
      </c>
      <c r="H14" s="10" t="inlineStr">
        <is>
          <t>Reported</t>
        </is>
      </c>
      <c r="I14" s="16" t="inlineStr">
        <is>
          <t>ID03,09,45</t>
        </is>
      </c>
    </row>
    <row r="15">
      <c r="A15" s="20" t="inlineStr">
        <is>
          <t>S12</t>
        </is>
      </c>
      <c r="B15" s="19" t="inlineStr">
        <is>
          <t>Peak Design</t>
        </is>
      </c>
      <c r="C15" s="19" t="inlineStr">
        <is>
          <t>Support/review</t>
        </is>
      </c>
      <c r="D15" s="25" t="inlineStr">
        <is>
          <t>Auto 10% off bag + 2 accessories; ecosystem mounts</t>
        </is>
      </c>
      <c r="E15" s="19" t="inlineStr">
        <is>
          <t>peakdesign.zendesk.com</t>
        </is>
      </c>
      <c r="F15" s="20" t="inlineStr">
        <is>
          <t>2026-08</t>
        </is>
      </c>
      <c r="G15" s="25" t="inlineStr">
        <is>
          <t>Bag+accessories bundle rule</t>
        </is>
      </c>
      <c r="H15" s="20" t="inlineStr">
        <is>
          <t>Reported</t>
        </is>
      </c>
      <c r="I15" s="19" t="inlineStr">
        <is>
          <t>ID03,48,52</t>
        </is>
      </c>
    </row>
    <row r="16">
      <c r="A16" s="10" t="inlineStr">
        <is>
          <t>S13</t>
        </is>
      </c>
      <c r="B16" s="16" t="inlineStr">
        <is>
          <t>Anker</t>
        </is>
      </c>
      <c r="C16" s="16" t="inlineStr">
        <is>
          <t>Brand site</t>
        </is>
      </c>
      <c r="D16" s="9" t="inlineStr">
        <is>
          <t>Bundle Recommendations: charger + matching cable combos</t>
        </is>
      </c>
      <c r="E16" s="16" t="inlineStr">
        <is>
          <t>anker.com/collections/bundles</t>
        </is>
      </c>
      <c r="F16" s="10" t="inlineStr">
        <is>
          <t>2026-08</t>
        </is>
      </c>
      <c r="G16" s="9" t="inlineStr">
        <is>
          <t>Charger/cable FBT</t>
        </is>
      </c>
      <c r="H16" s="10" t="inlineStr">
        <is>
          <t>Reported</t>
        </is>
      </c>
      <c r="I16" s="16" t="inlineStr">
        <is>
          <t>ID02,13,48</t>
        </is>
      </c>
    </row>
    <row r="17">
      <c r="A17" s="20" t="inlineStr">
        <is>
          <t>S14</t>
        </is>
      </c>
      <c r="B17" s="19" t="inlineStr">
        <is>
          <t>mCaffeine/Mamaearth</t>
        </is>
      </c>
      <c r="C17" s="19" t="inlineStr">
        <is>
          <t>Coupon</t>
        </is>
      </c>
      <c r="D17" s="25" t="inlineStr">
        <is>
          <t>GWP ladders (Rs999 serum / Rs698 = 2 free, auto-added)</t>
        </is>
      </c>
      <c r="E17" s="19" t="inlineStr">
        <is>
          <t>grabon.in/mcaffeine</t>
        </is>
      </c>
      <c r="F17" s="20" t="inlineStr">
        <is>
          <t>2026-08</t>
        </is>
      </c>
      <c r="G17" s="25" t="inlineStr">
        <is>
          <t>Cart GWP ladders</t>
        </is>
      </c>
      <c r="H17" s="20" t="inlineStr">
        <is>
          <t>Reported</t>
        </is>
      </c>
      <c r="I17" s="19" t="inlineStr">
        <is>
          <t>ID06,36,46,49</t>
        </is>
      </c>
    </row>
    <row r="18">
      <c r="A18" s="10" t="inlineStr">
        <is>
          <t>S15</t>
        </is>
      </c>
      <c r="B18" s="16" t="inlineStr">
        <is>
          <t>XYXX</t>
        </is>
      </c>
      <c r="C18" s="16" t="inlineStr">
        <is>
          <t>Brand site</t>
        </is>
      </c>
      <c r="D18" s="9" t="inlineStr">
        <is>
          <t>'Pick any 5 briefs Rs999' pack ladder</t>
        </is>
      </c>
      <c r="E18" s="16" t="inlineStr">
        <is>
          <t>xyxxcrew.com/collections/buy-5-briefs-999</t>
        </is>
      </c>
      <c r="F18" s="10" t="inlineStr">
        <is>
          <t>2026-08</t>
        </is>
      </c>
      <c r="G18" s="9" t="inlineStr">
        <is>
          <t>Buy-more-save-more pack ladder</t>
        </is>
      </c>
      <c r="H18" s="10" t="inlineStr">
        <is>
          <t>Reported</t>
        </is>
      </c>
      <c r="I18" s="16" t="inlineStr">
        <is>
          <t>ID04,08</t>
        </is>
      </c>
    </row>
    <row r="19">
      <c r="A19" s="20" t="inlineStr">
        <is>
          <t>S16</t>
        </is>
      </c>
      <c r="B19" s="19" t="inlineStr">
        <is>
          <t>Sugar / Gymshark</t>
        </is>
      </c>
      <c r="C19" s="19" t="inlineStr">
        <is>
          <t>FAQ</t>
        </is>
      </c>
      <c r="D19" s="25" t="inlineStr">
        <is>
          <t>Points loyalty + referral (Sugar); XP tiers (Gymshark)</t>
        </is>
      </c>
      <c r="E19" s="19" t="inlineStr">
        <is>
          <t>sugarcosmetics.com/pages/faqs</t>
        </is>
      </c>
      <c r="F19" s="20" t="inlineStr">
        <is>
          <t>2026-08</t>
        </is>
      </c>
      <c r="G19" s="25" t="inlineStr">
        <is>
          <t>Loyalty, referral, membership</t>
        </is>
      </c>
      <c r="H19" s="20" t="inlineStr">
        <is>
          <t>Reported</t>
        </is>
      </c>
      <c r="I19" s="19" t="inlineStr">
        <is>
          <t>ID18,30,31,40</t>
        </is>
      </c>
    </row>
    <row r="20">
      <c r="A20" s="10" t="inlineStr">
        <is>
          <t>S17</t>
        </is>
      </c>
      <c r="B20" s="16" t="inlineStr">
        <is>
          <t>Warby Parker / Bombay Shirt</t>
        </is>
      </c>
      <c r="C20" s="16" t="inlineStr">
        <is>
          <t>Brand site</t>
        </is>
      </c>
      <c r="D20" s="9" t="inlineStr">
        <is>
          <t>Quiz -&gt; home try-on; build-your-shirt configurator</t>
        </is>
      </c>
      <c r="E20" s="16" t="inlineStr">
        <is>
          <t>warbyparker.com/home-try-on</t>
        </is>
      </c>
      <c r="F20" s="10" t="inlineStr">
        <is>
          <t>2026-08</t>
        </is>
      </c>
      <c r="G20" s="9" t="inlineStr">
        <is>
          <t>Quiz &amp; configurator</t>
        </is>
      </c>
      <c r="H20" s="10" t="inlineStr">
        <is>
          <t>Reported</t>
        </is>
      </c>
      <c r="I20" s="16" t="inlineStr">
        <is>
          <t>ID08b,37</t>
        </is>
      </c>
    </row>
    <row r="21">
      <c r="A21" s="20" t="inlineStr">
        <is>
          <t>S18</t>
        </is>
      </c>
      <c r="B21" s="19" t="inlineStr">
        <is>
          <t>Nicobar / Nappa Dori</t>
        </is>
      </c>
      <c r="C21" s="19" t="inlineStr">
        <is>
          <t>Brand site</t>
        </is>
      </c>
      <c r="D21" s="25" t="inlineStr">
        <is>
          <t>Gifting concierge/curated sets; monogram &amp; corporate gifting</t>
        </is>
      </c>
      <c r="E21" s="19" t="inlineStr">
        <is>
          <t>nicobar.com/pages/gifting-service</t>
        </is>
      </c>
      <c r="F21" s="20" t="inlineStr">
        <is>
          <t>2026-08</t>
        </is>
      </c>
      <c r="G21" s="25" t="inlineStr">
        <is>
          <t>Gifting &amp; personalisation</t>
        </is>
      </c>
      <c r="H21" s="20" t="inlineStr">
        <is>
          <t>Reported</t>
        </is>
      </c>
      <c r="I21" s="19" t="inlineStr">
        <is>
          <t>ID09,42,45,56</t>
        </is>
      </c>
    </row>
    <row r="22">
      <c r="A22" s="10" t="inlineStr">
        <is>
          <t>S19</t>
        </is>
      </c>
      <c r="B22" s="16" t="inlineStr">
        <is>
          <t>Away / Spigen / Nomad</t>
        </is>
      </c>
      <c r="C22" s="16" t="inlineStr">
        <is>
          <t>Brand/marketplace</t>
        </is>
      </c>
      <c r="D22" s="9" t="inlineStr">
        <is>
          <t>Packing-cube attach; screen-protector 2-pack; mix-match multibuy</t>
        </is>
      </c>
      <c r="E22" s="16" t="inlineStr">
        <is>
          <t>awaytravel.com/products/packing-pro-bundle</t>
        </is>
      </c>
      <c r="F22" s="10" t="inlineStr">
        <is>
          <t>2026-08</t>
        </is>
      </c>
      <c r="G22" s="9" t="inlineStr">
        <is>
          <t>Attach &amp; multibuy</t>
        </is>
      </c>
      <c r="H22" s="10" t="inlineStr">
        <is>
          <t>Reported</t>
        </is>
      </c>
      <c r="I22" s="16" t="inlineStr">
        <is>
          <t>ID03,04,17,48</t>
        </is>
      </c>
    </row>
    <row r="23">
      <c r="A23" s="20" t="inlineStr">
        <is>
          <t>S20</t>
        </is>
      </c>
      <c r="B23" s="19" t="inlineStr">
        <is>
          <t>Entrackr / BusinessToday</t>
        </is>
      </c>
      <c r="C23" s="19" t="inlineStr">
        <is>
          <t>Press</t>
        </is>
      </c>
      <c r="D23" s="25" t="inlineStr">
        <is>
          <t>FY25 rev Rs110Cr (+31%); AOV ~Rs1,800-2,000; repeat ~47%; 70%+ own web/app</t>
        </is>
      </c>
      <c r="E23" s="19" t="inlineStr">
        <is>
          <t>entrackr.com</t>
        </is>
      </c>
      <c r="F23" s="20" t="inlineStr">
        <is>
          <t>2025</t>
        </is>
      </c>
      <c r="G23" s="25" t="inlineStr">
        <is>
          <t>Business context &amp; sizing</t>
        </is>
      </c>
      <c r="H23" s="20" t="inlineStr">
        <is>
          <t>Med</t>
        </is>
      </c>
      <c r="I23" s="19" t="inlineStr">
        <is>
          <t>Context; Tab 11</t>
        </is>
      </c>
    </row>
  </sheetData>
  <autoFilter ref="A3:I23"/>
  <mergeCells count="2">
    <mergeCell ref="A1:I1"/>
    <mergeCell ref="A2:I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4" customWidth="1" min="6" max="6"/>
    <col width="10" customWidth="1" min="7" max="7"/>
    <col width="11" customWidth="1" min="8" max="8"/>
    <col width="11" customWidth="1" min="9" max="9"/>
    <col width="10" customWidth="1" min="10" max="10"/>
    <col width="11" customWidth="1" min="11" max="11"/>
  </cols>
  <sheetData>
    <row r="1" ht="30" customHeight="1">
      <c r="A1" s="22" t="inlineStr">
        <is>
          <t>GA4 DATA SNAPSHOT (evidence base)</t>
        </is>
      </c>
    </row>
    <row r="2" ht="22" customHeight="1">
      <c r="A2" s="2" t="inlineStr">
        <is>
          <t>OBSERVED. GA4 'DO - GA4' (273672074), via Windsor.ai, pulled 2026-08-10. Window 2025-08-01 to 2026-07-31. CVR/AOV/RPV are formula-driven.</t>
        </is>
      </c>
    </row>
    <row r="4">
      <c r="A4" s="47" t="inlineStr">
        <is>
          <t>MONTHLY TREND</t>
        </is>
      </c>
    </row>
    <row r="5" ht="26" customHeight="1">
      <c r="A5" s="14" t="inlineStr">
        <is>
          <t>Month</t>
        </is>
      </c>
      <c r="B5" s="14" t="inlineStr">
        <is>
          <t>Sessions</t>
        </is>
      </c>
      <c r="C5" s="14" t="inlineStr">
        <is>
          <t>Users</t>
        </is>
      </c>
      <c r="D5" s="14" t="inlineStr">
        <is>
          <t>New Users</t>
        </is>
      </c>
      <c r="E5" s="14" t="inlineStr">
        <is>
          <t>Add-to-Carts</t>
        </is>
      </c>
      <c r="F5" s="14" t="inlineStr">
        <is>
          <t>Checkouts</t>
        </is>
      </c>
      <c r="G5" s="14" t="inlineStr">
        <is>
          <t>Purchases (ecom)</t>
        </is>
      </c>
      <c r="H5" s="14" t="inlineStr">
        <is>
          <t>Transactions</t>
        </is>
      </c>
      <c r="I5" s="14" t="inlineStr">
        <is>
          <t>Revenue (Rs)</t>
        </is>
      </c>
      <c r="J5" s="14" t="inlineStr">
        <is>
          <t>CVR</t>
        </is>
      </c>
      <c r="K5" s="14" t="inlineStr">
        <is>
          <t>AOV (Rs)</t>
        </is>
      </c>
    </row>
    <row r="6">
      <c r="A6" s="10" t="inlineStr">
        <is>
          <t>2025-08</t>
        </is>
      </c>
      <c r="B6" s="69" t="n">
        <v>4778202</v>
      </c>
      <c r="C6" s="69" t="n">
        <v>3150176</v>
      </c>
      <c r="D6" s="69" t="n">
        <v>2647949</v>
      </c>
      <c r="E6" s="69" t="n">
        <v>632504</v>
      </c>
      <c r="F6" s="69" t="n">
        <v>168112</v>
      </c>
      <c r="G6" s="69" t="n">
        <v>78318</v>
      </c>
      <c r="H6" s="69" t="n">
        <v>78318</v>
      </c>
      <c r="I6" s="70" t="n">
        <v>182429568.53</v>
      </c>
      <c r="J6" s="71">
        <f>IF(B6=0,0,H6/B6)</f>
        <v/>
      </c>
      <c r="K6" s="70">
        <f>IF(H6=0,0,I6/H6)</f>
        <v/>
      </c>
    </row>
    <row r="7">
      <c r="A7" s="10" t="inlineStr">
        <is>
          <t>2025-09</t>
        </is>
      </c>
      <c r="B7" s="69" t="n">
        <v>3707080</v>
      </c>
      <c r="C7" s="69" t="n">
        <v>2603854</v>
      </c>
      <c r="D7" s="69" t="n">
        <v>2107500</v>
      </c>
      <c r="E7" s="69" t="n">
        <v>303928</v>
      </c>
      <c r="F7" s="69" t="n">
        <v>93425</v>
      </c>
      <c r="G7" s="69" t="n">
        <v>33690</v>
      </c>
      <c r="H7" s="69" t="n">
        <v>33690</v>
      </c>
      <c r="I7" s="70" t="n">
        <v>69322773.19</v>
      </c>
      <c r="J7" s="71">
        <f>IF(B7=0,0,H7/B7)</f>
        <v/>
      </c>
      <c r="K7" s="70">
        <f>IF(H7=0,0,I7/H7)</f>
        <v/>
      </c>
    </row>
    <row r="8">
      <c r="A8" s="10" t="inlineStr">
        <is>
          <t>2025-10</t>
        </is>
      </c>
      <c r="B8" s="69" t="n">
        <v>4189989</v>
      </c>
      <c r="C8" s="69" t="n">
        <v>2857269</v>
      </c>
      <c r="D8" s="69" t="n">
        <v>2394336</v>
      </c>
      <c r="E8" s="69" t="n">
        <v>380221</v>
      </c>
      <c r="F8" s="69" t="n">
        <v>109317</v>
      </c>
      <c r="G8" s="69" t="n">
        <v>39312</v>
      </c>
      <c r="H8" s="69" t="n">
        <v>39312</v>
      </c>
      <c r="I8" s="70" t="n">
        <v>84273747.92</v>
      </c>
      <c r="J8" s="71">
        <f>IF(B8=0,0,H8/B8)</f>
        <v/>
      </c>
      <c r="K8" s="70">
        <f>IF(H8=0,0,I8/H8)</f>
        <v/>
      </c>
    </row>
    <row r="9">
      <c r="A9" s="10" t="inlineStr">
        <is>
          <t>2025-11</t>
        </is>
      </c>
      <c r="B9" s="69" t="n">
        <v>3480046</v>
      </c>
      <c r="C9" s="69" t="n">
        <v>2417126</v>
      </c>
      <c r="D9" s="69" t="n">
        <v>2005810</v>
      </c>
      <c r="E9" s="69" t="n">
        <v>412433</v>
      </c>
      <c r="F9" s="69" t="n">
        <v>103992</v>
      </c>
      <c r="G9" s="69" t="n">
        <v>37547</v>
      </c>
      <c r="H9" s="69" t="n">
        <v>37547</v>
      </c>
      <c r="I9" s="70" t="n">
        <v>91946942.34</v>
      </c>
      <c r="J9" s="71">
        <f>IF(B9=0,0,H9/B9)</f>
        <v/>
      </c>
      <c r="K9" s="70">
        <f>IF(H9=0,0,I9/H9)</f>
        <v/>
      </c>
    </row>
    <row r="10">
      <c r="A10" s="10" t="inlineStr">
        <is>
          <t>2025-12</t>
        </is>
      </c>
      <c r="B10" s="69" t="n">
        <v>4299002</v>
      </c>
      <c r="C10" s="69" t="n">
        <v>2967009</v>
      </c>
      <c r="D10" s="69" t="n">
        <v>2459627</v>
      </c>
      <c r="E10" s="69" t="n">
        <v>446091</v>
      </c>
      <c r="F10" s="69" t="n">
        <v>133283</v>
      </c>
      <c r="G10" s="69" t="n">
        <v>40766</v>
      </c>
      <c r="H10" s="69" t="n">
        <v>40766</v>
      </c>
      <c r="I10" s="70" t="n">
        <v>98459311.45999999</v>
      </c>
      <c r="J10" s="71">
        <f>IF(B10=0,0,H10/B10)</f>
        <v/>
      </c>
      <c r="K10" s="70">
        <f>IF(H10=0,0,I10/H10)</f>
        <v/>
      </c>
    </row>
    <row r="11">
      <c r="A11" s="10" t="inlineStr">
        <is>
          <t>2026-01</t>
        </is>
      </c>
      <c r="B11" s="69" t="n">
        <v>4360245</v>
      </c>
      <c r="C11" s="69" t="n">
        <v>3160229</v>
      </c>
      <c r="D11" s="69" t="n">
        <v>2700558</v>
      </c>
      <c r="E11" s="69" t="n">
        <v>452811</v>
      </c>
      <c r="F11" s="69" t="n">
        <v>121212</v>
      </c>
      <c r="G11" s="69" t="n">
        <v>35209</v>
      </c>
      <c r="H11" s="69" t="n">
        <v>35209</v>
      </c>
      <c r="I11" s="70" t="n">
        <v>91580318.48999999</v>
      </c>
      <c r="J11" s="71">
        <f>IF(B11=0,0,H11/B11)</f>
        <v/>
      </c>
      <c r="K11" s="70">
        <f>IF(H11=0,0,I11/H11)</f>
        <v/>
      </c>
    </row>
    <row r="12">
      <c r="A12" s="10" t="inlineStr">
        <is>
          <t>2026-02</t>
        </is>
      </c>
      <c r="B12" s="69" t="n">
        <v>3870088</v>
      </c>
      <c r="C12" s="69" t="n">
        <v>2870261</v>
      </c>
      <c r="D12" s="69" t="n">
        <v>2425682</v>
      </c>
      <c r="E12" s="69" t="n">
        <v>531118</v>
      </c>
      <c r="F12" s="69" t="n">
        <v>133142</v>
      </c>
      <c r="G12" s="69" t="n">
        <v>33824</v>
      </c>
      <c r="H12" s="69" t="n">
        <v>30573</v>
      </c>
      <c r="I12" s="70" t="n">
        <v>80921703.88</v>
      </c>
      <c r="J12" s="71">
        <f>IF(B12=0,0,H12/B12)</f>
        <v/>
      </c>
      <c r="K12" s="70">
        <f>IF(H12=0,0,I12/H12)</f>
        <v/>
      </c>
    </row>
    <row r="13">
      <c r="A13" s="10" t="inlineStr">
        <is>
          <t>2026-03</t>
        </is>
      </c>
      <c r="B13" s="69" t="n">
        <v>5538890</v>
      </c>
      <c r="C13" s="69" t="n">
        <v>3558510</v>
      </c>
      <c r="D13" s="69" t="n">
        <v>2892410</v>
      </c>
      <c r="E13" s="69" t="n">
        <v>1118162</v>
      </c>
      <c r="F13" s="69" t="n">
        <v>264405</v>
      </c>
      <c r="G13" s="69" t="n">
        <v>143823</v>
      </c>
      <c r="H13" s="69" t="n">
        <v>110360</v>
      </c>
      <c r="I13" s="70" t="n">
        <v>271521381.81</v>
      </c>
      <c r="J13" s="71">
        <f>IF(B13=0,0,H13/B13)</f>
        <v/>
      </c>
      <c r="K13" s="70">
        <f>IF(H13=0,0,I13/H13)</f>
        <v/>
      </c>
    </row>
    <row r="14">
      <c r="A14" s="10" t="inlineStr">
        <is>
          <t>2026-04</t>
        </is>
      </c>
      <c r="B14" s="69" t="n">
        <v>3845738</v>
      </c>
      <c r="C14" s="69" t="n">
        <v>2808802</v>
      </c>
      <c r="D14" s="69" t="n">
        <v>2321712</v>
      </c>
      <c r="E14" s="69" t="n">
        <v>391107</v>
      </c>
      <c r="F14" s="69" t="n">
        <v>95901</v>
      </c>
      <c r="G14" s="69" t="n">
        <v>36777</v>
      </c>
      <c r="H14" s="69" t="n">
        <v>29926</v>
      </c>
      <c r="I14" s="70" t="n">
        <v>77987307.59</v>
      </c>
      <c r="J14" s="71">
        <f>IF(B14=0,0,H14/B14)</f>
        <v/>
      </c>
      <c r="K14" s="70">
        <f>IF(H14=0,0,I14/H14)</f>
        <v/>
      </c>
    </row>
    <row r="15">
      <c r="A15" s="10" t="inlineStr">
        <is>
          <t>2026-05</t>
        </is>
      </c>
      <c r="B15" s="69" t="n">
        <v>4134540</v>
      </c>
      <c r="C15" s="69" t="n">
        <v>2889760</v>
      </c>
      <c r="D15" s="69" t="n">
        <v>2346122</v>
      </c>
      <c r="E15" s="69" t="n">
        <v>423483</v>
      </c>
      <c r="F15" s="69" t="n">
        <v>107767</v>
      </c>
      <c r="G15" s="69" t="n">
        <v>49632</v>
      </c>
      <c r="H15" s="69" t="n">
        <v>39698</v>
      </c>
      <c r="I15" s="70" t="n">
        <v>96339975.98999999</v>
      </c>
      <c r="J15" s="71">
        <f>IF(B15=0,0,H15/B15)</f>
        <v/>
      </c>
      <c r="K15" s="70">
        <f>IF(H15=0,0,I15/H15)</f>
        <v/>
      </c>
    </row>
    <row r="16">
      <c r="A16" s="10" t="inlineStr">
        <is>
          <t>2026-06</t>
        </is>
      </c>
      <c r="B16" s="69" t="n">
        <v>5715913</v>
      </c>
      <c r="C16" s="69" t="n">
        <v>4501368</v>
      </c>
      <c r="D16" s="69" t="n">
        <v>3989164</v>
      </c>
      <c r="E16" s="69" t="n">
        <v>382001</v>
      </c>
      <c r="F16" s="69" t="n">
        <v>94255</v>
      </c>
      <c r="G16" s="69" t="n">
        <v>43485</v>
      </c>
      <c r="H16" s="69" t="n">
        <v>35354</v>
      </c>
      <c r="I16" s="70" t="n">
        <v>92065794.02</v>
      </c>
      <c r="J16" s="71">
        <f>IF(B16=0,0,H16/B16)</f>
        <v/>
      </c>
      <c r="K16" s="70">
        <f>IF(H16=0,0,I16/H16)</f>
        <v/>
      </c>
    </row>
    <row r="17">
      <c r="A17" s="10" t="inlineStr">
        <is>
          <t>2026-07</t>
        </is>
      </c>
      <c r="B17" s="69" t="n">
        <v>5953747</v>
      </c>
      <c r="C17" s="69" t="n">
        <v>4279633</v>
      </c>
      <c r="D17" s="69" t="n">
        <v>3716745</v>
      </c>
      <c r="E17" s="69" t="n">
        <v>513503</v>
      </c>
      <c r="F17" s="69" t="n">
        <v>126751</v>
      </c>
      <c r="G17" s="69" t="n">
        <v>50608</v>
      </c>
      <c r="H17" s="69" t="n">
        <v>42504</v>
      </c>
      <c r="I17" s="70" t="n">
        <v>107260064.36</v>
      </c>
      <c r="J17" s="71">
        <f>IF(B17=0,0,H17/B17)</f>
        <v/>
      </c>
      <c r="K17" s="70">
        <f>IF(H17=0,0,I17/H17)</f>
        <v/>
      </c>
    </row>
    <row r="18">
      <c r="A18" s="64" t="inlineStr">
        <is>
          <t>TOTAL</t>
        </is>
      </c>
      <c r="B18" s="66">
        <f>SUM(B6:B17)</f>
        <v/>
      </c>
      <c r="C18" s="66">
        <f>SUM(C6:C17)</f>
        <v/>
      </c>
      <c r="D18" s="66">
        <f>SUM(D6:D17)</f>
        <v/>
      </c>
      <c r="E18" s="66">
        <f>SUM(E6:E17)</f>
        <v/>
      </c>
      <c r="F18" s="66">
        <f>SUM(F6:F17)</f>
        <v/>
      </c>
      <c r="G18" s="66">
        <f>SUM(G6:G17)</f>
        <v/>
      </c>
      <c r="H18" s="66">
        <f>SUM(H6:H17)</f>
        <v/>
      </c>
      <c r="I18" s="67">
        <f>SUM(I6:I17)</f>
        <v/>
      </c>
      <c r="J18" s="72">
        <f>H18/B18</f>
        <v/>
      </c>
      <c r="K18" s="67">
        <f>I18/H18</f>
        <v/>
      </c>
    </row>
    <row r="21">
      <c r="A21" s="47" t="inlineStr">
        <is>
          <t>BY DEVICE</t>
        </is>
      </c>
    </row>
    <row r="22" ht="26" customHeight="1">
      <c r="A22" s="14" t="inlineStr">
        <is>
          <t>Device</t>
        </is>
      </c>
      <c r="B22" s="14" t="inlineStr">
        <is>
          <t>Sessions</t>
        </is>
      </c>
      <c r="C22" s="14" t="inlineStr">
        <is>
          <t>Add-to-Carts</t>
        </is>
      </c>
      <c r="D22" s="14" t="inlineStr">
        <is>
          <t>Checkouts</t>
        </is>
      </c>
      <c r="E22" s="14" t="inlineStr">
        <is>
          <t>Transactions</t>
        </is>
      </c>
      <c r="F22" s="14" t="inlineStr">
        <is>
          <t>Revenue (Rs)</t>
        </is>
      </c>
      <c r="G22" s="14" t="inlineStr">
        <is>
          <t>CVR</t>
        </is>
      </c>
      <c r="H22" s="14" t="inlineStr">
        <is>
          <t>AOV (Rs)</t>
        </is>
      </c>
      <c r="I22" s="14" t="inlineStr">
        <is>
          <t>RPV (Rs)</t>
        </is>
      </c>
    </row>
    <row r="23">
      <c r="A23" s="10" t="inlineStr">
        <is>
          <t>Mobile</t>
        </is>
      </c>
      <c r="B23" s="69" t="n">
        <v>49120510</v>
      </c>
      <c r="C23" s="69" t="n">
        <v>5403220</v>
      </c>
      <c r="D23" s="69" t="n">
        <v>1399681</v>
      </c>
      <c r="E23" s="69" t="n">
        <v>465801</v>
      </c>
      <c r="F23" s="70" t="n">
        <v>1100462376.79</v>
      </c>
      <c r="G23" s="71">
        <f>IF(B23=0,0,E23/B23)</f>
        <v/>
      </c>
      <c r="H23" s="70">
        <f>IF(E23=0,0,F23/E23)</f>
        <v/>
      </c>
      <c r="I23" s="70">
        <f>IF(B23=0,0,F23/B23)</f>
        <v/>
      </c>
    </row>
    <row r="24">
      <c r="A24" s="10" t="inlineStr">
        <is>
          <t>Desktop</t>
        </is>
      </c>
      <c r="B24" s="69" t="n">
        <v>4265707</v>
      </c>
      <c r="C24" s="69" t="n">
        <v>541173</v>
      </c>
      <c r="D24" s="69" t="n">
        <v>141363</v>
      </c>
      <c r="E24" s="69" t="n">
        <v>83754</v>
      </c>
      <c r="F24" s="70" t="n">
        <v>233221531.98</v>
      </c>
      <c r="G24" s="71">
        <f>IF(B24=0,0,E24/B24)</f>
        <v/>
      </c>
      <c r="H24" s="70">
        <f>IF(E24=0,0,F24/E24)</f>
        <v/>
      </c>
      <c r="I24" s="70">
        <f>IF(B24=0,0,F24/B24)</f>
        <v/>
      </c>
    </row>
    <row r="25">
      <c r="A25" s="10" t="inlineStr">
        <is>
          <t>Tablet</t>
        </is>
      </c>
      <c r="B25" s="69" t="n">
        <v>396474</v>
      </c>
      <c r="C25" s="69" t="n">
        <v>42969</v>
      </c>
      <c r="D25" s="69" t="n">
        <v>10518</v>
      </c>
      <c r="E25" s="69" t="n">
        <v>3702</v>
      </c>
      <c r="F25" s="70" t="n">
        <v>10424980.84</v>
      </c>
      <c r="G25" s="71">
        <f>IF(B25=0,0,E25/B25)</f>
        <v/>
      </c>
      <c r="H25" s="70">
        <f>IF(E25=0,0,F25/E25)</f>
        <v/>
      </c>
      <c r="I25" s="70">
        <f>IF(B25=0,0,F25/B25)</f>
        <v/>
      </c>
    </row>
    <row r="26">
      <c r="A26" s="10" t="inlineStr">
        <is>
          <t>Other</t>
        </is>
      </c>
      <c r="B26" s="69" t="n">
        <v>239438</v>
      </c>
      <c r="C26" s="69" t="n">
        <v>0</v>
      </c>
      <c r="D26" s="69" t="n">
        <v>0</v>
      </c>
      <c r="E26" s="69" t="n">
        <v>0</v>
      </c>
      <c r="F26" s="70" t="n">
        <v>0</v>
      </c>
      <c r="G26" s="71">
        <f>IF(B26=0,0,E26/B26)</f>
        <v/>
      </c>
      <c r="H26" s="70">
        <f>IF(E26=0,0,F26/E26)</f>
        <v/>
      </c>
      <c r="I26" s="70">
        <f>IF(B26=0,0,F26/B26)</f>
        <v/>
      </c>
    </row>
    <row r="29">
      <c r="A29" s="47" t="inlineStr">
        <is>
          <t>BY CHANNEL</t>
        </is>
      </c>
    </row>
    <row r="30" ht="26" customHeight="1">
      <c r="A30" s="14" t="inlineStr">
        <is>
          <t>Channel</t>
        </is>
      </c>
      <c r="B30" s="14" t="inlineStr">
        <is>
          <t>Sessions</t>
        </is>
      </c>
      <c r="C30" s="14" t="inlineStr">
        <is>
          <t>Add-to-Carts</t>
        </is>
      </c>
      <c r="D30" s="14" t="inlineStr">
        <is>
          <t>Transactions</t>
        </is>
      </c>
      <c r="E30" s="14" t="inlineStr">
        <is>
          <t>Revenue (Rs)</t>
        </is>
      </c>
      <c r="F30" s="14" t="inlineStr">
        <is>
          <t>CVR</t>
        </is>
      </c>
      <c r="G30" s="14" t="inlineStr">
        <is>
          <t>AOV (Rs)</t>
        </is>
      </c>
      <c r="H30" s="14" t="inlineStr">
        <is>
          <t>RPV (Rs)</t>
        </is>
      </c>
    </row>
    <row r="31">
      <c r="A31" s="10" t="inlineStr">
        <is>
          <t>Direct</t>
        </is>
      </c>
      <c r="B31" s="69" t="n">
        <v>5814894</v>
      </c>
      <c r="C31" s="69" t="n">
        <v>1003157</v>
      </c>
      <c r="D31" s="69" t="n">
        <v>155517</v>
      </c>
      <c r="E31" s="70" t="n">
        <v>406975461.77</v>
      </c>
      <c r="F31" s="71">
        <f>IF(B31=0,0,D31/B31)</f>
        <v/>
      </c>
      <c r="G31" s="70">
        <f>IF(D31=0,0,E31/D31)</f>
        <v/>
      </c>
      <c r="H31" s="70">
        <f>IF(B31=0,0,E31/B31)</f>
        <v/>
      </c>
    </row>
    <row r="32">
      <c r="A32" s="10" t="inlineStr">
        <is>
          <t>Paid Social</t>
        </is>
      </c>
      <c r="B32" s="69" t="n">
        <v>29240422</v>
      </c>
      <c r="C32" s="69" t="n">
        <v>1719430</v>
      </c>
      <c r="D32" s="69" t="n">
        <v>111480</v>
      </c>
      <c r="E32" s="70" t="n">
        <v>272519303.81</v>
      </c>
      <c r="F32" s="71">
        <f>IF(B32=0,0,D32/B32)</f>
        <v/>
      </c>
      <c r="G32" s="70">
        <f>IF(D32=0,0,E32/D32)</f>
        <v/>
      </c>
      <c r="H32" s="70">
        <f>IF(B32=0,0,E32/B32)</f>
        <v/>
      </c>
    </row>
    <row r="33">
      <c r="A33" s="10" t="inlineStr">
        <is>
          <t>Cross-network</t>
        </is>
      </c>
      <c r="B33" s="69" t="n">
        <v>7973460</v>
      </c>
      <c r="C33" s="69" t="n">
        <v>1836855</v>
      </c>
      <c r="D33" s="69" t="n">
        <v>96922</v>
      </c>
      <c r="E33" s="70" t="n">
        <v>201466627.59</v>
      </c>
      <c r="F33" s="71">
        <f>IF(B33=0,0,D33/B33)</f>
        <v/>
      </c>
      <c r="G33" s="70">
        <f>IF(D33=0,0,E33/D33)</f>
        <v/>
      </c>
      <c r="H33" s="70">
        <f>IF(B33=0,0,E33/B33)</f>
        <v/>
      </c>
    </row>
    <row r="34">
      <c r="A34" s="10" t="inlineStr">
        <is>
          <t>Paid Search</t>
        </is>
      </c>
      <c r="B34" s="69" t="n">
        <v>2855905</v>
      </c>
      <c r="C34" s="69" t="n">
        <v>593396</v>
      </c>
      <c r="D34" s="69" t="n">
        <v>73763</v>
      </c>
      <c r="E34" s="70" t="n">
        <v>184548874.48</v>
      </c>
      <c r="F34" s="71">
        <f>IF(B34=0,0,D34/B34)</f>
        <v/>
      </c>
      <c r="G34" s="70">
        <f>IF(D34=0,0,E34/D34)</f>
        <v/>
      </c>
      <c r="H34" s="70">
        <f>IF(B34=0,0,E34/B34)</f>
        <v/>
      </c>
    </row>
    <row r="35">
      <c r="A35" s="10" t="inlineStr">
        <is>
          <t>Organic Search</t>
        </is>
      </c>
      <c r="B35" s="69" t="n">
        <v>3686301</v>
      </c>
      <c r="C35" s="69" t="n">
        <v>367691</v>
      </c>
      <c r="D35" s="69" t="n">
        <v>54056</v>
      </c>
      <c r="E35" s="70" t="n">
        <v>128471552.97</v>
      </c>
      <c r="F35" s="71">
        <f>IF(B35=0,0,D35/B35)</f>
        <v/>
      </c>
      <c r="G35" s="70">
        <f>IF(D35=0,0,E35/D35)</f>
        <v/>
      </c>
      <c r="H35" s="70">
        <f>IF(B35=0,0,E35/B35)</f>
        <v/>
      </c>
    </row>
    <row r="36">
      <c r="A36" s="10" t="inlineStr">
        <is>
          <t>Unassigned</t>
        </is>
      </c>
      <c r="B36" s="69" t="n">
        <v>1926947</v>
      </c>
      <c r="C36" s="69" t="n">
        <v>236940</v>
      </c>
      <c r="D36" s="69" t="n">
        <v>37705</v>
      </c>
      <c r="E36" s="70" t="n">
        <v>91529315.28</v>
      </c>
      <c r="F36" s="71">
        <f>IF(B36=0,0,D36/B36)</f>
        <v/>
      </c>
      <c r="G36" s="70">
        <f>IF(D36=0,0,E36/D36)</f>
        <v/>
      </c>
      <c r="H36" s="70">
        <f>IF(B36=0,0,E36/B36)</f>
        <v/>
      </c>
    </row>
    <row r="37">
      <c r="A37" s="10" t="inlineStr">
        <is>
          <t>Organic Social</t>
        </is>
      </c>
      <c r="B37" s="69" t="n">
        <v>1098650</v>
      </c>
      <c r="C37" s="69" t="n">
        <v>125758</v>
      </c>
      <c r="D37" s="69" t="n">
        <v>13535</v>
      </c>
      <c r="E37" s="70" t="n">
        <v>34078002.14</v>
      </c>
      <c r="F37" s="71">
        <f>IF(B37=0,0,D37/B37)</f>
        <v/>
      </c>
      <c r="G37" s="70">
        <f>IF(D37=0,0,E37/D37)</f>
        <v/>
      </c>
      <c r="H37" s="70">
        <f>IF(B37=0,0,E37/B37)</f>
        <v/>
      </c>
    </row>
    <row r="38">
      <c r="A38" s="10" t="inlineStr">
        <is>
          <t>Referral</t>
        </is>
      </c>
      <c r="B38" s="69" t="n">
        <v>358447</v>
      </c>
      <c r="C38" s="69" t="n">
        <v>47164</v>
      </c>
      <c r="D38" s="69" t="n">
        <v>5076</v>
      </c>
      <c r="E38" s="70" t="n">
        <v>11728922.02</v>
      </c>
      <c r="F38" s="71">
        <f>IF(B38=0,0,D38/B38)</f>
        <v/>
      </c>
      <c r="G38" s="70">
        <f>IF(D38=0,0,E38/D38)</f>
        <v/>
      </c>
      <c r="H38" s="70">
        <f>IF(B38=0,0,E38/B38)</f>
        <v/>
      </c>
    </row>
    <row r="39">
      <c r="A39" s="10" t="inlineStr">
        <is>
          <t>Organic Shopping</t>
        </is>
      </c>
      <c r="B39" s="69" t="n">
        <v>106133</v>
      </c>
      <c r="C39" s="69" t="n">
        <v>17067</v>
      </c>
      <c r="D39" s="69" t="n">
        <v>1963</v>
      </c>
      <c r="E39" s="70" t="n">
        <v>4023026.7</v>
      </c>
      <c r="F39" s="71">
        <f>IF(B39=0,0,D39/B39)</f>
        <v/>
      </c>
      <c r="G39" s="70">
        <f>IF(D39=0,0,E39/D39)</f>
        <v/>
      </c>
      <c r="H39" s="70">
        <f>IF(B39=0,0,E39/B39)</f>
        <v/>
      </c>
    </row>
    <row r="40">
      <c r="A40" s="10" t="inlineStr">
        <is>
          <t>Email</t>
        </is>
      </c>
      <c r="B40" s="69" t="n">
        <v>161294</v>
      </c>
      <c r="C40" s="69" t="n">
        <v>18986</v>
      </c>
      <c r="D40" s="69" t="n">
        <v>1941</v>
      </c>
      <c r="E40" s="70" t="n">
        <v>5730209.22</v>
      </c>
      <c r="F40" s="71">
        <f>IF(B40=0,0,D40/B40)</f>
        <v/>
      </c>
      <c r="G40" s="70">
        <f>IF(D40=0,0,E40/D40)</f>
        <v/>
      </c>
      <c r="H40" s="70">
        <f>IF(B40=0,0,E40/B40)</f>
        <v/>
      </c>
    </row>
    <row r="41">
      <c r="A41" s="10" t="inlineStr">
        <is>
          <t>Mobile Push</t>
        </is>
      </c>
      <c r="B41" s="69" t="n">
        <v>33623</v>
      </c>
      <c r="C41" s="69" t="n">
        <v>3456</v>
      </c>
      <c r="D41" s="69" t="n">
        <v>357</v>
      </c>
      <c r="E41" s="70" t="n">
        <v>877258.67</v>
      </c>
      <c r="F41" s="71">
        <f>IF(B41=0,0,D41/B41)</f>
        <v/>
      </c>
      <c r="G41" s="70">
        <f>IF(D41=0,0,E41/D41)</f>
        <v/>
      </c>
      <c r="H41" s="70">
        <f>IF(B41=0,0,E41/B41)</f>
        <v/>
      </c>
    </row>
    <row r="42">
      <c r="A42" s="10" t="inlineStr">
        <is>
          <t>Paid Other</t>
        </is>
      </c>
      <c r="B42" s="69" t="n">
        <v>23707</v>
      </c>
      <c r="C42" s="69" t="n">
        <v>3720</v>
      </c>
      <c r="D42" s="69" t="n">
        <v>319</v>
      </c>
      <c r="E42" s="70" t="n">
        <v>680989.15</v>
      </c>
      <c r="F42" s="71">
        <f>IF(B42=0,0,D42/B42)</f>
        <v/>
      </c>
      <c r="G42" s="70">
        <f>IF(D42=0,0,E42/D42)</f>
        <v/>
      </c>
      <c r="H42" s="70">
        <f>IF(B42=0,0,E42/B42)</f>
        <v/>
      </c>
    </row>
    <row r="43">
      <c r="A43" s="10" t="inlineStr">
        <is>
          <t>SMS</t>
        </is>
      </c>
      <c r="B43" s="69" t="n">
        <v>6368</v>
      </c>
      <c r="C43" s="69" t="n">
        <v>1389</v>
      </c>
      <c r="D43" s="69" t="n">
        <v>269</v>
      </c>
      <c r="E43" s="70" t="n">
        <v>747653.61</v>
      </c>
      <c r="F43" s="71">
        <f>IF(B43=0,0,D43/B43)</f>
        <v/>
      </c>
      <c r="G43" s="70">
        <f>IF(D43=0,0,E43/D43)</f>
        <v/>
      </c>
      <c r="H43" s="70">
        <f>IF(B43=0,0,E43/B43)</f>
        <v/>
      </c>
    </row>
    <row r="44">
      <c r="A44" s="10" t="inlineStr">
        <is>
          <t>Display</t>
        </is>
      </c>
      <c r="B44" s="69" t="n">
        <v>36792</v>
      </c>
      <c r="C44" s="69" t="n">
        <v>9990</v>
      </c>
      <c r="D44" s="69" t="n">
        <v>138</v>
      </c>
      <c r="E44" s="70" t="n">
        <v>204774</v>
      </c>
      <c r="F44" s="71">
        <f>IF(B44=0,0,D44/B44)</f>
        <v/>
      </c>
      <c r="G44" s="70">
        <f>IF(D44=0,0,E44/D44)</f>
        <v/>
      </c>
      <c r="H44" s="70">
        <f>IF(B44=0,0,E44/B44)</f>
        <v/>
      </c>
    </row>
    <row r="45">
      <c r="A45" s="10" t="inlineStr">
        <is>
          <t>AI Assistant</t>
        </is>
      </c>
      <c r="B45" s="69" t="n">
        <v>12609</v>
      </c>
      <c r="C45" s="69" t="n">
        <v>669</v>
      </c>
      <c r="D45" s="69" t="n">
        <v>67</v>
      </c>
      <c r="E45" s="70" t="n">
        <v>153908.73</v>
      </c>
      <c r="F45" s="71">
        <f>IF(B45=0,0,D45/B45)</f>
        <v/>
      </c>
      <c r="G45" s="70">
        <f>IF(D45=0,0,E45/D45)</f>
        <v/>
      </c>
      <c r="H45" s="70">
        <f>IF(B45=0,0,E45/B45)</f>
        <v/>
      </c>
    </row>
    <row r="46">
      <c r="A46" s="10" t="inlineStr">
        <is>
          <t>Affiliates</t>
        </is>
      </c>
      <c r="B46" s="69" t="n">
        <v>3351</v>
      </c>
      <c r="C46" s="69" t="n">
        <v>326</v>
      </c>
      <c r="D46" s="69" t="n">
        <v>51</v>
      </c>
      <c r="E46" s="70" t="n">
        <v>116770.21</v>
      </c>
      <c r="F46" s="71">
        <f>IF(B46=0,0,D46/B46)</f>
        <v/>
      </c>
      <c r="G46" s="70">
        <f>IF(D46=0,0,E46/D46)</f>
        <v/>
      </c>
      <c r="H46" s="70">
        <f>IF(B46=0,0,E46/B46)</f>
        <v/>
      </c>
    </row>
    <row r="49">
      <c r="A49" s="47" t="inlineStr">
        <is>
          <t>NEW vs RETURNING</t>
        </is>
      </c>
    </row>
    <row r="50" ht="26" customHeight="1">
      <c r="A50" s="14" t="inlineStr">
        <is>
          <t>Segment</t>
        </is>
      </c>
      <c r="B50" s="14" t="inlineStr">
        <is>
          <t>Sessions</t>
        </is>
      </c>
      <c r="C50" s="14" t="inlineStr">
        <is>
          <t>Transactions</t>
        </is>
      </c>
      <c r="D50" s="14" t="inlineStr">
        <is>
          <t>Revenue (Rs)</t>
        </is>
      </c>
      <c r="E50" s="14" t="inlineStr">
        <is>
          <t>CVR</t>
        </is>
      </c>
      <c r="F50" s="14" t="inlineStr">
        <is>
          <t>AOV (Rs)</t>
        </is>
      </c>
    </row>
    <row r="51">
      <c r="A51" s="10" t="inlineStr">
        <is>
          <t>New</t>
        </is>
      </c>
      <c r="B51" s="69" t="n">
        <v>32900471</v>
      </c>
      <c r="C51" s="69" t="n">
        <v>227016</v>
      </c>
      <c r="D51" s="70" t="n">
        <v>513458321.65</v>
      </c>
      <c r="E51" s="71">
        <f>IF(B51=0,0,C51/B51)</f>
        <v/>
      </c>
      <c r="F51" s="70">
        <f>IF(C51=0,0,D51/C51)</f>
        <v/>
      </c>
    </row>
    <row r="52">
      <c r="A52" s="10" t="inlineStr">
        <is>
          <t>Returning</t>
        </is>
      </c>
      <c r="B52" s="69" t="n">
        <v>16940629</v>
      </c>
      <c r="C52" s="69" t="n">
        <v>299364</v>
      </c>
      <c r="D52" s="70" t="n">
        <v>770188696.8</v>
      </c>
      <c r="E52" s="71">
        <f>IF(B52=0,0,C52/B52)</f>
        <v/>
      </c>
      <c r="F52" s="70">
        <f>IF(C52=0,0,D52/C52)</f>
        <v/>
      </c>
    </row>
    <row r="53">
      <c r="A53" s="10" t="inlineStr">
        <is>
          <t>(not set)</t>
        </is>
      </c>
      <c r="B53" s="69" t="n">
        <v>3433500</v>
      </c>
      <c r="C53" s="69" t="n">
        <v>26877</v>
      </c>
      <c r="D53" s="70" t="n">
        <v>60461871.16</v>
      </c>
      <c r="E53" s="71">
        <f>IF(B53=0,0,C53/B53)</f>
        <v/>
      </c>
      <c r="F53" s="70">
        <f>IF(C53=0,0,D53/C53)</f>
        <v/>
      </c>
    </row>
    <row r="56">
      <c r="A56" s="47" t="inlineStr">
        <is>
          <t>SITEWIDE FUNNEL (key events)</t>
        </is>
      </c>
    </row>
    <row r="57" ht="26" customHeight="1">
      <c r="A57" s="14" t="inlineStr">
        <is>
          <t>Step</t>
        </is>
      </c>
      <c r="B57" s="14" t="inlineStr">
        <is>
          <t>Events</t>
        </is>
      </c>
      <c r="C57" s="14" t="inlineStr">
        <is>
          <t>% of Views</t>
        </is>
      </c>
      <c r="D57" s="14" t="inlineStr">
        <is>
          <t>Step Conversion</t>
        </is>
      </c>
    </row>
    <row r="58">
      <c r="A58" s="15" t="inlineStr">
        <is>
          <t>View Item</t>
        </is>
      </c>
      <c r="B58" s="73" t="n">
        <v>17961129</v>
      </c>
      <c r="C58" s="74">
        <f>B58/$B$58</f>
        <v/>
      </c>
      <c r="D58" s="75" t="inlineStr">
        <is>
          <t>-</t>
        </is>
      </c>
    </row>
    <row r="59">
      <c r="A59" s="15" t="inlineStr">
        <is>
          <t>Add to Cart</t>
        </is>
      </c>
      <c r="B59" s="73" t="n">
        <v>5987294</v>
      </c>
      <c r="C59" s="74">
        <f>B59/$B$58</f>
        <v/>
      </c>
      <c r="D59" s="74">
        <f>B59/B58</f>
        <v/>
      </c>
    </row>
    <row r="60">
      <c r="A60" s="15" t="inlineStr">
        <is>
          <t>Begin Checkout</t>
        </is>
      </c>
      <c r="B60" s="73" t="n">
        <v>1546210</v>
      </c>
      <c r="C60" s="74">
        <f>B60/$B$58</f>
        <v/>
      </c>
      <c r="D60" s="74">
        <f>B60/B59</f>
        <v/>
      </c>
    </row>
    <row r="61">
      <c r="A61" s="15" t="inlineStr">
        <is>
          <t>Add Payment Info</t>
        </is>
      </c>
      <c r="B61" s="73" t="n">
        <v>1068241</v>
      </c>
      <c r="C61" s="74">
        <f>B61/$B$58</f>
        <v/>
      </c>
      <c r="D61" s="74">
        <f>B61/B60</f>
        <v/>
      </c>
    </row>
    <row r="62">
      <c r="A62" s="15" t="inlineStr">
        <is>
          <t>Purchase</t>
        </is>
      </c>
      <c r="B62" s="73" t="n">
        <v>622991</v>
      </c>
      <c r="C62" s="74">
        <f>B62/$B$58</f>
        <v/>
      </c>
      <c r="D62" s="74">
        <f>B62/B61</f>
        <v/>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2026-08-10T08:04:38Z</dcterms:created>
  <dcterms:modified xsi:type="dcterms:W3CDTF">2026-08-10T08:04:38Z</dcterms:modified>
</cp:coreProperties>
</file>