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ale Events (price cuts)" sheetId="2" state="visible" r:id="rId2"/>
    <sheet name="BAU Price Changes (hikes)" sheetId="3" state="visible" r:id="rId3"/>
    <sheet name="BAU Hero SK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sz val="9"/>
    </font>
    <font>
      <b val="1"/>
      <color rgb="00FFFFFF"/>
    </font>
    <font>
      <b val="1"/>
    </font>
    <font>
      <b val="1"/>
      <sz val="9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548235"/>
      </patternFill>
    </fill>
    <fill>
      <patternFill patternType="solid">
        <fgColor rgb="00F2DCDB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0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0" fillId="9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9" fontId="0" fillId="10" borderId="1" pivotButton="0" quotePrefix="0" xfId="0"/>
    <xf numFmtId="0" fontId="0" fillId="4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18" customWidth="1" min="2" max="2"/>
  </cols>
  <sheetData>
    <row r="1">
      <c r="A1" s="1" t="inlineStr">
        <is>
          <t>MASTER ELASTICITY TRACKER — HOW TO USE</t>
        </is>
      </c>
      <c r="B1" t="inlineStr"/>
    </row>
    <row r="2">
      <c r="A2" t="inlineStr"/>
      <c r="B2" t="inlineStr"/>
    </row>
    <row r="3">
      <c r="A3" s="2" t="inlineStr">
        <is>
          <t>Tabs</t>
        </is>
      </c>
      <c r="B3" s="3" t="inlineStr">
        <is>
          <t>'Sale Events' (downward elasticity), 'BAU Price Changes' (upward elasticity, category level), 'BAU Hero SKUs' (upward elasticity, SKU level).</t>
        </is>
      </c>
    </row>
    <row r="4">
      <c r="A4" s="2" t="inlineStr">
        <is>
          <t>Fill the yellow cells</t>
        </is>
      </c>
      <c r="B4" s="3" t="inlineStr">
        <is>
          <t>Enter the PDP→ATC conversion % (ATC ÷ PDP views ×100) from MoEngage for that category/SKU in that week. Plain number e.g. 12.5. Elasticity auto-computes.</t>
        </is>
      </c>
    </row>
    <row r="5">
      <c r="A5" s="2" t="inlineStr">
        <is>
          <t>Reading breadth (BAU tab)</t>
        </is>
      </c>
      <c r="B5" s="3" t="inlineStr">
        <is>
          <t>'#SKU / %vol' tells you how much of the category actually changed price. GREEN cell = representative at category level. AMBER = partial. RED = too few SKUs / too little volume — don't trust a category read, use the Hero SKUs tab instead.</t>
        </is>
      </c>
    </row>
    <row r="6">
      <c r="A6" s="2" t="inlineStr">
        <is>
          <t>Category verdict</t>
        </is>
      </c>
      <c r="B6" s="3" t="inlineStr">
        <is>
          <t>'Category-level OK' = at least one wave has broad coverage. 'TRACK HERO SKUs ONLY' = repricing too fragmented (classic case: Designer Cases — 100+ SKUs changed but that's &lt;5% of its 16k SKUs).</t>
        </is>
      </c>
    </row>
    <row r="7">
      <c r="A7" s="2" t="inlineStr">
        <is>
          <t>Hero SKUs</t>
        </is>
      </c>
      <c r="B7" s="3" t="inlineStr">
        <is>
          <t>The top-selling SKUs in each category that actually repriced. Their SKU-level ATC change is the cleanest proxy for that category, especially where the category verdict says fragmented.</t>
        </is>
      </c>
    </row>
    <row r="8">
      <c r="A8" s="2" t="inlineStr">
        <is>
          <t>Elasticity</t>
        </is>
      </c>
      <c r="B8" s="3">
        <f> (%change in ATC%) / (%change in price). |value|&gt;1 = elastic (volume reacts strongly), &lt;1 = inelastic. Expect negative sign (price up → ATC down; price down → ATC up).</f>
        <v/>
      </c>
    </row>
    <row r="9">
      <c r="A9" s="2" t="inlineStr">
        <is>
          <t>Representative BAU category waves</t>
        </is>
      </c>
      <c r="B9" s="3" t="inlineStr">
        <is>
          <t>Watch Straps W49 (50% vol), Screen Guards W41 (47%), Laptop Bags W41 (41%), Desks W44 (54%), Crossbody W5 (46%), Messenger W5/W57 (~27%), Organisers W5 (30%) — these category reads are trustworthy.</t>
        </is>
      </c>
    </row>
    <row r="10">
      <c r="A10" s="2" t="inlineStr">
        <is>
          <t>Blank ASPs</t>
        </is>
      </c>
      <c r="B10" s="3" t="inlineStr">
        <is>
          <t>Ignored as OOS/discontinued, per instruction. Increases capped 8–60% (bigger = data errors).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7" customWidth="1" min="3" max="3"/>
    <col width="10" customWidth="1" min="4" max="4"/>
    <col width="10" customWidth="1" min="5" max="5"/>
    <col width="9" customWidth="1" min="6" max="6"/>
    <col width="7" customWidth="1" min="7" max="7"/>
    <col width="10" customWidth="1" min="8" max="8"/>
    <col width="10" customWidth="1" min="9" max="9"/>
    <col width="9" customWidth="1" min="10" max="10"/>
    <col width="7" customWidth="1" min="11" max="11"/>
    <col width="10" customWidth="1" min="12" max="12"/>
    <col width="10" customWidth="1" min="13" max="13"/>
    <col width="9" customWidth="1" min="14" max="14"/>
    <col width="7" customWidth="1" min="15" max="15"/>
    <col width="10" customWidth="1" min="16" max="16"/>
    <col width="10" customWidth="1" min="17" max="17"/>
    <col width="9" customWidth="1" min="18" max="18"/>
    <col width="7" customWidth="1" min="19" max="19"/>
    <col width="10" customWidth="1" min="20" max="20"/>
    <col width="10" customWidth="1" min="21" max="21"/>
    <col width="9" customWidth="1" min="22" max="22"/>
    <col width="7" customWidth="1" min="23" max="23"/>
    <col width="10" customWidth="1" min="24" max="24"/>
    <col width="10" customWidth="1" min="25" max="25"/>
    <col width="9" customWidth="1" min="26" max="26"/>
    <col width="7" customWidth="1" min="27" max="27"/>
    <col width="10" customWidth="1" min="28" max="28"/>
    <col width="10" customWidth="1" min="29" max="29"/>
    <col width="9" customWidth="1" min="30" max="30"/>
  </cols>
  <sheetData>
    <row r="1">
      <c r="A1" s="4" t="inlineStr">
        <is>
          <t>SALE EVENTS — downward elasticity (storewide price cuts)</t>
        </is>
      </c>
    </row>
    <row r="2">
      <c r="A2" s="5" t="inlineStr">
        <is>
          <t>Yellow = enter category PDP→ATC% (number, e.g. 12.5) for that week. Grey %Δ = measured ASP change. Elasticity auto = (%ΔATC%)/(%Δprice).</t>
        </is>
      </c>
    </row>
    <row r="3">
      <c r="A3" s="6" t="inlineStr">
        <is>
          <t>Category</t>
        </is>
      </c>
      <c r="B3" s="6" t="inlineStr">
        <is>
          <t>Type</t>
        </is>
      </c>
      <c r="C3" s="6" t="inlineStr">
        <is>
          <t>Republic Day</t>
        </is>
      </c>
      <c r="D3" s="7" t="n"/>
      <c r="E3" s="7" t="n"/>
      <c r="F3" s="7" t="n"/>
      <c r="G3" s="6" t="inlineStr">
        <is>
          <t>End-FY Mar-25</t>
        </is>
      </c>
      <c r="H3" s="7" t="n"/>
      <c r="I3" s="7" t="n"/>
      <c r="J3" s="7" t="n"/>
      <c r="K3" s="6" t="inlineStr">
        <is>
          <t>Aug/Sep-25</t>
        </is>
      </c>
      <c r="L3" s="7" t="n"/>
      <c r="M3" s="7" t="n"/>
      <c r="N3" s="7" t="n"/>
      <c r="O3" s="6" t="inlineStr">
        <is>
          <t>Diwali/Festive</t>
        </is>
      </c>
      <c r="P3" s="7" t="n"/>
      <c r="Q3" s="7" t="n"/>
      <c r="R3" s="7" t="n"/>
      <c r="S3" s="6" t="inlineStr">
        <is>
          <t>Year-end Dec-25</t>
        </is>
      </c>
      <c r="T3" s="7" t="n"/>
      <c r="U3" s="7" t="n"/>
      <c r="V3" s="7" t="n"/>
      <c r="W3" s="6" t="inlineStr">
        <is>
          <t>End-FY Mar-26</t>
        </is>
      </c>
      <c r="X3" s="7" t="n"/>
      <c r="Y3" s="7" t="n"/>
      <c r="Z3" s="7" t="n"/>
      <c r="AA3" s="6" t="inlineStr">
        <is>
          <t>May-26</t>
        </is>
      </c>
      <c r="AB3" s="7" t="n"/>
      <c r="AC3" s="7" t="n"/>
      <c r="AD3" s="7" t="n"/>
    </row>
    <row r="4" ht="28" customHeight="1">
      <c r="A4" s="7" t="n"/>
      <c r="B4" s="7" t="n"/>
      <c r="C4" s="8" t="inlineStr">
        <is>
          <t>ASP %Δ</t>
        </is>
      </c>
      <c r="D4" s="8" t="inlineStr">
        <is>
          <t>ATC% pre
W2</t>
        </is>
      </c>
      <c r="E4" s="8" t="inlineStr">
        <is>
          <t>ATC% sale
W4</t>
        </is>
      </c>
      <c r="F4" s="8" t="inlineStr">
        <is>
          <t>Elasticity</t>
        </is>
      </c>
      <c r="G4" s="8" t="inlineStr">
        <is>
          <t>ASP %Δ</t>
        </is>
      </c>
      <c r="H4" s="8" t="inlineStr">
        <is>
          <t>ATC% pre
W11</t>
        </is>
      </c>
      <c r="I4" s="8" t="inlineStr">
        <is>
          <t>ATC% sale
W13</t>
        </is>
      </c>
      <c r="J4" s="8" t="inlineStr">
        <is>
          <t>Elasticity</t>
        </is>
      </c>
      <c r="K4" s="8" t="inlineStr">
        <is>
          <t>ASP %Δ</t>
        </is>
      </c>
      <c r="L4" s="8" t="inlineStr">
        <is>
          <t>ATC% pre
W33</t>
        </is>
      </c>
      <c r="M4" s="8" t="inlineStr">
        <is>
          <t>ATC% sale
W35</t>
        </is>
      </c>
      <c r="N4" s="8" t="inlineStr">
        <is>
          <t>Elasticity</t>
        </is>
      </c>
      <c r="O4" s="8" t="inlineStr">
        <is>
          <t>ASP %Δ</t>
        </is>
      </c>
      <c r="P4" s="8" t="inlineStr">
        <is>
          <t>ATC% pre
W40</t>
        </is>
      </c>
      <c r="Q4" s="8" t="inlineStr">
        <is>
          <t>ATC% sale
W42</t>
        </is>
      </c>
      <c r="R4" s="8" t="inlineStr">
        <is>
          <t>Elasticity</t>
        </is>
      </c>
      <c r="S4" s="8" t="inlineStr">
        <is>
          <t>ASP %Δ</t>
        </is>
      </c>
      <c r="T4" s="8" t="inlineStr">
        <is>
          <t>ATC% pre
W49</t>
        </is>
      </c>
      <c r="U4" s="8" t="inlineStr">
        <is>
          <t>ATC% sale
W51</t>
        </is>
      </c>
      <c r="V4" s="8" t="inlineStr">
        <is>
          <t>Elasticity</t>
        </is>
      </c>
      <c r="W4" s="8" t="inlineStr">
        <is>
          <t>ASP %Δ</t>
        </is>
      </c>
      <c r="X4" s="8" t="inlineStr">
        <is>
          <t>ATC% pre
W62</t>
        </is>
      </c>
      <c r="Y4" s="8" t="inlineStr">
        <is>
          <t>ATC% sale
W64</t>
        </is>
      </c>
      <c r="Z4" s="8" t="inlineStr">
        <is>
          <t>Elasticity</t>
        </is>
      </c>
      <c r="AA4" s="8" t="inlineStr">
        <is>
          <t>ASP %Δ</t>
        </is>
      </c>
      <c r="AB4" s="8" t="inlineStr">
        <is>
          <t>ATC% pre
W69</t>
        </is>
      </c>
      <c r="AC4" s="8" t="inlineStr">
        <is>
          <t>ATC% sale
W71</t>
        </is>
      </c>
      <c r="AD4" s="8" t="inlineStr">
        <is>
          <t>Elasticity</t>
        </is>
      </c>
    </row>
    <row r="5">
      <c r="A5" s="9" t="inlineStr">
        <is>
          <t>Wireless Charger</t>
        </is>
      </c>
      <c r="B5" s="7" t="inlineStr">
        <is>
          <t>Tech</t>
        </is>
      </c>
      <c r="C5" s="10" t="n">
        <v>-0.105</v>
      </c>
      <c r="D5" s="11" t="n"/>
      <c r="E5" s="11" t="n"/>
      <c r="F5" s="12">
        <f>IF(OR(D5="",E5=""),"",((E5/D5)-1)/C5)</f>
        <v/>
      </c>
      <c r="G5" s="10" t="n">
        <v>-0.339</v>
      </c>
      <c r="H5" s="11" t="n"/>
      <c r="I5" s="11" t="n"/>
      <c r="J5" s="12">
        <f>IF(OR(H5="",I5=""),"",((I5/H5)-1)/G5)</f>
        <v/>
      </c>
      <c r="K5" s="10" t="n">
        <v>-0.293</v>
      </c>
      <c r="L5" s="11" t="n"/>
      <c r="M5" s="11" t="n"/>
      <c r="N5" s="12">
        <f>IF(OR(L5="",M5=""),"",((M5/L5)-1)/K5)</f>
        <v/>
      </c>
      <c r="O5" s="13" t="n"/>
      <c r="P5" s="13" t="n"/>
      <c r="Q5" s="13" t="n"/>
      <c r="R5" s="13" t="n"/>
      <c r="S5" s="10" t="n">
        <v>-0.141</v>
      </c>
      <c r="T5" s="11" t="n"/>
      <c r="U5" s="11" t="n"/>
      <c r="V5" s="12">
        <f>IF(OR(T5="",U5=""),"",((U5/T5)-1)/S5)</f>
        <v/>
      </c>
      <c r="W5" s="10" t="n">
        <v>-0.375</v>
      </c>
      <c r="X5" s="11" t="n"/>
      <c r="Y5" s="11" t="n"/>
      <c r="Z5" s="12">
        <f>IF(OR(X5="",Y5=""),"",((Y5/X5)-1)/W5)</f>
        <v/>
      </c>
      <c r="AA5" s="10" t="n">
        <v>-0.136</v>
      </c>
      <c r="AB5" s="11" t="n"/>
      <c r="AC5" s="11" t="n"/>
      <c r="AD5" s="12">
        <f>IF(OR(AB5="",AC5=""),"",((AC5/AB5)-1)/AA5)</f>
        <v/>
      </c>
    </row>
    <row r="6">
      <c r="A6" s="9" t="inlineStr">
        <is>
          <t>Designer Cases</t>
        </is>
      </c>
      <c r="B6" s="7" t="inlineStr">
        <is>
          <t>Tech</t>
        </is>
      </c>
      <c r="C6" s="10" t="n">
        <v>-0.1</v>
      </c>
      <c r="D6" s="11" t="n"/>
      <c r="E6" s="11" t="n"/>
      <c r="F6" s="12">
        <f>IF(OR(D6="",E6=""),"",((E6/D6)-1)/C6)</f>
        <v/>
      </c>
      <c r="G6" s="10" t="n">
        <v>-0.322</v>
      </c>
      <c r="H6" s="11" t="n"/>
      <c r="I6" s="11" t="n"/>
      <c r="J6" s="12">
        <f>IF(OR(H6="",I6=""),"",((I6/H6)-1)/G6)</f>
        <v/>
      </c>
      <c r="K6" s="10" t="n">
        <v>-0.3</v>
      </c>
      <c r="L6" s="11" t="n"/>
      <c r="M6" s="11" t="n"/>
      <c r="N6" s="12">
        <f>IF(OR(L6="",M6=""),"",((M6/L6)-1)/K6)</f>
        <v/>
      </c>
      <c r="O6" s="13" t="n"/>
      <c r="P6" s="13" t="n"/>
      <c r="Q6" s="13" t="n"/>
      <c r="R6" s="13" t="n"/>
      <c r="S6" s="10" t="n">
        <v>-0.07199999999999999</v>
      </c>
      <c r="T6" s="11" t="n"/>
      <c r="U6" s="11" t="n"/>
      <c r="V6" s="12">
        <f>IF(OR(T6="",U6=""),"",((U6/T6)-1)/S6)</f>
        <v/>
      </c>
      <c r="W6" s="10" t="n">
        <v>-0.347</v>
      </c>
      <c r="X6" s="11" t="n"/>
      <c r="Y6" s="11" t="n"/>
      <c r="Z6" s="12">
        <f>IF(OR(X6="",Y6=""),"",((Y6/X6)-1)/W6)</f>
        <v/>
      </c>
      <c r="AA6" s="10" t="n">
        <v>-0.161</v>
      </c>
      <c r="AB6" s="11" t="n"/>
      <c r="AC6" s="11" t="n"/>
      <c r="AD6" s="12">
        <f>IF(OR(AB6="",AC6=""),"",((AC6/AB6)-1)/AA6)</f>
        <v/>
      </c>
    </row>
    <row r="7">
      <c r="A7" s="9" t="inlineStr">
        <is>
          <t>Screen Guards</t>
        </is>
      </c>
      <c r="B7" s="7" t="inlineStr">
        <is>
          <t>Tech</t>
        </is>
      </c>
      <c r="C7" s="13" t="n"/>
      <c r="D7" s="13" t="n"/>
      <c r="E7" s="13" t="n"/>
      <c r="F7" s="13" t="n"/>
      <c r="G7" s="10" t="n">
        <v>-0.297</v>
      </c>
      <c r="H7" s="11" t="n"/>
      <c r="I7" s="11" t="n"/>
      <c r="J7" s="12">
        <f>IF(OR(H7="",I7=""),"",((I7/H7)-1)/G7)</f>
        <v/>
      </c>
      <c r="K7" s="10" t="n">
        <v>-0.292</v>
      </c>
      <c r="L7" s="11" t="n"/>
      <c r="M7" s="11" t="n"/>
      <c r="N7" s="12">
        <f>IF(OR(L7="",M7=""),"",((M7/L7)-1)/K7)</f>
        <v/>
      </c>
      <c r="O7" s="13" t="n"/>
      <c r="P7" s="13" t="n"/>
      <c r="Q7" s="13" t="n"/>
      <c r="R7" s="13" t="n"/>
      <c r="S7" s="13" t="n"/>
      <c r="T7" s="13" t="n"/>
      <c r="U7" s="13" t="n"/>
      <c r="V7" s="13" t="n"/>
      <c r="W7" s="10" t="n">
        <v>-0.354</v>
      </c>
      <c r="X7" s="11" t="n"/>
      <c r="Y7" s="11" t="n"/>
      <c r="Z7" s="12">
        <f>IF(OR(X7="",Y7=""),"",((Y7/X7)-1)/W7)</f>
        <v/>
      </c>
      <c r="AA7" s="10" t="n">
        <v>-0.107</v>
      </c>
      <c r="AB7" s="11" t="n"/>
      <c r="AC7" s="11" t="n"/>
      <c r="AD7" s="12">
        <f>IF(OR(AB7="",AC7=""),"",((AC7/AB7)-1)/AA7)</f>
        <v/>
      </c>
    </row>
    <row r="8">
      <c r="A8" s="9" t="inlineStr">
        <is>
          <t>Airpods Case Cover</t>
        </is>
      </c>
      <c r="B8" s="7" t="inlineStr">
        <is>
          <t>Tech</t>
        </is>
      </c>
      <c r="C8" s="10" t="n">
        <v>-0.204</v>
      </c>
      <c r="D8" s="11" t="n"/>
      <c r="E8" s="11" t="n"/>
      <c r="F8" s="12">
        <f>IF(OR(D8="",E8=""),"",((E8/D8)-1)/C8)</f>
        <v/>
      </c>
      <c r="G8" s="10" t="n">
        <v>-0.479</v>
      </c>
      <c r="H8" s="11" t="n"/>
      <c r="I8" s="11" t="n"/>
      <c r="J8" s="12">
        <f>IF(OR(H8="",I8=""),"",((I8/H8)-1)/G8)</f>
        <v/>
      </c>
      <c r="K8" s="10" t="n">
        <v>-0.536</v>
      </c>
      <c r="L8" s="11" t="n"/>
      <c r="M8" s="11" t="n"/>
      <c r="N8" s="12">
        <f>IF(OR(L8="",M8=""),"",((M8/L8)-1)/K8)</f>
        <v/>
      </c>
      <c r="O8" s="10" t="n">
        <v>-0.371</v>
      </c>
      <c r="P8" s="11" t="n"/>
      <c r="Q8" s="11" t="n"/>
      <c r="R8" s="12">
        <f>IF(OR(P8="",Q8=""),"",((Q8/P8)-1)/O8)</f>
        <v/>
      </c>
      <c r="S8" s="10" t="n">
        <v>-0.355</v>
      </c>
      <c r="T8" s="11" t="n"/>
      <c r="U8" s="11" t="n"/>
      <c r="V8" s="12">
        <f>IF(OR(T8="",U8=""),"",((U8/T8)-1)/S8)</f>
        <v/>
      </c>
      <c r="W8" s="10" t="n">
        <v>-0.446</v>
      </c>
      <c r="X8" s="11" t="n"/>
      <c r="Y8" s="11" t="n"/>
      <c r="Z8" s="12">
        <f>IF(OR(X8="",Y8=""),"",((Y8/X8)-1)/W8)</f>
        <v/>
      </c>
      <c r="AA8" s="10" t="n">
        <v>-0.476</v>
      </c>
      <c r="AB8" s="11" t="n"/>
      <c r="AC8" s="11" t="n"/>
      <c r="AD8" s="12">
        <f>IF(OR(AB8="",AC8=""),"",((AC8/AB8)-1)/AA8)</f>
        <v/>
      </c>
    </row>
    <row r="9">
      <c r="A9" s="9" t="inlineStr">
        <is>
          <t>Stands</t>
        </is>
      </c>
      <c r="B9" s="7" t="inlineStr">
        <is>
          <t>Tech</t>
        </is>
      </c>
      <c r="C9" s="10" t="n">
        <v>-0.254</v>
      </c>
      <c r="D9" s="11" t="n"/>
      <c r="E9" s="11" t="n"/>
      <c r="F9" s="12">
        <f>IF(OR(D9="",E9=""),"",((E9/D9)-1)/C9)</f>
        <v/>
      </c>
      <c r="G9" s="10" t="n">
        <v>-0.334</v>
      </c>
      <c r="H9" s="11" t="n"/>
      <c r="I9" s="11" t="n"/>
      <c r="J9" s="12">
        <f>IF(OR(H9="",I9=""),"",((I9/H9)-1)/G9)</f>
        <v/>
      </c>
      <c r="K9" s="10" t="n">
        <v>-0.434</v>
      </c>
      <c r="L9" s="11" t="n"/>
      <c r="M9" s="11" t="n"/>
      <c r="N9" s="12">
        <f>IF(OR(L9="",M9=""),"",((M9/L9)-1)/K9)</f>
        <v/>
      </c>
      <c r="O9" s="13" t="n"/>
      <c r="P9" s="13" t="n"/>
      <c r="Q9" s="13" t="n"/>
      <c r="R9" s="13" t="n"/>
      <c r="S9" s="10" t="n">
        <v>-0.094</v>
      </c>
      <c r="T9" s="11" t="n"/>
      <c r="U9" s="11" t="n"/>
      <c r="V9" s="12">
        <f>IF(OR(T9="",U9=""),"",((U9/T9)-1)/S9)</f>
        <v/>
      </c>
      <c r="W9" s="10" t="n">
        <v>-0.311</v>
      </c>
      <c r="X9" s="11" t="n"/>
      <c r="Y9" s="11" t="n"/>
      <c r="Z9" s="12">
        <f>IF(OR(X9="",Y9=""),"",((Y9/X9)-1)/W9)</f>
        <v/>
      </c>
      <c r="AA9" s="10" t="n">
        <v>-0.121</v>
      </c>
      <c r="AB9" s="11" t="n"/>
      <c r="AC9" s="11" t="n"/>
      <c r="AD9" s="12">
        <f>IF(OR(AB9="",AC9=""),"",((AC9/AB9)-1)/AA9)</f>
        <v/>
      </c>
    </row>
    <row r="10">
      <c r="A10" s="9" t="inlineStr">
        <is>
          <t>Watch Straps</t>
        </is>
      </c>
      <c r="B10" s="7" t="inlineStr">
        <is>
          <t>Non-Tech</t>
        </is>
      </c>
      <c r="C10" s="10" t="n">
        <v>-0.061</v>
      </c>
      <c r="D10" s="11" t="n"/>
      <c r="E10" s="11" t="n"/>
      <c r="F10" s="12">
        <f>IF(OR(D10="",E10=""),"",((E10/D10)-1)/C10)</f>
        <v/>
      </c>
      <c r="G10" s="10" t="n">
        <v>-0.267</v>
      </c>
      <c r="H10" s="11" t="n"/>
      <c r="I10" s="11" t="n"/>
      <c r="J10" s="12">
        <f>IF(OR(H10="",I10=""),"",((I10/H10)-1)/G10)</f>
        <v/>
      </c>
      <c r="K10" s="10" t="n">
        <v>-0.322</v>
      </c>
      <c r="L10" s="11" t="n"/>
      <c r="M10" s="11" t="n"/>
      <c r="N10" s="12">
        <f>IF(OR(L10="",M10=""),"",((M10/L10)-1)/K10)</f>
        <v/>
      </c>
      <c r="O10" s="10" t="n">
        <v>-0.113</v>
      </c>
      <c r="P10" s="11" t="n"/>
      <c r="Q10" s="11" t="n"/>
      <c r="R10" s="12">
        <f>IF(OR(P10="",Q10=""),"",((Q10/P10)-1)/O10)</f>
        <v/>
      </c>
      <c r="S10" s="13" t="n"/>
      <c r="T10" s="13" t="n"/>
      <c r="U10" s="13" t="n"/>
      <c r="V10" s="13" t="n"/>
      <c r="W10" s="10" t="n">
        <v>-0.536</v>
      </c>
      <c r="X10" s="11" t="n"/>
      <c r="Y10" s="11" t="n"/>
      <c r="Z10" s="12">
        <f>IF(OR(X10="",Y10=""),"",((Y10/X10)-1)/W10)</f>
        <v/>
      </c>
      <c r="AA10" s="10" t="n">
        <v>-0.155</v>
      </c>
      <c r="AB10" s="11" t="n"/>
      <c r="AC10" s="11" t="n"/>
      <c r="AD10" s="12">
        <f>IF(OR(AB10="",AC10=""),"",((AC10/AB10)-1)/AA10)</f>
        <v/>
      </c>
    </row>
    <row r="11">
      <c r="A11" s="9" t="inlineStr">
        <is>
          <t>Backpacks</t>
        </is>
      </c>
      <c r="B11" s="7" t="inlineStr">
        <is>
          <t>Non-Tech</t>
        </is>
      </c>
      <c r="C11" s="10" t="n">
        <v>-0.09</v>
      </c>
      <c r="D11" s="11" t="n"/>
      <c r="E11" s="11" t="n"/>
      <c r="F11" s="12">
        <f>IF(OR(D11="",E11=""),"",((E11/D11)-1)/C11)</f>
        <v/>
      </c>
      <c r="G11" s="10" t="n">
        <v>-0.228</v>
      </c>
      <c r="H11" s="11" t="n"/>
      <c r="I11" s="11" t="n"/>
      <c r="J11" s="12">
        <f>IF(OR(H11="",I11=""),"",((I11/H11)-1)/G11)</f>
        <v/>
      </c>
      <c r="K11" s="10" t="n">
        <v>-0.22</v>
      </c>
      <c r="L11" s="11" t="n"/>
      <c r="M11" s="11" t="n"/>
      <c r="N11" s="12">
        <f>IF(OR(L11="",M11=""),"",((M11/L11)-1)/K11)</f>
        <v/>
      </c>
      <c r="O11" s="13" t="n"/>
      <c r="P11" s="13" t="n"/>
      <c r="Q11" s="13" t="n"/>
      <c r="R11" s="13" t="n"/>
      <c r="S11" s="10" t="n">
        <v>-0.073</v>
      </c>
      <c r="T11" s="11" t="n"/>
      <c r="U11" s="11" t="n"/>
      <c r="V11" s="12">
        <f>IF(OR(T11="",U11=""),"",((U11/T11)-1)/S11)</f>
        <v/>
      </c>
      <c r="W11" s="10" t="n">
        <v>-0.215</v>
      </c>
      <c r="X11" s="11" t="n"/>
      <c r="Y11" s="11" t="n"/>
      <c r="Z11" s="12">
        <f>IF(OR(X11="",Y11=""),"",((Y11/X11)-1)/W11)</f>
        <v/>
      </c>
      <c r="AA11" s="10" t="n">
        <v>-0.07199999999999999</v>
      </c>
      <c r="AB11" s="11" t="n"/>
      <c r="AC11" s="11" t="n"/>
      <c r="AD11" s="12">
        <f>IF(OR(AB11="",AC11=""),"",((AC11/AB11)-1)/AA11)</f>
        <v/>
      </c>
    </row>
    <row r="12">
      <c r="A12" s="9" t="inlineStr">
        <is>
          <t>Laptop Bags and Sleeves</t>
        </is>
      </c>
      <c r="B12" s="7" t="inlineStr">
        <is>
          <t>Non-Tech</t>
        </is>
      </c>
      <c r="C12" s="10" t="n">
        <v>-0.125</v>
      </c>
      <c r="D12" s="11" t="n"/>
      <c r="E12" s="11" t="n"/>
      <c r="F12" s="12">
        <f>IF(OR(D12="",E12=""),"",((E12/D12)-1)/C12)</f>
        <v/>
      </c>
      <c r="G12" s="10" t="n">
        <v>-0.345</v>
      </c>
      <c r="H12" s="11" t="n"/>
      <c r="I12" s="11" t="n"/>
      <c r="J12" s="12">
        <f>IF(OR(H12="",I12=""),"",((I12/H12)-1)/G12)</f>
        <v/>
      </c>
      <c r="K12" s="10" t="n">
        <v>-0.335</v>
      </c>
      <c r="L12" s="11" t="n"/>
      <c r="M12" s="11" t="n"/>
      <c r="N12" s="12">
        <f>IF(OR(L12="",M12=""),"",((M12/L12)-1)/K12)</f>
        <v/>
      </c>
      <c r="O12" s="13" t="n"/>
      <c r="P12" s="13" t="n"/>
      <c r="Q12" s="13" t="n"/>
      <c r="R12" s="13" t="n"/>
      <c r="S12" s="10" t="n">
        <v>-0.15</v>
      </c>
      <c r="T12" s="11" t="n"/>
      <c r="U12" s="11" t="n"/>
      <c r="V12" s="12">
        <f>IF(OR(T12="",U12=""),"",((U12/T12)-1)/S12)</f>
        <v/>
      </c>
      <c r="W12" s="10" t="n">
        <v>-0.36</v>
      </c>
      <c r="X12" s="11" t="n"/>
      <c r="Y12" s="11" t="n"/>
      <c r="Z12" s="12">
        <f>IF(OR(X12="",Y12=""),"",((Y12/X12)-1)/W12)</f>
        <v/>
      </c>
      <c r="AA12" s="10" t="n">
        <v>-0.101</v>
      </c>
      <c r="AB12" s="11" t="n"/>
      <c r="AC12" s="11" t="n"/>
      <c r="AD12" s="12">
        <f>IF(OR(AB12="",AC12=""),"",((AC12/AB12)-1)/AA12)</f>
        <v/>
      </c>
    </row>
    <row r="13">
      <c r="A13" s="9" t="inlineStr">
        <is>
          <t>Crossbody Bags</t>
        </is>
      </c>
      <c r="B13" s="7" t="inlineStr">
        <is>
          <t>Non-Tech</t>
        </is>
      </c>
      <c r="C13" s="10" t="n">
        <v>-0.082</v>
      </c>
      <c r="D13" s="11" t="n"/>
      <c r="E13" s="11" t="n"/>
      <c r="F13" s="12">
        <f>IF(OR(D13="",E13=""),"",((E13/D13)-1)/C13)</f>
        <v/>
      </c>
      <c r="G13" s="10" t="n">
        <v>-0.251</v>
      </c>
      <c r="H13" s="11" t="n"/>
      <c r="I13" s="11" t="n"/>
      <c r="J13" s="12">
        <f>IF(OR(H13="",I13=""),"",((I13/H13)-1)/G13)</f>
        <v/>
      </c>
      <c r="K13" s="10" t="n">
        <v>-0.226</v>
      </c>
      <c r="L13" s="11" t="n"/>
      <c r="M13" s="11" t="n"/>
      <c r="N13" s="12">
        <f>IF(OR(L13="",M13=""),"",((M13/L13)-1)/K13)</f>
        <v/>
      </c>
      <c r="O13" s="10" t="n">
        <v>-0.075</v>
      </c>
      <c r="P13" s="11" t="n"/>
      <c r="Q13" s="11" t="n"/>
      <c r="R13" s="12">
        <f>IF(OR(P13="",Q13=""),"",((Q13/P13)-1)/O13)</f>
        <v/>
      </c>
      <c r="S13" s="10" t="n">
        <v>-0.098</v>
      </c>
      <c r="T13" s="11" t="n"/>
      <c r="U13" s="11" t="n"/>
      <c r="V13" s="12">
        <f>IF(OR(T13="",U13=""),"",((U13/T13)-1)/S13)</f>
        <v/>
      </c>
      <c r="W13" s="10" t="n">
        <v>-0.169</v>
      </c>
      <c r="X13" s="11" t="n"/>
      <c r="Y13" s="11" t="n"/>
      <c r="Z13" s="12">
        <f>IF(OR(X13="",Y13=""),"",((Y13/X13)-1)/W13)</f>
        <v/>
      </c>
      <c r="AA13" s="10" t="n">
        <v>-0.099</v>
      </c>
      <c r="AB13" s="11" t="n"/>
      <c r="AC13" s="11" t="n"/>
      <c r="AD13" s="12">
        <f>IF(OR(AB13="",AC13=""),"",((AC13/AB13)-1)/AA13)</f>
        <v/>
      </c>
    </row>
    <row r="14">
      <c r="A14" s="9" t="inlineStr">
        <is>
          <t>Tote Bags</t>
        </is>
      </c>
      <c r="B14" s="7" t="inlineStr">
        <is>
          <t>Non-Tech</t>
        </is>
      </c>
      <c r="C14" s="10" t="n">
        <v>-0.079</v>
      </c>
      <c r="D14" s="11" t="n"/>
      <c r="E14" s="11" t="n"/>
      <c r="F14" s="12">
        <f>IF(OR(D14="",E14=""),"",((E14/D14)-1)/C14)</f>
        <v/>
      </c>
      <c r="G14" s="10" t="n">
        <v>-0.227</v>
      </c>
      <c r="H14" s="11" t="n"/>
      <c r="I14" s="11" t="n"/>
      <c r="J14" s="12">
        <f>IF(OR(H14="",I14=""),"",((I14/H14)-1)/G14)</f>
        <v/>
      </c>
      <c r="K14" s="10" t="n">
        <v>-0.218</v>
      </c>
      <c r="L14" s="11" t="n"/>
      <c r="M14" s="11" t="n"/>
      <c r="N14" s="12">
        <f>IF(OR(L14="",M14=""),"",((M14/L14)-1)/K14)</f>
        <v/>
      </c>
      <c r="O14" s="10" t="n">
        <v>-0.06900000000000001</v>
      </c>
      <c r="P14" s="11" t="n"/>
      <c r="Q14" s="11" t="n"/>
      <c r="R14" s="12">
        <f>IF(OR(P14="",Q14=""),"",((Q14/P14)-1)/O14)</f>
        <v/>
      </c>
      <c r="S14" s="10" t="n">
        <v>-0.156</v>
      </c>
      <c r="T14" s="11" t="n"/>
      <c r="U14" s="11" t="n"/>
      <c r="V14" s="12">
        <f>IF(OR(T14="",U14=""),"",((U14/T14)-1)/S14)</f>
        <v/>
      </c>
      <c r="W14" s="10" t="n">
        <v>-0.236</v>
      </c>
      <c r="X14" s="11" t="n"/>
      <c r="Y14" s="11" t="n"/>
      <c r="Z14" s="12">
        <f>IF(OR(X14="",Y14=""),"",((Y14/X14)-1)/W14)</f>
        <v/>
      </c>
      <c r="AA14" s="10" t="n">
        <v>-0.13</v>
      </c>
      <c r="AB14" s="11" t="n"/>
      <c r="AC14" s="11" t="n"/>
      <c r="AD14" s="12">
        <f>IF(OR(AB14="",AC14=""),"",((AC14/AB14)-1)/AA14)</f>
        <v/>
      </c>
    </row>
    <row r="15">
      <c r="A15" s="9" t="inlineStr">
        <is>
          <t>Desks</t>
        </is>
      </c>
      <c r="B15" s="7" t="inlineStr">
        <is>
          <t>Non-Tech</t>
        </is>
      </c>
      <c r="C15" s="10" t="n">
        <v>-0.109</v>
      </c>
      <c r="D15" s="11" t="n"/>
      <c r="E15" s="11" t="n"/>
      <c r="F15" s="12">
        <f>IF(OR(D15="",E15=""),"",((E15/D15)-1)/C15)</f>
        <v/>
      </c>
      <c r="G15" s="10" t="n">
        <v>-0.263</v>
      </c>
      <c r="H15" s="11" t="n"/>
      <c r="I15" s="11" t="n"/>
      <c r="J15" s="12">
        <f>IF(OR(H15="",I15=""),"",((I15/H15)-1)/G15)</f>
        <v/>
      </c>
      <c r="K15" s="10" t="n">
        <v>-0.268</v>
      </c>
      <c r="L15" s="11" t="n"/>
      <c r="M15" s="11" t="n"/>
      <c r="N15" s="12">
        <f>IF(OR(L15="",M15=""),"",((M15/L15)-1)/K15)</f>
        <v/>
      </c>
      <c r="O15" s="13" t="n"/>
      <c r="P15" s="13" t="n"/>
      <c r="Q15" s="13" t="n"/>
      <c r="R15" s="13" t="n"/>
      <c r="S15" s="10" t="n">
        <v>-0.098</v>
      </c>
      <c r="T15" s="11" t="n"/>
      <c r="U15" s="11" t="n"/>
      <c r="V15" s="12">
        <f>IF(OR(T15="",U15=""),"",((U15/T15)-1)/S15)</f>
        <v/>
      </c>
      <c r="W15" s="10" t="n">
        <v>-0.258</v>
      </c>
      <c r="X15" s="11" t="n"/>
      <c r="Y15" s="11" t="n"/>
      <c r="Z15" s="12">
        <f>IF(OR(X15="",Y15=""),"",((Y15/X15)-1)/W15)</f>
        <v/>
      </c>
      <c r="AA15" s="10" t="n">
        <v>-0.128</v>
      </c>
      <c r="AB15" s="11" t="n"/>
      <c r="AC15" s="11" t="n"/>
      <c r="AD15" s="12">
        <f>IF(OR(AB15="",AC15=""),"",((AC15/AB15)-1)/AA15)</f>
        <v/>
      </c>
    </row>
    <row r="16">
      <c r="A16" s="9" t="inlineStr">
        <is>
          <t>Organisers</t>
        </is>
      </c>
      <c r="B16" s="7" t="inlineStr">
        <is>
          <t>Non-Tech</t>
        </is>
      </c>
      <c r="C16" s="10" t="n">
        <v>-0.109</v>
      </c>
      <c r="D16" s="11" t="n"/>
      <c r="E16" s="11" t="n"/>
      <c r="F16" s="12">
        <f>IF(OR(D16="",E16=""),"",((E16/D16)-1)/C16)</f>
        <v/>
      </c>
      <c r="G16" s="10" t="n">
        <v>-0.306</v>
      </c>
      <c r="H16" s="11" t="n"/>
      <c r="I16" s="11" t="n"/>
      <c r="J16" s="12">
        <f>IF(OR(H16="",I16=""),"",((I16/H16)-1)/G16)</f>
        <v/>
      </c>
      <c r="K16" s="10" t="n">
        <v>0.398</v>
      </c>
      <c r="L16" s="11" t="n"/>
      <c r="M16" s="11" t="n"/>
      <c r="N16" s="12">
        <f>IF(OR(L16="",M16=""),"",((M16/L16)-1)/K16)</f>
        <v/>
      </c>
      <c r="O16" s="10" t="n">
        <v>-0.115</v>
      </c>
      <c r="P16" s="11" t="n"/>
      <c r="Q16" s="11" t="n"/>
      <c r="R16" s="12">
        <f>IF(OR(P16="",Q16=""),"",((Q16/P16)-1)/O16)</f>
        <v/>
      </c>
      <c r="S16" s="10" t="n">
        <v>-0.171</v>
      </c>
      <c r="T16" s="11" t="n"/>
      <c r="U16" s="11" t="n"/>
      <c r="V16" s="12">
        <f>IF(OR(T16="",U16=""),"",((U16/T16)-1)/S16)</f>
        <v/>
      </c>
      <c r="W16" s="10" t="n">
        <v>-0.311</v>
      </c>
      <c r="X16" s="11" t="n"/>
      <c r="Y16" s="11" t="n"/>
      <c r="Z16" s="12">
        <f>IF(OR(X16="",Y16=""),"",((Y16/X16)-1)/W16)</f>
        <v/>
      </c>
      <c r="AA16" s="10" t="n">
        <v>-0.132</v>
      </c>
      <c r="AB16" s="11" t="n"/>
      <c r="AC16" s="11" t="n"/>
      <c r="AD16" s="12">
        <f>IF(OR(AB16="",AC16=""),"",((AC16/AB16)-1)/AA16)</f>
        <v/>
      </c>
    </row>
    <row r="17">
      <c r="A17" s="9" t="inlineStr">
        <is>
          <t>Phone Wallets</t>
        </is>
      </c>
      <c r="B17" s="7" t="inlineStr">
        <is>
          <t>Non-Tech</t>
        </is>
      </c>
      <c r="C17" s="10" t="n">
        <v>-0.162</v>
      </c>
      <c r="D17" s="11" t="n"/>
      <c r="E17" s="11" t="n"/>
      <c r="F17" s="12">
        <f>IF(OR(D17="",E17=""),"",((E17/D17)-1)/C17)</f>
        <v/>
      </c>
      <c r="G17" s="10" t="n">
        <v>-0.392</v>
      </c>
      <c r="H17" s="11" t="n"/>
      <c r="I17" s="11" t="n"/>
      <c r="J17" s="12">
        <f>IF(OR(H17="",I17=""),"",((I17/H17)-1)/G17)</f>
        <v/>
      </c>
      <c r="K17" s="10" t="n">
        <v>-0.371</v>
      </c>
      <c r="L17" s="11" t="n"/>
      <c r="M17" s="11" t="n"/>
      <c r="N17" s="12">
        <f>IF(OR(L17="",M17=""),"",((M17/L17)-1)/K17)</f>
        <v/>
      </c>
      <c r="O17" s="10" t="n">
        <v>-0.147</v>
      </c>
      <c r="P17" s="11" t="n"/>
      <c r="Q17" s="11" t="n"/>
      <c r="R17" s="12">
        <f>IF(OR(P17="",Q17=""),"",((Q17/P17)-1)/O17)</f>
        <v/>
      </c>
      <c r="S17" s="10" t="n">
        <v>-0.257</v>
      </c>
      <c r="T17" s="11" t="n"/>
      <c r="U17" s="11" t="n"/>
      <c r="V17" s="12">
        <f>IF(OR(T17="",U17=""),"",((U17/T17)-1)/S17)</f>
        <v/>
      </c>
      <c r="W17" s="10" t="n">
        <v>-0.311</v>
      </c>
      <c r="X17" s="11" t="n"/>
      <c r="Y17" s="11" t="n"/>
      <c r="Z17" s="12">
        <f>IF(OR(X17="",Y17=""),"",((Y17/X17)-1)/W17)</f>
        <v/>
      </c>
      <c r="AA17" s="10" t="n">
        <v>-0.158</v>
      </c>
      <c r="AB17" s="11" t="n"/>
      <c r="AC17" s="11" t="n"/>
      <c r="AD17" s="12">
        <f>IF(OR(AB17="",AC17=""),"",((AC17/AB17)-1)/AA17)</f>
        <v/>
      </c>
    </row>
    <row r="18">
      <c r="A18" s="9" t="inlineStr">
        <is>
          <t>Messenger Bags</t>
        </is>
      </c>
      <c r="B18" s="7" t="inlineStr">
        <is>
          <t>Non-Tech</t>
        </is>
      </c>
      <c r="C18" s="10" t="n">
        <v>-0.07199999999999999</v>
      </c>
      <c r="D18" s="11" t="n"/>
      <c r="E18" s="11" t="n"/>
      <c r="F18" s="12">
        <f>IF(OR(D18="",E18=""),"",((E18/D18)-1)/C18)</f>
        <v/>
      </c>
      <c r="G18" s="10" t="n">
        <v>-0.205</v>
      </c>
      <c r="H18" s="11" t="n"/>
      <c r="I18" s="11" t="n"/>
      <c r="J18" s="12">
        <f>IF(OR(H18="",I18=""),"",((I18/H18)-1)/G18)</f>
        <v/>
      </c>
      <c r="K18" s="10" t="n">
        <v>-0.121</v>
      </c>
      <c r="L18" s="11" t="n"/>
      <c r="M18" s="11" t="n"/>
      <c r="N18" s="12">
        <f>IF(OR(L18="",M18=""),"",((M18/L18)-1)/K18)</f>
        <v/>
      </c>
      <c r="O18" s="13" t="n"/>
      <c r="P18" s="13" t="n"/>
      <c r="Q18" s="13" t="n"/>
      <c r="R18" s="13" t="n"/>
      <c r="S18" s="10" t="n">
        <v>-0.065</v>
      </c>
      <c r="T18" s="11" t="n"/>
      <c r="U18" s="11" t="n"/>
      <c r="V18" s="12">
        <f>IF(OR(T18="",U18=""),"",((U18/T18)-1)/S18)</f>
        <v/>
      </c>
      <c r="W18" s="10" t="n">
        <v>-0.111</v>
      </c>
      <c r="X18" s="11" t="n"/>
      <c r="Y18" s="11" t="n"/>
      <c r="Z18" s="12">
        <f>IF(OR(X18="",Y18=""),"",((Y18/X18)-1)/W18)</f>
        <v/>
      </c>
      <c r="AA18" s="10" t="n">
        <v>-0.083</v>
      </c>
      <c r="AB18" s="11" t="n"/>
      <c r="AC18" s="11" t="n"/>
      <c r="AD18" s="12">
        <f>IF(OR(AB18="",AC18=""),"",((AC18/AB18)-1)/AA18)</f>
        <v/>
      </c>
    </row>
  </sheetData>
  <mergeCells count="11">
    <mergeCell ref="C3:F3"/>
    <mergeCell ref="S3:V3"/>
    <mergeCell ref="G3:J3"/>
    <mergeCell ref="W3:Z3"/>
    <mergeCell ref="K3:N3"/>
    <mergeCell ref="B3:B4"/>
    <mergeCell ref="A3:A4"/>
    <mergeCell ref="O3:R3"/>
    <mergeCell ref="AA3:AD3"/>
    <mergeCell ref="A2:AD2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30" customWidth="1" min="3" max="3"/>
    <col width="7" customWidth="1" min="4" max="4"/>
    <col width="10" customWidth="1" min="5" max="5"/>
    <col width="10" customWidth="1" min="6" max="6"/>
    <col width="10" customWidth="1" min="7" max="7"/>
    <col width="9" customWidth="1" min="8" max="8"/>
    <col width="7" customWidth="1" min="9" max="9"/>
    <col width="10" customWidth="1" min="10" max="10"/>
    <col width="10" customWidth="1" min="11" max="11"/>
    <col width="10" customWidth="1" min="12" max="12"/>
    <col width="9" customWidth="1" min="13" max="13"/>
    <col width="7" customWidth="1" min="14" max="14"/>
    <col width="10" customWidth="1" min="15" max="15"/>
    <col width="10" customWidth="1" min="16" max="16"/>
    <col width="10" customWidth="1" min="17" max="17"/>
    <col width="9" customWidth="1" min="18" max="18"/>
    <col width="7" customWidth="1" min="19" max="19"/>
    <col width="10" customWidth="1" min="20" max="20"/>
    <col width="10" customWidth="1" min="21" max="21"/>
    <col width="10" customWidth="1" min="22" max="22"/>
    <col width="9" customWidth="1" min="23" max="23"/>
    <col width="7" customWidth="1" min="24" max="24"/>
    <col width="10" customWidth="1" min="25" max="25"/>
    <col width="10" customWidth="1" min="26" max="26"/>
    <col width="10" customWidth="1" min="27" max="27"/>
    <col width="9" customWidth="1" min="28" max="28"/>
    <col width="7" customWidth="1" min="29" max="29"/>
    <col width="10" customWidth="1" min="30" max="30"/>
    <col width="10" customWidth="1" min="31" max="31"/>
    <col width="10" customWidth="1" min="32" max="32"/>
    <col width="9" customWidth="1" min="33" max="33"/>
    <col width="7" customWidth="1" min="34" max="34"/>
    <col width="10" customWidth="1" min="35" max="35"/>
    <col width="10" customWidth="1" min="36" max="36"/>
    <col width="10" customWidth="1" min="37" max="37"/>
    <col width="9" customWidth="1" min="38" max="38"/>
    <col width="7" customWidth="1" min="39" max="39"/>
    <col width="10" customWidth="1" min="40" max="40"/>
    <col width="10" customWidth="1" min="41" max="41"/>
    <col width="10" customWidth="1" min="42" max="42"/>
    <col width="9" customWidth="1" min="43" max="43"/>
  </cols>
  <sheetData>
    <row r="1">
      <c r="A1" s="14" t="inlineStr">
        <is>
          <t>BAU PRICE CHANGES — upward elasticity (non-sale price hikes)</t>
        </is>
      </c>
    </row>
    <row r="2" ht="26" customHeight="1">
      <c r="A2" s="5" t="inlineStr">
        <is>
          <t>Breadth = #SKUs that changed / % of category volume they cover. GREEN=representative at category level, AMBER=partial, RED=too narrow (track heroes instead — see Hero SKUs tab). Fill yellow ATC% only where breadth is green/amber.</t>
        </is>
      </c>
    </row>
    <row r="3" ht="28" customHeight="1">
      <c r="A3" s="15" t="inlineStr">
        <is>
          <t>Category</t>
        </is>
      </c>
      <c r="B3" s="15" t="inlineStr">
        <is>
          <t>Type</t>
        </is>
      </c>
      <c r="C3" s="15" t="inlineStr">
        <is>
          <t>Category verdict</t>
        </is>
      </c>
      <c r="D3" s="15" t="inlineStr">
        <is>
          <t>W5 repricing
(vs W2)</t>
        </is>
      </c>
      <c r="E3" s="7" t="n"/>
      <c r="F3" s="7" t="n"/>
      <c r="G3" s="7" t="n"/>
      <c r="H3" s="7" t="n"/>
      <c r="I3" s="15" t="inlineStr">
        <is>
          <t>W17 repricing
(vs W16)</t>
        </is>
      </c>
      <c r="J3" s="7" t="n"/>
      <c r="K3" s="7" t="n"/>
      <c r="L3" s="7" t="n"/>
      <c r="M3" s="7" t="n"/>
      <c r="N3" s="15" t="inlineStr">
        <is>
          <t>W32 repricing
(vs W31)</t>
        </is>
      </c>
      <c r="O3" s="7" t="n"/>
      <c r="P3" s="7" t="n"/>
      <c r="Q3" s="7" t="n"/>
      <c r="R3" s="7" t="n"/>
      <c r="S3" s="15" t="inlineStr">
        <is>
          <t>W41 repricing
(vs W40)</t>
        </is>
      </c>
      <c r="T3" s="7" t="n"/>
      <c r="U3" s="7" t="n"/>
      <c r="V3" s="7" t="n"/>
      <c r="W3" s="7" t="n"/>
      <c r="X3" s="15" t="inlineStr">
        <is>
          <t>W44 repricing
(vs W41)</t>
        </is>
      </c>
      <c r="Y3" s="7" t="n"/>
      <c r="Z3" s="7" t="n"/>
      <c r="AA3" s="7" t="n"/>
      <c r="AB3" s="7" t="n"/>
      <c r="AC3" s="15" t="inlineStr">
        <is>
          <t>W49 repricing
(vs W48)</t>
        </is>
      </c>
      <c r="AD3" s="7" t="n"/>
      <c r="AE3" s="7" t="n"/>
      <c r="AF3" s="7" t="n"/>
      <c r="AG3" s="7" t="n"/>
      <c r="AH3" s="15" t="inlineStr">
        <is>
          <t>W57 repricing
(vs W56)</t>
        </is>
      </c>
      <c r="AI3" s="7" t="n"/>
      <c r="AJ3" s="7" t="n"/>
      <c r="AK3" s="7" t="n"/>
      <c r="AL3" s="7" t="n"/>
      <c r="AM3" s="15" t="inlineStr">
        <is>
          <t>W62 repricing
(vs W61)</t>
        </is>
      </c>
      <c r="AN3" s="7" t="n"/>
      <c r="AO3" s="7" t="n"/>
      <c r="AP3" s="7" t="n"/>
      <c r="AQ3" s="7" t="n"/>
    </row>
    <row r="4" ht="28" customHeight="1">
      <c r="A4" s="7" t="n"/>
      <c r="B4" s="7" t="n"/>
      <c r="C4" s="7" t="n"/>
      <c r="D4" s="8" t="inlineStr">
        <is>
          <t>ASP %Δ</t>
        </is>
      </c>
      <c r="E4" s="8" t="inlineStr">
        <is>
          <t>#SKU / %vol</t>
        </is>
      </c>
      <c r="F4" s="8" t="inlineStr">
        <is>
          <t>ATC% pre
W2</t>
        </is>
      </c>
      <c r="G4" s="8" t="inlineStr">
        <is>
          <t>ATC% chg
W5</t>
        </is>
      </c>
      <c r="H4" s="8" t="inlineStr">
        <is>
          <t>Elasticity</t>
        </is>
      </c>
      <c r="I4" s="8" t="inlineStr">
        <is>
          <t>ASP %Δ</t>
        </is>
      </c>
      <c r="J4" s="8" t="inlineStr">
        <is>
          <t>#SKU / %vol</t>
        </is>
      </c>
      <c r="K4" s="8" t="inlineStr">
        <is>
          <t>ATC% pre
W16</t>
        </is>
      </c>
      <c r="L4" s="8" t="inlineStr">
        <is>
          <t>ATC% chg
W17</t>
        </is>
      </c>
      <c r="M4" s="8" t="inlineStr">
        <is>
          <t>Elasticity</t>
        </is>
      </c>
      <c r="N4" s="8" t="inlineStr">
        <is>
          <t>ASP %Δ</t>
        </is>
      </c>
      <c r="O4" s="8" t="inlineStr">
        <is>
          <t>#SKU / %vol</t>
        </is>
      </c>
      <c r="P4" s="8" t="inlineStr">
        <is>
          <t>ATC% pre
W31</t>
        </is>
      </c>
      <c r="Q4" s="8" t="inlineStr">
        <is>
          <t>ATC% chg
W32</t>
        </is>
      </c>
      <c r="R4" s="8" t="inlineStr">
        <is>
          <t>Elasticity</t>
        </is>
      </c>
      <c r="S4" s="8" t="inlineStr">
        <is>
          <t>ASP %Δ</t>
        </is>
      </c>
      <c r="T4" s="8" t="inlineStr">
        <is>
          <t>#SKU / %vol</t>
        </is>
      </c>
      <c r="U4" s="8" t="inlineStr">
        <is>
          <t>ATC% pre
W40</t>
        </is>
      </c>
      <c r="V4" s="8" t="inlineStr">
        <is>
          <t>ATC% chg
W41</t>
        </is>
      </c>
      <c r="W4" s="8" t="inlineStr">
        <is>
          <t>Elasticity</t>
        </is>
      </c>
      <c r="X4" s="8" t="inlineStr">
        <is>
          <t>ASP %Δ</t>
        </is>
      </c>
      <c r="Y4" s="8" t="inlineStr">
        <is>
          <t>#SKU / %vol</t>
        </is>
      </c>
      <c r="Z4" s="8" t="inlineStr">
        <is>
          <t>ATC% pre
W41</t>
        </is>
      </c>
      <c r="AA4" s="8" t="inlineStr">
        <is>
          <t>ATC% chg
W44</t>
        </is>
      </c>
      <c r="AB4" s="8" t="inlineStr">
        <is>
          <t>Elasticity</t>
        </is>
      </c>
      <c r="AC4" s="8" t="inlineStr">
        <is>
          <t>ASP %Δ</t>
        </is>
      </c>
      <c r="AD4" s="8" t="inlineStr">
        <is>
          <t>#SKU / %vol</t>
        </is>
      </c>
      <c r="AE4" s="8" t="inlineStr">
        <is>
          <t>ATC% pre
W48</t>
        </is>
      </c>
      <c r="AF4" s="8" t="inlineStr">
        <is>
          <t>ATC% chg
W49</t>
        </is>
      </c>
      <c r="AG4" s="8" t="inlineStr">
        <is>
          <t>Elasticity</t>
        </is>
      </c>
      <c r="AH4" s="8" t="inlineStr">
        <is>
          <t>ASP %Δ</t>
        </is>
      </c>
      <c r="AI4" s="8" t="inlineStr">
        <is>
          <t>#SKU / %vol</t>
        </is>
      </c>
      <c r="AJ4" s="8" t="inlineStr">
        <is>
          <t>ATC% pre
W56</t>
        </is>
      </c>
      <c r="AK4" s="8" t="inlineStr">
        <is>
          <t>ATC% chg
W57</t>
        </is>
      </c>
      <c r="AL4" s="8" t="inlineStr">
        <is>
          <t>Elasticity</t>
        </is>
      </c>
      <c r="AM4" s="8" t="inlineStr">
        <is>
          <t>ASP %Δ</t>
        </is>
      </c>
      <c r="AN4" s="8" t="inlineStr">
        <is>
          <t>#SKU / %vol</t>
        </is>
      </c>
      <c r="AO4" s="8" t="inlineStr">
        <is>
          <t>ATC% pre
W61</t>
        </is>
      </c>
      <c r="AP4" s="8" t="inlineStr">
        <is>
          <t>ATC% chg
W62</t>
        </is>
      </c>
      <c r="AQ4" s="8" t="inlineStr">
        <is>
          <t>Elasticity</t>
        </is>
      </c>
    </row>
    <row r="5">
      <c r="A5" s="9" t="inlineStr">
        <is>
          <t>Wireless Charger</t>
        </is>
      </c>
      <c r="B5" s="7" t="inlineStr">
        <is>
          <t>Tech</t>
        </is>
      </c>
      <c r="C5" s="16" t="inlineStr">
        <is>
          <t>Mixed — prefer hero SKUs</t>
        </is>
      </c>
      <c r="D5" s="17" t="n">
        <v>0.1</v>
      </c>
      <c r="E5" s="18" t="inlineStr">
        <is>
          <t>4 / 9%</t>
        </is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7" t="n">
        <v>0.276</v>
      </c>
      <c r="O5" s="18" t="inlineStr">
        <is>
          <t>2 / 10%</t>
        </is>
      </c>
      <c r="P5" s="13" t="n"/>
      <c r="Q5" s="13" t="n"/>
      <c r="R5" s="13" t="n"/>
      <c r="S5" s="19" t="n">
        <v>0.091</v>
      </c>
      <c r="T5" s="18" t="inlineStr">
        <is>
          <t>5 / 13%</t>
        </is>
      </c>
      <c r="U5" s="11" t="n"/>
      <c r="V5" s="11" t="n"/>
      <c r="W5" s="12">
        <f>IF(OR(U5="",V5=""),"",((V5/U5)-1)/S5)</f>
        <v/>
      </c>
      <c r="X5" s="19" t="n">
        <v>0.141</v>
      </c>
      <c r="Y5" s="18" t="inlineStr">
        <is>
          <t>5 / 9%</t>
        </is>
      </c>
      <c r="Z5" s="11" t="n"/>
      <c r="AA5" s="11" t="n"/>
      <c r="AB5" s="12">
        <f>IF(OR(Z5="",AA5=""),"",((AA5/Z5)-1)/X5)</f>
        <v/>
      </c>
      <c r="AC5" s="13" t="n"/>
      <c r="AD5" s="13" t="n"/>
      <c r="AE5" s="13" t="n"/>
      <c r="AF5" s="13" t="n"/>
      <c r="AG5" s="13" t="n"/>
      <c r="AH5" s="19" t="n">
        <v>0.122</v>
      </c>
      <c r="AI5" s="18" t="inlineStr">
        <is>
          <t>6 / 21%</t>
        </is>
      </c>
      <c r="AJ5" s="11" t="n"/>
      <c r="AK5" s="11" t="n"/>
      <c r="AL5" s="12">
        <f>IF(OR(AJ5="",AK5=""),"",((AK5/AJ5)-1)/AH5)</f>
        <v/>
      </c>
      <c r="AM5" s="13" t="n"/>
      <c r="AN5" s="13" t="n"/>
      <c r="AO5" s="13" t="n"/>
      <c r="AP5" s="13" t="n"/>
      <c r="AQ5" s="13" t="n"/>
    </row>
    <row r="6">
      <c r="A6" s="9" t="inlineStr">
        <is>
          <t>Designer Cases</t>
        </is>
      </c>
      <c r="B6" s="7" t="inlineStr">
        <is>
          <t>Tech</t>
        </is>
      </c>
      <c r="C6" s="16" t="inlineStr">
        <is>
          <t>Mixed — prefer hero SKUs</t>
        </is>
      </c>
      <c r="D6" s="19" t="n">
        <v>0.107</v>
      </c>
      <c r="E6" s="18" t="inlineStr">
        <is>
          <t>31 / 3%</t>
        </is>
      </c>
      <c r="F6" s="11" t="n"/>
      <c r="G6" s="11" t="n"/>
      <c r="H6" s="12">
        <f>IF(OR(F6="",G6=""),"",((G6/F6)-1)/D6)</f>
        <v/>
      </c>
      <c r="I6" s="19" t="n">
        <v>0.122</v>
      </c>
      <c r="J6" s="18" t="inlineStr">
        <is>
          <t>33 / 3%</t>
        </is>
      </c>
      <c r="K6" s="11" t="n"/>
      <c r="L6" s="11" t="n"/>
      <c r="M6" s="12">
        <f>IF(OR(K6="",L6=""),"",((L6/K6)-1)/I6)</f>
        <v/>
      </c>
      <c r="N6" s="19" t="n">
        <v>0.105</v>
      </c>
      <c r="O6" s="18" t="inlineStr">
        <is>
          <t>38 / 4%</t>
        </is>
      </c>
      <c r="P6" s="11" t="n"/>
      <c r="Q6" s="11" t="n"/>
      <c r="R6" s="12">
        <f>IF(OR(P6="",Q6=""),"",((Q6/P6)-1)/N6)</f>
        <v/>
      </c>
      <c r="S6" s="19" t="n">
        <v>0.177</v>
      </c>
      <c r="T6" s="18" t="inlineStr">
        <is>
          <t>32 / 4%</t>
        </is>
      </c>
      <c r="U6" s="11" t="n"/>
      <c r="V6" s="11" t="n"/>
      <c r="W6" s="12">
        <f>IF(OR(U6="",V6=""),"",((V6/U6)-1)/S6)</f>
        <v/>
      </c>
      <c r="X6" s="19" t="n">
        <v>0.098</v>
      </c>
      <c r="Y6" s="18" t="inlineStr">
        <is>
          <t>16 / 2%</t>
        </is>
      </c>
      <c r="Z6" s="11" t="n"/>
      <c r="AA6" s="11" t="n"/>
      <c r="AB6" s="12">
        <f>IF(OR(Z6="",AA6=""),"",((AA6/Z6)-1)/X6)</f>
        <v/>
      </c>
      <c r="AC6" s="19" t="n">
        <v>0.168</v>
      </c>
      <c r="AD6" s="18" t="inlineStr">
        <is>
          <t>9 / 0%</t>
        </is>
      </c>
      <c r="AE6" s="11" t="n"/>
      <c r="AF6" s="11" t="n"/>
      <c r="AG6" s="12">
        <f>IF(OR(AE6="",AF6=""),"",((AF6/AE6)-1)/AC6)</f>
        <v/>
      </c>
      <c r="AH6" s="19" t="n">
        <v>0.133</v>
      </c>
      <c r="AI6" s="18" t="inlineStr">
        <is>
          <t>69 / 17%</t>
        </is>
      </c>
      <c r="AJ6" s="11" t="n"/>
      <c r="AK6" s="11" t="n"/>
      <c r="AL6" s="12">
        <f>IF(OR(AJ6="",AK6=""),"",((AK6/AJ6)-1)/AH6)</f>
        <v/>
      </c>
      <c r="AM6" s="19" t="n">
        <v>0.156</v>
      </c>
      <c r="AN6" s="18" t="inlineStr">
        <is>
          <t>110 / 21%</t>
        </is>
      </c>
      <c r="AO6" s="11" t="n"/>
      <c r="AP6" s="11" t="n"/>
      <c r="AQ6" s="12">
        <f>IF(OR(AO6="",AP6=""),"",((AP6/AO6)-1)/AM6)</f>
        <v/>
      </c>
    </row>
    <row r="7">
      <c r="A7" s="9" t="inlineStr">
        <is>
          <t>Screen Guards</t>
        </is>
      </c>
      <c r="B7" s="7" t="inlineStr">
        <is>
          <t>Tech</t>
        </is>
      </c>
      <c r="C7" s="20" t="inlineStr">
        <is>
          <t>Category-level OK (use green waves)</t>
        </is>
      </c>
      <c r="D7" s="17" t="n">
        <v>0.103</v>
      </c>
      <c r="E7" s="18" t="inlineStr">
        <is>
          <t>1 / 1%</t>
        </is>
      </c>
      <c r="F7" s="13" t="n"/>
      <c r="G7" s="13" t="n"/>
      <c r="H7" s="13" t="n"/>
      <c r="I7" s="17" t="n">
        <v>0.112</v>
      </c>
      <c r="J7" s="18" t="inlineStr">
        <is>
          <t>3 / 2%</t>
        </is>
      </c>
      <c r="K7" s="13" t="n"/>
      <c r="L7" s="13" t="n"/>
      <c r="M7" s="13" t="n"/>
      <c r="N7" s="17" t="n">
        <v>0.08500000000000001</v>
      </c>
      <c r="O7" s="18" t="inlineStr">
        <is>
          <t>1 / 1%</t>
        </is>
      </c>
      <c r="P7" s="13" t="n"/>
      <c r="Q7" s="13" t="n"/>
      <c r="R7" s="13" t="n"/>
      <c r="S7" s="21" t="n">
        <v>0.225</v>
      </c>
      <c r="T7" s="18" t="inlineStr">
        <is>
          <t>14 / 45%</t>
        </is>
      </c>
      <c r="U7" s="11" t="n"/>
      <c r="V7" s="11" t="n"/>
      <c r="W7" s="12">
        <f>IF(OR(U7="",V7=""),"",((V7/U7)-1)/S7)</f>
        <v/>
      </c>
      <c r="X7" s="19" t="n">
        <v>0.307</v>
      </c>
      <c r="Y7" s="18" t="inlineStr">
        <is>
          <t>7 / 8%</t>
        </is>
      </c>
      <c r="Z7" s="11" t="n"/>
      <c r="AA7" s="11" t="n"/>
      <c r="AB7" s="12">
        <f>IF(OR(Z7="",AA7=""),"",((AA7/Z7)-1)/X7)</f>
        <v/>
      </c>
      <c r="AC7" s="17" t="n">
        <v>0.12</v>
      </c>
      <c r="AD7" s="18" t="inlineStr">
        <is>
          <t>2 / 2%</t>
        </is>
      </c>
      <c r="AE7" s="13" t="n"/>
      <c r="AF7" s="13" t="n"/>
      <c r="AG7" s="13" t="n"/>
      <c r="AH7" s="17" t="n">
        <v>0.102</v>
      </c>
      <c r="AI7" s="18" t="inlineStr">
        <is>
          <t>4 / 2%</t>
        </is>
      </c>
      <c r="AJ7" s="13" t="n"/>
      <c r="AK7" s="13" t="n"/>
      <c r="AL7" s="13" t="n"/>
      <c r="AM7" s="17" t="n">
        <v>0.08500000000000001</v>
      </c>
      <c r="AN7" s="18" t="inlineStr">
        <is>
          <t>1 / 0%</t>
        </is>
      </c>
      <c r="AO7" s="13" t="n"/>
      <c r="AP7" s="13" t="n"/>
      <c r="AQ7" s="13" t="n"/>
    </row>
    <row r="8">
      <c r="A8" s="9" t="inlineStr">
        <is>
          <t>Airpods Case Cover</t>
        </is>
      </c>
      <c r="B8" s="7" t="inlineStr">
        <is>
          <t>Tech</t>
        </is>
      </c>
      <c r="C8" s="20" t="inlineStr">
        <is>
          <t>Category-level OK (use green waves)</t>
        </is>
      </c>
      <c r="D8" s="17" t="n">
        <v>0.156</v>
      </c>
      <c r="E8" s="18" t="inlineStr">
        <is>
          <t>4 / 8%</t>
        </is>
      </c>
      <c r="F8" s="13" t="n"/>
      <c r="G8" s="13" t="n"/>
      <c r="H8" s="13" t="n"/>
      <c r="I8" s="17" t="n">
        <v>0.227</v>
      </c>
      <c r="J8" s="18" t="inlineStr">
        <is>
          <t>2 / 1%</t>
        </is>
      </c>
      <c r="K8" s="13" t="n"/>
      <c r="L8" s="13" t="n"/>
      <c r="M8" s="13" t="n"/>
      <c r="N8" s="13" t="n"/>
      <c r="O8" s="13" t="n"/>
      <c r="P8" s="13" t="n"/>
      <c r="Q8" s="13" t="n"/>
      <c r="R8" s="13" t="n"/>
      <c r="S8" s="17" t="n">
        <v>0.1</v>
      </c>
      <c r="T8" s="18" t="inlineStr">
        <is>
          <t>2 / 5%</t>
        </is>
      </c>
      <c r="U8" s="13" t="n"/>
      <c r="V8" s="13" t="n"/>
      <c r="W8" s="13" t="n"/>
      <c r="X8" s="19" t="n">
        <v>0.119</v>
      </c>
      <c r="Y8" s="18" t="inlineStr">
        <is>
          <t>5 / 20%</t>
        </is>
      </c>
      <c r="Z8" s="11" t="n"/>
      <c r="AA8" s="11" t="n"/>
      <c r="AB8" s="12">
        <f>IF(OR(Z8="",AA8=""),"",((AA8/Z8)-1)/X8)</f>
        <v/>
      </c>
      <c r="AC8" s="17" t="n">
        <v>0.08799999999999999</v>
      </c>
      <c r="AD8" s="18" t="inlineStr">
        <is>
          <t>1 / 0%</t>
        </is>
      </c>
      <c r="AE8" s="13" t="n"/>
      <c r="AF8" s="13" t="n"/>
      <c r="AG8" s="13" t="n"/>
      <c r="AH8" s="21" t="n">
        <v>0.19</v>
      </c>
      <c r="AI8" s="18" t="inlineStr">
        <is>
          <t>10 / 26%</t>
        </is>
      </c>
      <c r="AJ8" s="11" t="n"/>
      <c r="AK8" s="11" t="n"/>
      <c r="AL8" s="12">
        <f>IF(OR(AJ8="",AK8=""),"",((AK8/AJ8)-1)/AH8)</f>
        <v/>
      </c>
      <c r="AM8" s="17" t="n">
        <v>0.113</v>
      </c>
      <c r="AN8" s="18" t="inlineStr">
        <is>
          <t>1 / 2%</t>
        </is>
      </c>
      <c r="AO8" s="13" t="n"/>
      <c r="AP8" s="13" t="n"/>
      <c r="AQ8" s="13" t="n"/>
    </row>
    <row r="9">
      <c r="A9" s="9" t="inlineStr">
        <is>
          <t>Stands</t>
        </is>
      </c>
      <c r="B9" s="7" t="inlineStr">
        <is>
          <t>Tech</t>
        </is>
      </c>
      <c r="C9" s="16" t="inlineStr">
        <is>
          <t>TRACK HERO SKUs ONLY (too fragmented)</t>
        </is>
      </c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7" t="n">
        <v>0.128</v>
      </c>
      <c r="Y9" s="18" t="inlineStr">
        <is>
          <t>1 / 4%</t>
        </is>
      </c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</row>
    <row r="10">
      <c r="A10" s="9" t="inlineStr">
        <is>
          <t>Watch Straps</t>
        </is>
      </c>
      <c r="B10" s="7" t="inlineStr">
        <is>
          <t>Non-Tech</t>
        </is>
      </c>
      <c r="C10" s="20" t="inlineStr">
        <is>
          <t>Category-level OK (use green waves)</t>
        </is>
      </c>
      <c r="D10" s="19" t="n">
        <v>0.13</v>
      </c>
      <c r="E10" s="18" t="inlineStr">
        <is>
          <t>10 / 1%</t>
        </is>
      </c>
      <c r="F10" s="11" t="n"/>
      <c r="G10" s="11" t="n"/>
      <c r="H10" s="12">
        <f>IF(OR(F10="",G10=""),"",((G10/F10)-1)/D10)</f>
        <v/>
      </c>
      <c r="I10" s="19" t="n">
        <v>0.123</v>
      </c>
      <c r="J10" s="18" t="inlineStr">
        <is>
          <t>42 / 6%</t>
        </is>
      </c>
      <c r="K10" s="11" t="n"/>
      <c r="L10" s="11" t="n"/>
      <c r="M10" s="12">
        <f>IF(OR(K10="",L10=""),"",((L10/K10)-1)/I10)</f>
        <v/>
      </c>
      <c r="N10" s="19" t="n">
        <v>0.101</v>
      </c>
      <c r="O10" s="18" t="inlineStr">
        <is>
          <t>25 / 9%</t>
        </is>
      </c>
      <c r="P10" s="11" t="n"/>
      <c r="Q10" s="11" t="n"/>
      <c r="R10" s="12">
        <f>IF(OR(P10="",Q10=""),"",((Q10/P10)-1)/N10)</f>
        <v/>
      </c>
      <c r="S10" s="17" t="n">
        <v>0.12</v>
      </c>
      <c r="T10" s="18" t="inlineStr">
        <is>
          <t>3 / 0%</t>
        </is>
      </c>
      <c r="U10" s="13" t="n"/>
      <c r="V10" s="13" t="n"/>
      <c r="W10" s="13" t="n"/>
      <c r="X10" s="19" t="n">
        <v>0.338</v>
      </c>
      <c r="Y10" s="18" t="inlineStr">
        <is>
          <t>9 / 4%</t>
        </is>
      </c>
      <c r="Z10" s="11" t="n"/>
      <c r="AA10" s="11" t="n"/>
      <c r="AB10" s="12">
        <f>IF(OR(Z10="",AA10=""),"",((AA10/Z10)-1)/X10)</f>
        <v/>
      </c>
      <c r="AC10" s="21" t="n">
        <v>0.36</v>
      </c>
      <c r="AD10" s="18" t="inlineStr">
        <is>
          <t>18 / 33%</t>
        </is>
      </c>
      <c r="AE10" s="11" t="n"/>
      <c r="AF10" s="11" t="n"/>
      <c r="AG10" s="12">
        <f>IF(OR(AE10="",AF10=""),"",((AF10/AE10)-1)/AC10)</f>
        <v/>
      </c>
      <c r="AH10" s="19" t="n">
        <v>0.216</v>
      </c>
      <c r="AI10" s="18" t="inlineStr">
        <is>
          <t>8 / 20%</t>
        </is>
      </c>
      <c r="AJ10" s="11" t="n"/>
      <c r="AK10" s="11" t="n"/>
      <c r="AL10" s="12">
        <f>IF(OR(AJ10="",AK10=""),"",((AK10/AJ10)-1)/AH10)</f>
        <v/>
      </c>
      <c r="AM10" s="17" t="n">
        <v>0.107</v>
      </c>
      <c r="AN10" s="18" t="inlineStr">
        <is>
          <t>3 / 1%</t>
        </is>
      </c>
      <c r="AO10" s="13" t="n"/>
      <c r="AP10" s="13" t="n"/>
      <c r="AQ10" s="13" t="n"/>
    </row>
    <row r="11">
      <c r="A11" s="9" t="inlineStr">
        <is>
          <t>Backpacks</t>
        </is>
      </c>
      <c r="B11" s="7" t="inlineStr">
        <is>
          <t>Non-Tech</t>
        </is>
      </c>
      <c r="C11" s="16" t="inlineStr">
        <is>
          <t>TRACK HERO SKUs ONLY (too fragmented)</t>
        </is>
      </c>
      <c r="D11" s="17" t="n">
        <v>0.124</v>
      </c>
      <c r="E11" s="18" t="inlineStr">
        <is>
          <t>4 / 4%</t>
        </is>
      </c>
      <c r="F11" s="13" t="n"/>
      <c r="G11" s="13" t="n"/>
      <c r="H11" s="13" t="n"/>
      <c r="I11" s="17" t="n">
        <v>0.093</v>
      </c>
      <c r="J11" s="18" t="inlineStr">
        <is>
          <t>3 / 5%</t>
        </is>
      </c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7" t="n">
        <v>0.161</v>
      </c>
      <c r="AD11" s="18" t="inlineStr">
        <is>
          <t>2 / 1%</t>
        </is>
      </c>
      <c r="AE11" s="13" t="n"/>
      <c r="AF11" s="13" t="n"/>
      <c r="AG11" s="13" t="n"/>
      <c r="AH11" s="17" t="n">
        <v>0.127</v>
      </c>
      <c r="AI11" s="18" t="inlineStr">
        <is>
          <t>3 / 2%</t>
        </is>
      </c>
      <c r="AJ11" s="13" t="n"/>
      <c r="AK11" s="13" t="n"/>
      <c r="AL11" s="13" t="n"/>
      <c r="AM11" s="17" t="n">
        <v>0.1</v>
      </c>
      <c r="AN11" s="18" t="inlineStr">
        <is>
          <t>1 / 0%</t>
        </is>
      </c>
      <c r="AO11" s="13" t="n"/>
      <c r="AP11" s="13" t="n"/>
      <c r="AQ11" s="13" t="n"/>
    </row>
    <row r="12">
      <c r="A12" s="9" t="inlineStr">
        <is>
          <t>Laptop Bags and Sleeves</t>
        </is>
      </c>
      <c r="B12" s="7" t="inlineStr">
        <is>
          <t>Non-Tech</t>
        </is>
      </c>
      <c r="C12" s="20" t="inlineStr">
        <is>
          <t>Category-level OK (use green waves)</t>
        </is>
      </c>
      <c r="D12" s="19" t="n">
        <v>0.128</v>
      </c>
      <c r="E12" s="18" t="inlineStr">
        <is>
          <t>9 / 16%</t>
        </is>
      </c>
      <c r="F12" s="11" t="n"/>
      <c r="G12" s="11" t="n"/>
      <c r="H12" s="12">
        <f>IF(OR(F12="",G12=""),"",((G12/F12)-1)/D12)</f>
        <v/>
      </c>
      <c r="I12" s="19" t="n">
        <v>0.144</v>
      </c>
      <c r="J12" s="18" t="inlineStr">
        <is>
          <t>9 / 3%</t>
        </is>
      </c>
      <c r="K12" s="11" t="n"/>
      <c r="L12" s="11" t="n"/>
      <c r="M12" s="12">
        <f>IF(OR(K12="",L12=""),"",((L12/K12)-1)/I12)</f>
        <v/>
      </c>
      <c r="N12" s="17" t="n">
        <v>0.25</v>
      </c>
      <c r="O12" s="18" t="inlineStr">
        <is>
          <t>1 / 0%</t>
        </is>
      </c>
      <c r="P12" s="13" t="n"/>
      <c r="Q12" s="13" t="n"/>
      <c r="R12" s="13" t="n"/>
      <c r="S12" s="21" t="n">
        <v>0.143</v>
      </c>
      <c r="T12" s="18" t="inlineStr">
        <is>
          <t>19 / 40%</t>
        </is>
      </c>
      <c r="U12" s="11" t="n"/>
      <c r="V12" s="11" t="n"/>
      <c r="W12" s="12">
        <f>IF(OR(U12="",V12=""),"",((V12/U12)-1)/S12)</f>
        <v/>
      </c>
      <c r="X12" s="19" t="n">
        <v>0.119</v>
      </c>
      <c r="Y12" s="18" t="inlineStr">
        <is>
          <t>9 / 14%</t>
        </is>
      </c>
      <c r="Z12" s="11" t="n"/>
      <c r="AA12" s="11" t="n"/>
      <c r="AB12" s="12">
        <f>IF(OR(Z12="",AA12=""),"",((AA12/Z12)-1)/X12)</f>
        <v/>
      </c>
      <c r="AC12" s="19" t="n">
        <v>0.122</v>
      </c>
      <c r="AD12" s="18" t="inlineStr">
        <is>
          <t>9 / 7%</t>
        </is>
      </c>
      <c r="AE12" s="11" t="n"/>
      <c r="AF12" s="11" t="n"/>
      <c r="AG12" s="12">
        <f>IF(OR(AE12="",AF12=""),"",((AF12/AE12)-1)/AC12)</f>
        <v/>
      </c>
      <c r="AH12" s="19" t="n">
        <v>0.129</v>
      </c>
      <c r="AI12" s="18" t="inlineStr">
        <is>
          <t>11 / 6%</t>
        </is>
      </c>
      <c r="AJ12" s="11" t="n"/>
      <c r="AK12" s="11" t="n"/>
      <c r="AL12" s="12">
        <f>IF(OR(AJ12="",AK12=""),"",((AK12/AJ12)-1)/AH12)</f>
        <v/>
      </c>
      <c r="AM12" s="19" t="n">
        <v>0.126</v>
      </c>
      <c r="AN12" s="18" t="inlineStr">
        <is>
          <t>5 / 1%</t>
        </is>
      </c>
      <c r="AO12" s="11" t="n"/>
      <c r="AP12" s="11" t="n"/>
      <c r="AQ12" s="12">
        <f>IF(OR(AO12="",AP12=""),"",((AP12/AO12)-1)/AM12)</f>
        <v/>
      </c>
    </row>
    <row r="13">
      <c r="A13" s="9" t="inlineStr">
        <is>
          <t>Crossbody Bags</t>
        </is>
      </c>
      <c r="B13" s="7" t="inlineStr">
        <is>
          <t>Non-Tech</t>
        </is>
      </c>
      <c r="C13" s="16" t="inlineStr">
        <is>
          <t>Mixed — prefer hero SKUs</t>
        </is>
      </c>
      <c r="D13" s="19" t="n">
        <v>0.101</v>
      </c>
      <c r="E13" s="18" t="inlineStr">
        <is>
          <t>6 / 26%</t>
        </is>
      </c>
      <c r="F13" s="11" t="n"/>
      <c r="G13" s="11" t="n"/>
      <c r="H13" s="12">
        <f>IF(OR(F13="",G13=""),"",((G13/F13)-1)/D13)</f>
        <v/>
      </c>
      <c r="I13" s="17" t="n">
        <v>0.126</v>
      </c>
      <c r="J13" s="18" t="inlineStr">
        <is>
          <t>1 / 0%</t>
        </is>
      </c>
      <c r="K13" s="13" t="n"/>
      <c r="L13" s="13" t="n"/>
      <c r="M13" s="13" t="n"/>
      <c r="N13" s="17" t="n">
        <v>0.082</v>
      </c>
      <c r="O13" s="18" t="inlineStr">
        <is>
          <t>1 / 1%</t>
        </is>
      </c>
      <c r="P13" s="13" t="n"/>
      <c r="Q13" s="13" t="n"/>
      <c r="R13" s="13" t="n"/>
      <c r="S13" s="17" t="n">
        <v>0.266</v>
      </c>
      <c r="T13" s="18" t="inlineStr">
        <is>
          <t>1 / 0%</t>
        </is>
      </c>
      <c r="U13" s="13" t="n"/>
      <c r="V13" s="13" t="n"/>
      <c r="W13" s="13" t="n"/>
      <c r="X13" s="17" t="n">
        <v>0.109</v>
      </c>
      <c r="Y13" s="18" t="inlineStr">
        <is>
          <t>4 / 5%</t>
        </is>
      </c>
      <c r="Z13" s="13" t="n"/>
      <c r="AA13" s="13" t="n"/>
      <c r="AB13" s="13" t="n"/>
      <c r="AC13" s="17" t="n">
        <v>0.112</v>
      </c>
      <c r="AD13" s="18" t="inlineStr">
        <is>
          <t>4 / 2%</t>
        </is>
      </c>
      <c r="AE13" s="13" t="n"/>
      <c r="AF13" s="13" t="n"/>
      <c r="AG13" s="13" t="n"/>
      <c r="AH13" s="19" t="n">
        <v>0.095</v>
      </c>
      <c r="AI13" s="18" t="inlineStr">
        <is>
          <t>6 / 7%</t>
        </is>
      </c>
      <c r="AJ13" s="11" t="n"/>
      <c r="AK13" s="11" t="n"/>
      <c r="AL13" s="12">
        <f>IF(OR(AJ13="",AK13=""),"",((AK13/AJ13)-1)/AH13)</f>
        <v/>
      </c>
      <c r="AM13" s="17" t="n">
        <v>0.101</v>
      </c>
      <c r="AN13" s="18" t="inlineStr">
        <is>
          <t>2 / 1%</t>
        </is>
      </c>
      <c r="AO13" s="13" t="n"/>
      <c r="AP13" s="13" t="n"/>
      <c r="AQ13" s="13" t="n"/>
    </row>
    <row r="14">
      <c r="A14" s="9" t="inlineStr">
        <is>
          <t>Tote Bags</t>
        </is>
      </c>
      <c r="B14" s="7" t="inlineStr">
        <is>
          <t>Non-Tech</t>
        </is>
      </c>
      <c r="C14" s="16" t="inlineStr">
        <is>
          <t>TRACK HERO SKUs ONLY (too fragmented)</t>
        </is>
      </c>
      <c r="D14" s="17" t="n">
        <v>0.117</v>
      </c>
      <c r="E14" s="18" t="inlineStr">
        <is>
          <t>3 / 7%</t>
        </is>
      </c>
      <c r="F14" s="13" t="n"/>
      <c r="G14" s="13" t="n"/>
      <c r="H14" s="13" t="n"/>
      <c r="I14" s="17" t="n">
        <v>0.104</v>
      </c>
      <c r="J14" s="18" t="inlineStr">
        <is>
          <t>1 / 0%</t>
        </is>
      </c>
      <c r="K14" s="13" t="n"/>
      <c r="L14" s="13" t="n"/>
      <c r="M14" s="13" t="n"/>
      <c r="N14" s="13" t="n"/>
      <c r="O14" s="13" t="n"/>
      <c r="P14" s="13" t="n"/>
      <c r="Q14" s="13" t="n"/>
      <c r="R14" s="13" t="n"/>
      <c r="S14" s="17" t="n">
        <v>0.145</v>
      </c>
      <c r="T14" s="18" t="inlineStr">
        <is>
          <t>2 / 7%</t>
        </is>
      </c>
      <c r="U14" s="13" t="n"/>
      <c r="V14" s="13" t="n"/>
      <c r="W14" s="13" t="n"/>
      <c r="X14" s="19" t="n">
        <v>0.102</v>
      </c>
      <c r="Y14" s="18" t="inlineStr">
        <is>
          <t>7 / 12%</t>
        </is>
      </c>
      <c r="Z14" s="11" t="n"/>
      <c r="AA14" s="11" t="n"/>
      <c r="AB14" s="12">
        <f>IF(OR(Z14="",AA14=""),"",((AA14/Z14)-1)/X14)</f>
        <v/>
      </c>
      <c r="AC14" s="17" t="n">
        <v>0.132</v>
      </c>
      <c r="AD14" s="18" t="inlineStr">
        <is>
          <t>3 / 1%</t>
        </is>
      </c>
      <c r="AE14" s="13" t="n"/>
      <c r="AF14" s="13" t="n"/>
      <c r="AG14" s="13" t="n"/>
      <c r="AH14" s="19" t="n">
        <v>0.128</v>
      </c>
      <c r="AI14" s="18" t="inlineStr">
        <is>
          <t>10 / 11%</t>
        </is>
      </c>
      <c r="AJ14" s="11" t="n"/>
      <c r="AK14" s="11" t="n"/>
      <c r="AL14" s="12">
        <f>IF(OR(AJ14="",AK14=""),"",((AK14/AJ14)-1)/AH14)</f>
        <v/>
      </c>
      <c r="AM14" s="17" t="n">
        <v>0.114</v>
      </c>
      <c r="AN14" s="18" t="inlineStr">
        <is>
          <t>3 / 3%</t>
        </is>
      </c>
      <c r="AO14" s="13" t="n"/>
      <c r="AP14" s="13" t="n"/>
      <c r="AQ14" s="13" t="n"/>
    </row>
    <row r="15">
      <c r="A15" s="9" t="inlineStr">
        <is>
          <t>Desks</t>
        </is>
      </c>
      <c r="B15" s="7" t="inlineStr">
        <is>
          <t>Non-Tech</t>
        </is>
      </c>
      <c r="C15" s="16" t="inlineStr">
        <is>
          <t>Mixed — prefer hero SKUs</t>
        </is>
      </c>
      <c r="D15" s="19" t="n">
        <v>0.126</v>
      </c>
      <c r="E15" s="18" t="inlineStr">
        <is>
          <t>6 / 30%</t>
        </is>
      </c>
      <c r="F15" s="11" t="n"/>
      <c r="G15" s="11" t="n"/>
      <c r="H15" s="12">
        <f>IF(OR(F15="",G15=""),"",((G15/F15)-1)/D15)</f>
        <v/>
      </c>
      <c r="I15" s="17" t="n">
        <v>0.113</v>
      </c>
      <c r="J15" s="18" t="inlineStr">
        <is>
          <t>3 / 3%</t>
        </is>
      </c>
      <c r="K15" s="13" t="n"/>
      <c r="L15" s="13" t="n"/>
      <c r="M15" s="13" t="n"/>
      <c r="N15" s="17" t="n">
        <v>0.08400000000000001</v>
      </c>
      <c r="O15" s="18" t="inlineStr">
        <is>
          <t>1 / 0%</t>
        </is>
      </c>
      <c r="P15" s="13" t="n"/>
      <c r="Q15" s="13" t="n"/>
      <c r="R15" s="13" t="n"/>
      <c r="S15" s="17" t="n">
        <v>0.114</v>
      </c>
      <c r="T15" s="18" t="inlineStr">
        <is>
          <t>2 / 2%</t>
        </is>
      </c>
      <c r="U15" s="13" t="n"/>
      <c r="V15" s="13" t="n"/>
      <c r="W15" s="13" t="n"/>
      <c r="X15" s="19" t="n">
        <v>0.145</v>
      </c>
      <c r="Y15" s="18" t="inlineStr">
        <is>
          <t>5 / 20%</t>
        </is>
      </c>
      <c r="Z15" s="11" t="n"/>
      <c r="AA15" s="11" t="n"/>
      <c r="AB15" s="12">
        <f>IF(OR(Z15="",AA15=""),"",((AA15/Z15)-1)/X15)</f>
        <v/>
      </c>
      <c r="AC15" s="13" t="n"/>
      <c r="AD15" s="13" t="n"/>
      <c r="AE15" s="13" t="n"/>
      <c r="AF15" s="13" t="n"/>
      <c r="AG15" s="13" t="n"/>
      <c r="AH15" s="19" t="n">
        <v>0.08400000000000001</v>
      </c>
      <c r="AI15" s="18" t="inlineStr">
        <is>
          <t>2 / 20%</t>
        </is>
      </c>
      <c r="AJ15" s="11" t="n"/>
      <c r="AK15" s="11" t="n"/>
      <c r="AL15" s="12">
        <f>IF(OR(AJ15="",AK15=""),"",((AK15/AJ15)-1)/AH15)</f>
        <v/>
      </c>
      <c r="AM15" s="13" t="n"/>
      <c r="AN15" s="13" t="n"/>
      <c r="AO15" s="13" t="n"/>
      <c r="AP15" s="13" t="n"/>
      <c r="AQ15" s="13" t="n"/>
    </row>
    <row r="16">
      <c r="A16" s="9" t="inlineStr">
        <is>
          <t>Organisers</t>
        </is>
      </c>
      <c r="B16" s="7" t="inlineStr">
        <is>
          <t>Non-Tech</t>
        </is>
      </c>
      <c r="C16" s="16" t="inlineStr">
        <is>
          <t>TRACK HERO SKUs ONLY (too fragmented)</t>
        </is>
      </c>
      <c r="D16" s="17" t="n">
        <v>0.12</v>
      </c>
      <c r="E16" s="18" t="inlineStr">
        <is>
          <t>4 / 3%</t>
        </is>
      </c>
      <c r="F16" s="13" t="n"/>
      <c r="G16" s="13" t="n"/>
      <c r="H16" s="13" t="n"/>
      <c r="I16" s="17" t="n">
        <v>0.145</v>
      </c>
      <c r="J16" s="18" t="inlineStr">
        <is>
          <t>4 / 2%</t>
        </is>
      </c>
      <c r="K16" s="13" t="n"/>
      <c r="L16" s="13" t="n"/>
      <c r="M16" s="13" t="n"/>
      <c r="N16" s="17" t="n">
        <v>0.112</v>
      </c>
      <c r="O16" s="18" t="inlineStr">
        <is>
          <t>2 / 1%</t>
        </is>
      </c>
      <c r="P16" s="13" t="n"/>
      <c r="Q16" s="13" t="n"/>
      <c r="R16" s="13" t="n"/>
      <c r="S16" s="17" t="n">
        <v>0.118</v>
      </c>
      <c r="T16" s="18" t="inlineStr">
        <is>
          <t>3 / 2%</t>
        </is>
      </c>
      <c r="U16" s="13" t="n"/>
      <c r="V16" s="13" t="n"/>
      <c r="W16" s="13" t="n"/>
      <c r="X16" s="19" t="n">
        <v>0.11</v>
      </c>
      <c r="Y16" s="18" t="inlineStr">
        <is>
          <t>7 / 7%</t>
        </is>
      </c>
      <c r="Z16" s="11" t="n"/>
      <c r="AA16" s="11" t="n"/>
      <c r="AB16" s="12">
        <f>IF(OR(Z16="",AA16=""),"",((AA16/Z16)-1)/X16)</f>
        <v/>
      </c>
      <c r="AC16" s="19" t="n">
        <v>0.108</v>
      </c>
      <c r="AD16" s="18" t="inlineStr">
        <is>
          <t>5 / 2%</t>
        </is>
      </c>
      <c r="AE16" s="11" t="n"/>
      <c r="AF16" s="11" t="n"/>
      <c r="AG16" s="12">
        <f>IF(OR(AE16="",AF16=""),"",((AF16/AE16)-1)/AC16)</f>
        <v/>
      </c>
      <c r="AH16" s="19" t="n">
        <v>0.119</v>
      </c>
      <c r="AI16" s="18" t="inlineStr">
        <is>
          <t>12 / 14%</t>
        </is>
      </c>
      <c r="AJ16" s="11" t="n"/>
      <c r="AK16" s="11" t="n"/>
      <c r="AL16" s="12">
        <f>IF(OR(AJ16="",AK16=""),"",((AK16/AJ16)-1)/AH16)</f>
        <v/>
      </c>
      <c r="AM16" s="17" t="n">
        <v>0.093</v>
      </c>
      <c r="AN16" s="18" t="inlineStr">
        <is>
          <t>2 / 1%</t>
        </is>
      </c>
      <c r="AO16" s="13" t="n"/>
      <c r="AP16" s="13" t="n"/>
      <c r="AQ16" s="13" t="n"/>
    </row>
    <row r="17">
      <c r="A17" s="9" t="inlineStr">
        <is>
          <t>Phone Wallets</t>
        </is>
      </c>
      <c r="B17" s="7" t="inlineStr">
        <is>
          <t>Non-Tech</t>
        </is>
      </c>
      <c r="C17" s="16" t="inlineStr">
        <is>
          <t>TRACK HERO SKUs ONLY (too fragmented)</t>
        </is>
      </c>
      <c r="D17" s="17" t="n">
        <v>0.212</v>
      </c>
      <c r="E17" s="18" t="inlineStr">
        <is>
          <t>1 / 1%</t>
        </is>
      </c>
      <c r="F17" s="13" t="n"/>
      <c r="G17" s="13" t="n"/>
      <c r="H17" s="13" t="n"/>
      <c r="I17" s="17" t="n">
        <v>0.11</v>
      </c>
      <c r="J17" s="18" t="inlineStr">
        <is>
          <t>3 / 5%</t>
        </is>
      </c>
      <c r="K17" s="13" t="n"/>
      <c r="L17" s="13" t="n"/>
      <c r="M17" s="13" t="n"/>
      <c r="N17" s="17" t="n">
        <v>0.111</v>
      </c>
      <c r="O17" s="18" t="inlineStr">
        <is>
          <t>1 / 1%</t>
        </is>
      </c>
      <c r="P17" s="13" t="n"/>
      <c r="Q17" s="13" t="n"/>
      <c r="R17" s="13" t="n"/>
      <c r="S17" s="13" t="n"/>
      <c r="T17" s="13" t="n"/>
      <c r="U17" s="13" t="n"/>
      <c r="V17" s="13" t="n"/>
      <c r="W17" s="13" t="n"/>
      <c r="X17" s="17" t="n">
        <v>0.168</v>
      </c>
      <c r="Y17" s="18" t="inlineStr">
        <is>
          <t>3 / 13%</t>
        </is>
      </c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7" t="n">
        <v>0.414</v>
      </c>
      <c r="AI17" s="18" t="inlineStr">
        <is>
          <t>4 / 2%</t>
        </is>
      </c>
      <c r="AJ17" s="13" t="n"/>
      <c r="AK17" s="13" t="n"/>
      <c r="AL17" s="13" t="n"/>
      <c r="AM17" s="17" t="n">
        <v>0.122</v>
      </c>
      <c r="AN17" s="18" t="inlineStr">
        <is>
          <t>1 / 2%</t>
        </is>
      </c>
      <c r="AO17" s="13" t="n"/>
      <c r="AP17" s="13" t="n"/>
      <c r="AQ17" s="13" t="n"/>
    </row>
    <row r="18">
      <c r="A18" s="9" t="inlineStr">
        <is>
          <t>Messenger Bags</t>
        </is>
      </c>
      <c r="B18" s="7" t="inlineStr">
        <is>
          <t>Non-Tech</t>
        </is>
      </c>
      <c r="C18" s="20" t="inlineStr">
        <is>
          <t>Category-level OK (use green waves)</t>
        </is>
      </c>
      <c r="D18" s="19" t="n">
        <v>0.101</v>
      </c>
      <c r="E18" s="18" t="inlineStr">
        <is>
          <t>6 / 14%</t>
        </is>
      </c>
      <c r="F18" s="11" t="n"/>
      <c r="G18" s="11" t="n"/>
      <c r="H18" s="12">
        <f>IF(OR(F18="",G18=""),"",((G18/F18)-1)/D18)</f>
        <v/>
      </c>
      <c r="I18" s="13" t="n"/>
      <c r="J18" s="13" t="n"/>
      <c r="K18" s="13" t="n"/>
      <c r="L18" s="13" t="n"/>
      <c r="M18" s="13" t="n"/>
      <c r="N18" s="17" t="n">
        <v>0.107</v>
      </c>
      <c r="O18" s="18" t="inlineStr">
        <is>
          <t>1 / 2%</t>
        </is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7" t="n">
        <v>0.08799999999999999</v>
      </c>
      <c r="Y18" s="18" t="inlineStr">
        <is>
          <t>1 / 7%</t>
        </is>
      </c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21" t="n">
        <v>0.101</v>
      </c>
      <c r="AI18" s="18" t="inlineStr">
        <is>
          <t>11 / 27%</t>
        </is>
      </c>
      <c r="AJ18" s="11" t="n"/>
      <c r="AK18" s="11" t="n"/>
      <c r="AL18" s="12">
        <f>IF(OR(AJ18="",AK18=""),"",((AK18/AJ18)-1)/AH18)</f>
        <v/>
      </c>
      <c r="AM18" s="17" t="n">
        <v>0.117</v>
      </c>
      <c r="AN18" s="18" t="inlineStr">
        <is>
          <t>2 / 3%</t>
        </is>
      </c>
      <c r="AO18" s="13" t="n"/>
      <c r="AP18" s="13" t="n"/>
      <c r="AQ18" s="13" t="n"/>
    </row>
  </sheetData>
  <mergeCells count="13">
    <mergeCell ref="X3:AB3"/>
    <mergeCell ref="I3:M3"/>
    <mergeCell ref="AC3:AG3"/>
    <mergeCell ref="N3:R3"/>
    <mergeCell ref="AM3:AQ3"/>
    <mergeCell ref="AH3:AL3"/>
    <mergeCell ref="C3:C4"/>
    <mergeCell ref="B3:B4"/>
    <mergeCell ref="A3:A4"/>
    <mergeCell ref="A2:AQ2"/>
    <mergeCell ref="A1:AQ1"/>
    <mergeCell ref="D3:H3"/>
    <mergeCell ref="S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40" customWidth="1" min="3" max="3"/>
    <col width="9" customWidth="1" min="4" max="4"/>
    <col width="11" customWidth="1" min="5" max="5"/>
    <col width="20" customWidth="1" min="6" max="6"/>
    <col width="9" customWidth="1" min="7" max="7"/>
    <col width="11" customWidth="1" min="8" max="8"/>
    <col width="11" customWidth="1" min="9" max="9"/>
    <col width="10" customWidth="1" min="10" max="10"/>
  </cols>
  <sheetData>
    <row r="1">
      <c r="A1" s="14" t="inlineStr">
        <is>
          <t>BAU HERO SKUs — top-selling SKUs whose price changed (most representative of category ATC)</t>
        </is>
      </c>
    </row>
    <row r="2">
      <c r="A2" s="5" t="inlineStr">
        <is>
          <t>One row per hero-SKU price change (non-sale). Use these especially for fragmented categories (e.g. Designer Cases) where a category-level read isn't representative. Fill yellow ATC% (SKU-level PDP→ATC).</t>
        </is>
      </c>
    </row>
    <row r="3" ht="26" customHeight="1">
      <c r="A3" s="15" t="inlineStr">
        <is>
          <t>Category</t>
        </is>
      </c>
      <c r="B3" s="15" t="inlineStr">
        <is>
          <t>Type</t>
        </is>
      </c>
      <c r="C3" s="15" t="inlineStr">
        <is>
          <t>Hero SKU</t>
        </is>
      </c>
      <c r="D3" s="15" t="inlineStr">
        <is>
          <t>SKU vol</t>
        </is>
      </c>
      <c r="E3" s="15" t="inlineStr">
        <is>
          <t>% of cat vol</t>
        </is>
      </c>
      <c r="F3" s="15" t="inlineStr">
        <is>
          <t>Repricing week</t>
        </is>
      </c>
      <c r="G3" s="15" t="inlineStr">
        <is>
          <t>ASP %Δ</t>
        </is>
      </c>
      <c r="H3" s="15" t="inlineStr">
        <is>
          <t>ATC% pre-week</t>
        </is>
      </c>
      <c r="I3" s="15" t="inlineStr">
        <is>
          <t>ATC% chg-week</t>
        </is>
      </c>
      <c r="J3" s="15" t="inlineStr">
        <is>
          <t>Elasticity</t>
        </is>
      </c>
    </row>
    <row r="4">
      <c r="A4" s="9" t="inlineStr">
        <is>
          <t>Wireless Charger</t>
        </is>
      </c>
      <c r="B4" s="7" t="inlineStr">
        <is>
          <t>Tech</t>
        </is>
      </c>
      <c r="C4" s="9" t="inlineStr">
        <is>
          <t>KVLR-CORE-4IN1-CHRGNG-CABLE-100W</t>
        </is>
      </c>
      <c r="D4" s="7" t="n">
        <v>19689</v>
      </c>
      <c r="E4" s="22" t="n">
        <v>0.129</v>
      </c>
      <c r="F4" s="23" t="inlineStr">
        <is>
          <t>W57 (vs W56)</t>
        </is>
      </c>
      <c r="G4" s="24" t="n">
        <v>0.114</v>
      </c>
      <c r="H4" s="25" t="n"/>
      <c r="I4" s="25" t="n"/>
      <c r="J4" s="26">
        <f>IF(OR(H4="",I4=""),"",((I4/H4)-1)/G4)</f>
        <v/>
      </c>
    </row>
    <row r="5">
      <c r="A5" s="9" t="inlineStr">
        <is>
          <t>Wireless Charger</t>
        </is>
      </c>
      <c r="B5" s="7" t="inlineStr">
        <is>
          <t>Tech</t>
        </is>
      </c>
      <c r="C5" s="9" t="inlineStr">
        <is>
          <t>KVLR-CORE-4IN1-CHRGNG-CABLE-100W</t>
        </is>
      </c>
      <c r="D5" s="7" t="n">
        <v>19689</v>
      </c>
      <c r="E5" s="22" t="n">
        <v>0.129</v>
      </c>
      <c r="F5" s="23" t="inlineStr">
        <is>
          <t>W68 (vs W67)</t>
        </is>
      </c>
      <c r="G5" s="24" t="n">
        <v>0.163</v>
      </c>
      <c r="H5" s="25" t="n"/>
      <c r="I5" s="25" t="n"/>
      <c r="J5" s="26">
        <f>IF(OR(H5="",I5=""),"",((I5/H5)-1)/G5)</f>
        <v/>
      </c>
    </row>
    <row r="6">
      <c r="A6" s="9" t="inlineStr">
        <is>
          <t>Wireless Charger</t>
        </is>
      </c>
      <c r="B6" s="7" t="inlineStr">
        <is>
          <t>Tech</t>
        </is>
      </c>
      <c r="C6" s="9" t="inlineStr">
        <is>
          <t>TITNM-LOP-MAGSF-QI2-PWR-BNK-10000MH</t>
        </is>
      </c>
      <c r="D6" s="7" t="n">
        <v>18580</v>
      </c>
      <c r="E6" s="22" t="n">
        <v>0.121</v>
      </c>
      <c r="F6" s="23" t="inlineStr">
        <is>
          <t>W30 (vs W29)</t>
        </is>
      </c>
      <c r="G6" s="24" t="n">
        <v>0.134</v>
      </c>
      <c r="H6" s="25" t="n"/>
      <c r="I6" s="25" t="n"/>
      <c r="J6" s="26">
        <f>IF(OR(H6="",I6=""),"",((I6/H6)-1)/G6)</f>
        <v/>
      </c>
    </row>
    <row r="7">
      <c r="A7" s="9" t="inlineStr">
        <is>
          <t>Wireless Charger</t>
        </is>
      </c>
      <c r="B7" s="7" t="inlineStr">
        <is>
          <t>Tech</t>
        </is>
      </c>
      <c r="C7" s="9" t="inlineStr">
        <is>
          <t>TITNM-LOP-MAGSF-QI2-PWR-BNK-10000MH</t>
        </is>
      </c>
      <c r="D7" s="7" t="n">
        <v>18580</v>
      </c>
      <c r="E7" s="22" t="n">
        <v>0.121</v>
      </c>
      <c r="F7" s="23" t="inlineStr">
        <is>
          <t>W40 (vs W39)</t>
        </is>
      </c>
      <c r="G7" s="24" t="n">
        <v>0.093</v>
      </c>
      <c r="H7" s="25" t="n"/>
      <c r="I7" s="25" t="n"/>
      <c r="J7" s="26">
        <f>IF(OR(H7="",I7=""),"",((I7/H7)-1)/G7)</f>
        <v/>
      </c>
    </row>
    <row r="8">
      <c r="A8" s="9" t="inlineStr">
        <is>
          <t>Wireless Charger</t>
        </is>
      </c>
      <c r="B8" s="7" t="inlineStr">
        <is>
          <t>Tech</t>
        </is>
      </c>
      <c r="C8" s="9" t="inlineStr">
        <is>
          <t>BLK-LOP-MAGSF-QI2-PWR-BNK-10000MH</t>
        </is>
      </c>
      <c r="D8" s="7" t="n">
        <v>10003</v>
      </c>
      <c r="E8" s="22" t="n">
        <v>0.065</v>
      </c>
      <c r="F8" s="23" t="inlineStr">
        <is>
          <t>W39 (vs W38)</t>
        </is>
      </c>
      <c r="G8" s="24" t="n">
        <v>0.191</v>
      </c>
      <c r="H8" s="25" t="n"/>
      <c r="I8" s="25" t="n"/>
      <c r="J8" s="26">
        <f>IF(OR(H8="",I8=""),"",((I8/H8)-1)/G8)</f>
        <v/>
      </c>
    </row>
    <row r="9">
      <c r="A9" s="9" t="inlineStr">
        <is>
          <t>Wireless Charger</t>
        </is>
      </c>
      <c r="B9" s="7" t="inlineStr">
        <is>
          <t>Tech</t>
        </is>
      </c>
      <c r="C9" s="9" t="inlineStr">
        <is>
          <t>BLK-LOP-MAGSF-QI2-PWR-BNK-20000MH</t>
        </is>
      </c>
      <c r="D9" s="7" t="n">
        <v>5759</v>
      </c>
      <c r="E9" s="22" t="n">
        <v>0.038</v>
      </c>
      <c r="F9" s="23" t="inlineStr">
        <is>
          <t>W31 (vs W30)</t>
        </is>
      </c>
      <c r="G9" s="24" t="n">
        <v>0.322</v>
      </c>
      <c r="H9" s="25" t="n"/>
      <c r="I9" s="25" t="n"/>
      <c r="J9" s="26">
        <f>IF(OR(H9="",I9=""),"",((I9/H9)-1)/G9)</f>
        <v/>
      </c>
    </row>
    <row r="10">
      <c r="A10" s="9" t="inlineStr">
        <is>
          <t>Wireless Charger</t>
        </is>
      </c>
      <c r="B10" s="7" t="inlineStr">
        <is>
          <t>Tech</t>
        </is>
      </c>
      <c r="C10" s="9" t="inlineStr">
        <is>
          <t>BLK-LOP-MAGSF-QI2-PWR-BNK-20000MH</t>
        </is>
      </c>
      <c r="D10" s="7" t="n">
        <v>5759</v>
      </c>
      <c r="E10" s="22" t="n">
        <v>0.038</v>
      </c>
      <c r="F10" s="23" t="inlineStr">
        <is>
          <t>W41 (vs W40)</t>
        </is>
      </c>
      <c r="G10" s="24" t="n">
        <v>0.08400000000000001</v>
      </c>
      <c r="H10" s="25" t="n"/>
      <c r="I10" s="25" t="n"/>
      <c r="J10" s="26">
        <f>IF(OR(H10="",I10=""),"",((I10/H10)-1)/G10)</f>
        <v/>
      </c>
    </row>
    <row r="11">
      <c r="A11" s="9" t="inlineStr">
        <is>
          <t>Wireless Charger</t>
        </is>
      </c>
      <c r="B11" s="7" t="inlineStr">
        <is>
          <t>Tech</t>
        </is>
      </c>
      <c r="C11" s="9" t="inlineStr">
        <is>
          <t>POP-100W-TYPC-KVLR-COR-MGNT-CABL-BLK</t>
        </is>
      </c>
      <c r="D11" s="7" t="n">
        <v>3396</v>
      </c>
      <c r="E11" s="22" t="n">
        <v>0.022</v>
      </c>
      <c r="F11" s="23" t="inlineStr">
        <is>
          <t>W34 (vs W33)</t>
        </is>
      </c>
      <c r="G11" s="24" t="n">
        <v>0.266</v>
      </c>
      <c r="H11" s="25" t="n"/>
      <c r="I11" s="25" t="n"/>
      <c r="J11" s="26">
        <f>IF(OR(H11="",I11=""),"",((I11/H11)-1)/G11)</f>
        <v/>
      </c>
    </row>
    <row r="12">
      <c r="A12" s="9" t="inlineStr">
        <is>
          <t>Designer Cases</t>
        </is>
      </c>
      <c r="B12" s="7" t="inlineStr">
        <is>
          <t>Tech</t>
        </is>
      </c>
      <c r="C12" s="9" t="inlineStr">
        <is>
          <t>BLK-NIMBS-MGNTIC-PHN-SS-GLS24ULTRA</t>
        </is>
      </c>
      <c r="D12" s="7" t="n">
        <v>6563</v>
      </c>
      <c r="E12" s="22" t="n">
        <v>0.019</v>
      </c>
      <c r="F12" s="23" t="inlineStr">
        <is>
          <t>W56 (vs W55)</t>
        </is>
      </c>
      <c r="G12" s="24" t="n">
        <v>0.159</v>
      </c>
      <c r="H12" s="25" t="n"/>
      <c r="I12" s="25" t="n"/>
      <c r="J12" s="26">
        <f>IF(OR(H12="",I12=""),"",((I12/H12)-1)/G12)</f>
        <v/>
      </c>
    </row>
    <row r="13">
      <c r="A13" s="9" t="inlineStr">
        <is>
          <t>Designer Cases</t>
        </is>
      </c>
      <c r="B13" s="7" t="inlineStr">
        <is>
          <t>Tech</t>
        </is>
      </c>
      <c r="C13" s="9" t="inlineStr">
        <is>
          <t>BLK-NIMBS-MGNTIC-PHN-SS-GLS24ULTRA</t>
        </is>
      </c>
      <c r="D13" s="7" t="n">
        <v>6563</v>
      </c>
      <c r="E13" s="22" t="n">
        <v>0.019</v>
      </c>
      <c r="F13" s="23" t="inlineStr">
        <is>
          <t>W62 (vs W61)</t>
        </is>
      </c>
      <c r="G13" s="24" t="n">
        <v>0.08599999999999999</v>
      </c>
      <c r="H13" s="25" t="n"/>
      <c r="I13" s="25" t="n"/>
      <c r="J13" s="26">
        <f>IF(OR(H13="",I13=""),"",((I13/H13)-1)/G13)</f>
        <v/>
      </c>
    </row>
    <row r="14">
      <c r="A14" s="9" t="inlineStr">
        <is>
          <t>Designer Cases</t>
        </is>
      </c>
      <c r="B14" s="7" t="inlineStr">
        <is>
          <t>Tech</t>
        </is>
      </c>
      <c r="C14" s="9" t="inlineStr">
        <is>
          <t>STRD-2-0-CLR-DOB-SS-GLS24ULTRA</t>
        </is>
      </c>
      <c r="D14" s="7" t="n">
        <v>4135</v>
      </c>
      <c r="E14" s="22" t="n">
        <v>0.012</v>
      </c>
      <c r="F14" s="23" t="inlineStr">
        <is>
          <t>W41 (vs W40)</t>
        </is>
      </c>
      <c r="G14" s="24" t="n">
        <v>0.405</v>
      </c>
      <c r="H14" s="25" t="n"/>
      <c r="I14" s="25" t="n"/>
      <c r="J14" s="26">
        <f>IF(OR(H14="",I14=""),"",((I14/H14)-1)/G14)</f>
        <v/>
      </c>
    </row>
    <row r="15">
      <c r="A15" s="9" t="inlineStr">
        <is>
          <t>Designer Cases</t>
        </is>
      </c>
      <c r="B15" s="7" t="inlineStr">
        <is>
          <t>Tech</t>
        </is>
      </c>
      <c r="C15" s="9" t="inlineStr">
        <is>
          <t>STRD-2-0-CLR-DOB-SS-GLS24ULTRA</t>
        </is>
      </c>
      <c r="D15" s="7" t="n">
        <v>4135</v>
      </c>
      <c r="E15" s="22" t="n">
        <v>0.012</v>
      </c>
      <c r="F15" s="23" t="inlineStr">
        <is>
          <t>W54 (vs W49)</t>
        </is>
      </c>
      <c r="G15" s="24" t="n">
        <v>0.092</v>
      </c>
      <c r="H15" s="25" t="n"/>
      <c r="I15" s="25" t="n"/>
      <c r="J15" s="26">
        <f>IF(OR(H15="",I15=""),"",((I15/H15)-1)/G15)</f>
        <v/>
      </c>
    </row>
    <row r="16">
      <c r="A16" s="9" t="inlineStr">
        <is>
          <t>Designer Cases</t>
        </is>
      </c>
      <c r="B16" s="7" t="inlineStr">
        <is>
          <t>Tech</t>
        </is>
      </c>
      <c r="C16" s="9" t="inlineStr">
        <is>
          <t>STRD-2-0-CLR-DOB-SS-GLS24ULTRA</t>
        </is>
      </c>
      <c r="D16" s="7" t="n">
        <v>4135</v>
      </c>
      <c r="E16" s="22" t="n">
        <v>0.012</v>
      </c>
      <c r="F16" s="23" t="inlineStr">
        <is>
          <t>W66 (vs W63)</t>
        </is>
      </c>
      <c r="G16" s="24" t="n">
        <v>0.08</v>
      </c>
      <c r="H16" s="25" t="n"/>
      <c r="I16" s="25" t="n"/>
      <c r="J16" s="26">
        <f>IF(OR(H16="",I16=""),"",((I16/H16)-1)/G16)</f>
        <v/>
      </c>
    </row>
    <row r="17">
      <c r="A17" s="9" t="inlineStr">
        <is>
          <t>Designer Cases</t>
        </is>
      </c>
      <c r="B17" s="7" t="inlineStr">
        <is>
          <t>Tech</t>
        </is>
      </c>
      <c r="C17" s="9" t="inlineStr">
        <is>
          <t>BLK-BEGE-LTHR-MGSAF-AP-IPH16PRO</t>
        </is>
      </c>
      <c r="D17" s="7" t="n">
        <v>2264</v>
      </c>
      <c r="E17" s="22" t="n">
        <v>0.007</v>
      </c>
      <c r="F17" s="23" t="inlineStr">
        <is>
          <t>W63 (vs W62)</t>
        </is>
      </c>
      <c r="G17" s="24" t="n">
        <v>0.221</v>
      </c>
      <c r="H17" s="25" t="n"/>
      <c r="I17" s="25" t="n"/>
      <c r="J17" s="26">
        <f>IF(OR(H17="",I17=""),"",((I17/H17)-1)/G17)</f>
        <v/>
      </c>
    </row>
    <row r="18">
      <c r="A18" s="9" t="inlineStr">
        <is>
          <t>Designer Cases</t>
        </is>
      </c>
      <c r="B18" s="7" t="inlineStr">
        <is>
          <t>Tech</t>
        </is>
      </c>
      <c r="C18" s="9" t="inlineStr">
        <is>
          <t>TAN-GRY-LTHR-MGSAF-AP-IPH17PRO</t>
        </is>
      </c>
      <c r="D18" s="7" t="n">
        <v>2068</v>
      </c>
      <c r="E18" s="22" t="n">
        <v>0.006</v>
      </c>
      <c r="F18" s="23" t="inlineStr">
        <is>
          <t>W62 (vs W61)</t>
        </is>
      </c>
      <c r="G18" s="24" t="n">
        <v>0.189</v>
      </c>
      <c r="H18" s="25" t="n"/>
      <c r="I18" s="25" t="n"/>
      <c r="J18" s="26">
        <f>IF(OR(H18="",I18=""),"",((I18/H18)-1)/G18)</f>
        <v/>
      </c>
    </row>
    <row r="19">
      <c r="A19" s="9" t="inlineStr">
        <is>
          <t>Designer Cases</t>
        </is>
      </c>
      <c r="B19" s="7" t="inlineStr">
        <is>
          <t>Tech</t>
        </is>
      </c>
      <c r="C19" s="9" t="inlineStr">
        <is>
          <t>STRD-2-0-CLR-MEGSAF-AP-IPH17PRO</t>
        </is>
      </c>
      <c r="D19" s="7" t="n">
        <v>1976</v>
      </c>
      <c r="E19" s="22" t="n">
        <v>0.006</v>
      </c>
      <c r="F19" s="23" t="inlineStr">
        <is>
          <t>W56 (vs W55)</t>
        </is>
      </c>
      <c r="G19" s="24" t="n">
        <v>0.096</v>
      </c>
      <c r="H19" s="25" t="n"/>
      <c r="I19" s="25" t="n"/>
      <c r="J19" s="26">
        <f>IF(OR(H19="",I19=""),"",((I19/H19)-1)/G19)</f>
        <v/>
      </c>
    </row>
    <row r="20">
      <c r="A20" s="9" t="inlineStr">
        <is>
          <t>Designer Cases</t>
        </is>
      </c>
      <c r="B20" s="7" t="inlineStr">
        <is>
          <t>Tech</t>
        </is>
      </c>
      <c r="C20" s="9" t="inlineStr">
        <is>
          <t>CLR-DOB-SS-ZFLD6</t>
        </is>
      </c>
      <c r="D20" s="7" t="n">
        <v>1726</v>
      </c>
      <c r="E20" s="22" t="n">
        <v>0.005</v>
      </c>
      <c r="F20" s="23" t="inlineStr">
        <is>
          <t>W57 (vs W56)</t>
        </is>
      </c>
      <c r="G20" s="24" t="n">
        <v>0.148</v>
      </c>
      <c r="H20" s="25" t="n"/>
      <c r="I20" s="25" t="n"/>
      <c r="J20" s="26">
        <f>IF(OR(H20="",I20=""),"",((I20/H20)-1)/G20)</f>
        <v/>
      </c>
    </row>
    <row r="21">
      <c r="A21" s="9" t="inlineStr">
        <is>
          <t>Screen Guards</t>
        </is>
      </c>
      <c r="B21" s="7" t="inlineStr">
        <is>
          <t>Tech</t>
        </is>
      </c>
      <c r="C21" s="9" t="inlineStr">
        <is>
          <t>SEATH-PRTCTR-APLCTOR-AP-IPH16PRO</t>
        </is>
      </c>
      <c r="D21" s="7" t="n">
        <v>2596</v>
      </c>
      <c r="E21" s="22" t="n">
        <v>0.054</v>
      </c>
      <c r="F21" s="23" t="inlineStr">
        <is>
          <t>W41 (vs W40)</t>
        </is>
      </c>
      <c r="G21" s="24" t="n">
        <v>0.294</v>
      </c>
      <c r="H21" s="25" t="n"/>
      <c r="I21" s="25" t="n"/>
      <c r="J21" s="26">
        <f>IF(OR(H21="",I21=""),"",((I21/H21)-1)/G21)</f>
        <v/>
      </c>
    </row>
    <row r="22">
      <c r="A22" s="9" t="inlineStr">
        <is>
          <t>Screen Guards</t>
        </is>
      </c>
      <c r="B22" s="7" t="inlineStr">
        <is>
          <t>Tech</t>
        </is>
      </c>
      <c r="C22" s="9" t="inlineStr">
        <is>
          <t>SEATH-PRTCTR-APLCTOR-AP-IPH15</t>
        </is>
      </c>
      <c r="D22" s="7" t="n">
        <v>2019</v>
      </c>
      <c r="E22" s="22" t="n">
        <v>0.042</v>
      </c>
      <c r="F22" s="23" t="inlineStr">
        <is>
          <t>W9 (vs W8)</t>
        </is>
      </c>
      <c r="G22" s="24" t="n">
        <v>0.123</v>
      </c>
      <c r="H22" s="25" t="n"/>
      <c r="I22" s="25" t="n"/>
      <c r="J22" s="26">
        <f>IF(OR(H22="",I22=""),"",((I22/H22)-1)/G22)</f>
        <v/>
      </c>
    </row>
    <row r="23">
      <c r="A23" s="9" t="inlineStr">
        <is>
          <t>Screen Guards</t>
        </is>
      </c>
      <c r="B23" s="7" t="inlineStr">
        <is>
          <t>Tech</t>
        </is>
      </c>
      <c r="C23" s="9" t="inlineStr">
        <is>
          <t>SEATH-PRTCTR-APLCTOR-AP-IPH15</t>
        </is>
      </c>
      <c r="D23" s="7" t="n">
        <v>2019</v>
      </c>
      <c r="E23" s="22" t="n">
        <v>0.042</v>
      </c>
      <c r="F23" s="23" t="inlineStr">
        <is>
          <t>W41 (vs W40)</t>
        </is>
      </c>
      <c r="G23" s="24" t="n">
        <v>0.331</v>
      </c>
      <c r="H23" s="25" t="n"/>
      <c r="I23" s="25" t="n"/>
      <c r="J23" s="26">
        <f>IF(OR(H23="",I23=""),"",((I23/H23)-1)/G23)</f>
        <v/>
      </c>
    </row>
    <row r="24">
      <c r="A24" s="9" t="inlineStr">
        <is>
          <t>Screen Guards</t>
        </is>
      </c>
      <c r="B24" s="7" t="inlineStr">
        <is>
          <t>Tech</t>
        </is>
      </c>
      <c r="C24" s="9" t="inlineStr">
        <is>
          <t>SEATH-PRTCTR-APLCTOR-AP-IPH16PROMAX</t>
        </is>
      </c>
      <c r="D24" s="7" t="n">
        <v>1954</v>
      </c>
      <c r="E24" s="22" t="n">
        <v>0.04</v>
      </c>
      <c r="F24" s="23" t="inlineStr">
        <is>
          <t>W39 (vs W38)</t>
        </is>
      </c>
      <c r="G24" s="24" t="n">
        <v>0.102</v>
      </c>
      <c r="H24" s="25" t="n"/>
      <c r="I24" s="25" t="n"/>
      <c r="J24" s="26">
        <f>IF(OR(H24="",I24=""),"",((I24/H24)-1)/G24)</f>
        <v/>
      </c>
    </row>
    <row r="25">
      <c r="A25" s="9" t="inlineStr">
        <is>
          <t>Screen Guards</t>
        </is>
      </c>
      <c r="B25" s="7" t="inlineStr">
        <is>
          <t>Tech</t>
        </is>
      </c>
      <c r="C25" s="9" t="inlineStr">
        <is>
          <t>SEATH-PRTCTR-APLCTOR-AP-IPH16PROMAX</t>
        </is>
      </c>
      <c r="D25" s="7" t="n">
        <v>1954</v>
      </c>
      <c r="E25" s="22" t="n">
        <v>0.04</v>
      </c>
      <c r="F25" s="23" t="inlineStr">
        <is>
          <t>W45 (vs W44)</t>
        </is>
      </c>
      <c r="G25" s="24" t="n">
        <v>0.339</v>
      </c>
      <c r="H25" s="25" t="n"/>
      <c r="I25" s="25" t="n"/>
      <c r="J25" s="26">
        <f>IF(OR(H25="",I25=""),"",((I25/H25)-1)/G25)</f>
        <v/>
      </c>
    </row>
    <row r="26">
      <c r="A26" s="9" t="inlineStr">
        <is>
          <t>Screen Guards</t>
        </is>
      </c>
      <c r="B26" s="7" t="inlineStr">
        <is>
          <t>Tech</t>
        </is>
      </c>
      <c r="C26" s="9" t="inlineStr">
        <is>
          <t>SEATH-PRTCTR-APLCTOR-AP-IPH16</t>
        </is>
      </c>
      <c r="D26" s="7" t="n">
        <v>1872</v>
      </c>
      <c r="E26" s="22" t="n">
        <v>0.039</v>
      </c>
      <c r="F26" s="23" t="inlineStr">
        <is>
          <t>W41 (vs W40)</t>
        </is>
      </c>
      <c r="G26" s="24" t="n">
        <v>0.273</v>
      </c>
      <c r="H26" s="25" t="n"/>
      <c r="I26" s="25" t="n"/>
      <c r="J26" s="26">
        <f>IF(OR(H26="",I26=""),"",((I26/H26)-1)/G26)</f>
        <v/>
      </c>
    </row>
    <row r="27">
      <c r="A27" s="9" t="inlineStr">
        <is>
          <t>Screen Guards</t>
        </is>
      </c>
      <c r="B27" s="7" t="inlineStr">
        <is>
          <t>Tech</t>
        </is>
      </c>
      <c r="C27" s="9" t="inlineStr">
        <is>
          <t>SEATH-PRTCTR-APLCTOR-AP-IPH17PRO</t>
        </is>
      </c>
      <c r="D27" s="7" t="n">
        <v>1793</v>
      </c>
      <c r="E27" s="22" t="n">
        <v>0.037</v>
      </c>
      <c r="F27" s="23" t="inlineStr">
        <is>
          <t>W41 (vs W40)</t>
        </is>
      </c>
      <c r="G27" s="24" t="n">
        <v>0.208</v>
      </c>
      <c r="H27" s="25" t="n"/>
      <c r="I27" s="25" t="n"/>
      <c r="J27" s="26">
        <f>IF(OR(H27="",I27=""),"",((I27/H27)-1)/G27)</f>
        <v/>
      </c>
    </row>
    <row r="28">
      <c r="A28" s="9" t="inlineStr">
        <is>
          <t>Screen Guards</t>
        </is>
      </c>
      <c r="B28" s="7" t="inlineStr">
        <is>
          <t>Tech</t>
        </is>
      </c>
      <c r="C28" s="9" t="inlineStr">
        <is>
          <t>SEATH-PRTCTR-APLCTOR-AP-IPH15PRO</t>
        </is>
      </c>
      <c r="D28" s="7" t="n">
        <v>1535</v>
      </c>
      <c r="E28" s="22" t="n">
        <v>0.032</v>
      </c>
      <c r="F28" s="23" t="inlineStr">
        <is>
          <t>W40 (vs W39)</t>
        </is>
      </c>
      <c r="G28" s="24" t="n">
        <v>0.243</v>
      </c>
      <c r="H28" s="25" t="n"/>
      <c r="I28" s="25" t="n"/>
      <c r="J28" s="26">
        <f>IF(OR(H28="",I28=""),"",((I28/H28)-1)/G28)</f>
        <v/>
      </c>
    </row>
    <row r="29">
      <c r="A29" s="9" t="inlineStr">
        <is>
          <t>Screen Guards</t>
        </is>
      </c>
      <c r="B29" s="7" t="inlineStr">
        <is>
          <t>Tech</t>
        </is>
      </c>
      <c r="C29" s="9" t="inlineStr">
        <is>
          <t>SEATH-PRTCTR-APLCTOR-AP-IPH15PRO</t>
        </is>
      </c>
      <c r="D29" s="7" t="n">
        <v>1535</v>
      </c>
      <c r="E29" s="22" t="n">
        <v>0.032</v>
      </c>
      <c r="F29" s="23" t="inlineStr">
        <is>
          <t>W46 (vs W45)</t>
        </is>
      </c>
      <c r="G29" s="24" t="n">
        <v>0.137</v>
      </c>
      <c r="H29" s="25" t="n"/>
      <c r="I29" s="25" t="n"/>
      <c r="J29" s="26">
        <f>IF(OR(H29="",I29=""),"",((I29/H29)-1)/G29)</f>
        <v/>
      </c>
    </row>
    <row r="30">
      <c r="A30" s="9" t="inlineStr">
        <is>
          <t>Screen Guards</t>
        </is>
      </c>
      <c r="B30" s="7" t="inlineStr">
        <is>
          <t>Tech</t>
        </is>
      </c>
      <c r="C30" s="9" t="inlineStr">
        <is>
          <t>SEATH-PRTCTR-APLCTOR-AP-IPH15PROMAX</t>
        </is>
      </c>
      <c r="D30" s="7" t="n">
        <v>1480</v>
      </c>
      <c r="E30" s="22" t="n">
        <v>0.031</v>
      </c>
      <c r="F30" s="23" t="inlineStr">
        <is>
          <t>W9 (vs W8)</t>
        </is>
      </c>
      <c r="G30" s="24" t="n">
        <v>0.08799999999999999</v>
      </c>
      <c r="H30" s="25" t="n"/>
      <c r="I30" s="25" t="n"/>
      <c r="J30" s="26">
        <f>IF(OR(H30="",I30=""),"",((I30/H30)-1)/G30)</f>
        <v/>
      </c>
    </row>
    <row r="31">
      <c r="A31" s="9" t="inlineStr">
        <is>
          <t>Screen Guards</t>
        </is>
      </c>
      <c r="B31" s="7" t="inlineStr">
        <is>
          <t>Tech</t>
        </is>
      </c>
      <c r="C31" s="9" t="inlineStr">
        <is>
          <t>SEATH-PRTCTR-APLCTOR-AP-IPH15PROMAX</t>
        </is>
      </c>
      <c r="D31" s="7" t="n">
        <v>1480</v>
      </c>
      <c r="E31" s="22" t="n">
        <v>0.031</v>
      </c>
      <c r="F31" s="23" t="inlineStr">
        <is>
          <t>W40 (vs W39)</t>
        </is>
      </c>
      <c r="G31" s="24" t="n">
        <v>0.134</v>
      </c>
      <c r="H31" s="25" t="n"/>
      <c r="I31" s="25" t="n"/>
      <c r="J31" s="26">
        <f>IF(OR(H31="",I31=""),"",((I31/H31)-1)/G31)</f>
        <v/>
      </c>
    </row>
    <row r="32">
      <c r="A32" s="9" t="inlineStr">
        <is>
          <t>Screen Guards</t>
        </is>
      </c>
      <c r="B32" s="7" t="inlineStr">
        <is>
          <t>Tech</t>
        </is>
      </c>
      <c r="C32" s="9" t="inlineStr">
        <is>
          <t>SEATH-PRTCTR-APLCTOR-AP-IPH15PROMAX</t>
        </is>
      </c>
      <c r="D32" s="7" t="n">
        <v>1480</v>
      </c>
      <c r="E32" s="22" t="n">
        <v>0.031</v>
      </c>
      <c r="F32" s="23" t="inlineStr">
        <is>
          <t>W46 (vs W45)</t>
        </is>
      </c>
      <c r="G32" s="24" t="n">
        <v>0.227</v>
      </c>
      <c r="H32" s="25" t="n"/>
      <c r="I32" s="25" t="n"/>
      <c r="J32" s="26">
        <f>IF(OR(H32="",I32=""),"",((I32/H32)-1)/G32)</f>
        <v/>
      </c>
    </row>
    <row r="33">
      <c r="A33" s="9" t="inlineStr">
        <is>
          <t>Airpods Case Cover</t>
        </is>
      </c>
      <c r="B33" s="7" t="inlineStr">
        <is>
          <t>Tech</t>
        </is>
      </c>
      <c r="C33" s="9" t="inlineStr">
        <is>
          <t>TAN-LTHER-AP-ARPDPRO2</t>
        </is>
      </c>
      <c r="D33" s="7" t="n">
        <v>1363</v>
      </c>
      <c r="E33" s="22" t="n">
        <v>0.06900000000000001</v>
      </c>
      <c r="F33" s="23" t="inlineStr">
        <is>
          <t>W44 (vs W41)</t>
        </is>
      </c>
      <c r="G33" s="24" t="n">
        <v>0.08599999999999999</v>
      </c>
      <c r="H33" s="25" t="n"/>
      <c r="I33" s="25" t="n"/>
      <c r="J33" s="26">
        <f>IF(OR(H33="",I33=""),"",((I33/H33)-1)/G33)</f>
        <v/>
      </c>
    </row>
    <row r="34">
      <c r="A34" s="9" t="inlineStr">
        <is>
          <t>Airpods Case Cover</t>
        </is>
      </c>
      <c r="B34" s="7" t="inlineStr">
        <is>
          <t>Tech</t>
        </is>
      </c>
      <c r="C34" s="9" t="inlineStr">
        <is>
          <t>TAN-LTHER-AP-ARPDPRO2</t>
        </is>
      </c>
      <c r="D34" s="7" t="n">
        <v>1363</v>
      </c>
      <c r="E34" s="22" t="n">
        <v>0.06900000000000001</v>
      </c>
      <c r="F34" s="23" t="inlineStr">
        <is>
          <t>W57 (vs W56)</t>
        </is>
      </c>
      <c r="G34" s="24" t="n">
        <v>0.264</v>
      </c>
      <c r="H34" s="25" t="n"/>
      <c r="I34" s="25" t="n"/>
      <c r="J34" s="26">
        <f>IF(OR(H34="",I34=""),"",((I34/H34)-1)/G34)</f>
        <v/>
      </c>
    </row>
    <row r="35">
      <c r="A35" s="9" t="inlineStr">
        <is>
          <t>Airpods Case Cover</t>
        </is>
      </c>
      <c r="B35" s="7" t="inlineStr">
        <is>
          <t>Tech</t>
        </is>
      </c>
      <c r="C35" s="9" t="inlineStr">
        <is>
          <t>HAZE-WHT-BLK-DOM-ARPDPRO2</t>
        </is>
      </c>
      <c r="D35" s="7" t="n">
        <v>1232</v>
      </c>
      <c r="E35" s="22" t="n">
        <v>0.063</v>
      </c>
      <c r="F35" s="23" t="inlineStr">
        <is>
          <t>W58 (vs W57)</t>
        </is>
      </c>
      <c r="G35" s="24" t="n">
        <v>0.149</v>
      </c>
      <c r="H35" s="25" t="n"/>
      <c r="I35" s="25" t="n"/>
      <c r="J35" s="26">
        <f>IF(OR(H35="",I35=""),"",((I35/H35)-1)/G35)</f>
        <v/>
      </c>
    </row>
    <row r="36">
      <c r="A36" s="9" t="inlineStr">
        <is>
          <t>Airpods Case Cover</t>
        </is>
      </c>
      <c r="B36" s="7" t="inlineStr">
        <is>
          <t>Tech</t>
        </is>
      </c>
      <c r="C36" s="9" t="inlineStr">
        <is>
          <t>BLK-LTHER-AP-ARPDPRO2</t>
        </is>
      </c>
      <c r="D36" s="7" t="n">
        <v>1052</v>
      </c>
      <c r="E36" s="22" t="n">
        <v>0.053</v>
      </c>
      <c r="F36" s="23" t="inlineStr">
        <is>
          <t>W57 (vs W56)</t>
        </is>
      </c>
      <c r="G36" s="24" t="n">
        <v>0.106</v>
      </c>
      <c r="H36" s="25" t="n"/>
      <c r="I36" s="25" t="n"/>
      <c r="J36" s="26">
        <f>IF(OR(H36="",I36=""),"",((I36/H36)-1)/G36)</f>
        <v/>
      </c>
    </row>
    <row r="37">
      <c r="A37" s="9" t="inlineStr">
        <is>
          <t>Airpods Case Cover</t>
        </is>
      </c>
      <c r="B37" s="7" t="inlineStr">
        <is>
          <t>Tech</t>
        </is>
      </c>
      <c r="C37" s="9" t="inlineStr">
        <is>
          <t>BLK-LTHER-AP-ARPDPRO2</t>
        </is>
      </c>
      <c r="D37" s="7" t="n">
        <v>1052</v>
      </c>
      <c r="E37" s="22" t="n">
        <v>0.053</v>
      </c>
      <c r="F37" s="23" t="inlineStr">
        <is>
          <t>W68 (vs W67)</t>
        </is>
      </c>
      <c r="G37" s="24" t="n">
        <v>0.231</v>
      </c>
      <c r="H37" s="25" t="n"/>
      <c r="I37" s="25" t="n"/>
      <c r="J37" s="26">
        <f>IF(OR(H37="",I37=""),"",((I37/H37)-1)/G37)</f>
        <v/>
      </c>
    </row>
    <row r="38">
      <c r="A38" s="9" t="inlineStr">
        <is>
          <t>Airpods Case Cover</t>
        </is>
      </c>
      <c r="B38" s="7" t="inlineStr">
        <is>
          <t>Tech</t>
        </is>
      </c>
      <c r="C38" s="9" t="inlineStr">
        <is>
          <t>GRN-LTHER-AP-ARPDPRO2</t>
        </is>
      </c>
      <c r="D38" s="7" t="n">
        <v>751</v>
      </c>
      <c r="E38" s="22" t="n">
        <v>0.038</v>
      </c>
      <c r="F38" s="23" t="inlineStr">
        <is>
          <t>W44 (vs W41)</t>
        </is>
      </c>
      <c r="G38" s="24" t="n">
        <v>0.094</v>
      </c>
      <c r="H38" s="25" t="n"/>
      <c r="I38" s="25" t="n"/>
      <c r="J38" s="26">
        <f>IF(OR(H38="",I38=""),"",((I38/H38)-1)/G38)</f>
        <v/>
      </c>
    </row>
    <row r="39">
      <c r="A39" s="9" t="inlineStr">
        <is>
          <t>Airpods Case Cover</t>
        </is>
      </c>
      <c r="B39" s="7" t="inlineStr">
        <is>
          <t>Tech</t>
        </is>
      </c>
      <c r="C39" s="9" t="inlineStr">
        <is>
          <t>GRN-LTHER-AP-ARPDPRO2</t>
        </is>
      </c>
      <c r="D39" s="7" t="n">
        <v>751</v>
      </c>
      <c r="E39" s="22" t="n">
        <v>0.038</v>
      </c>
      <c r="F39" s="23" t="inlineStr">
        <is>
          <t>W73 (vs W70)</t>
        </is>
      </c>
      <c r="G39" s="24" t="n">
        <v>0.269</v>
      </c>
      <c r="H39" s="25" t="n"/>
      <c r="I39" s="25" t="n"/>
      <c r="J39" s="26">
        <f>IF(OR(H39="",I39=""),"",((I39/H39)-1)/G39)</f>
        <v/>
      </c>
    </row>
    <row r="40">
      <c r="A40" s="9" t="inlineStr">
        <is>
          <t>Airpods Case Cover</t>
        </is>
      </c>
      <c r="B40" s="7" t="inlineStr">
        <is>
          <t>Tech</t>
        </is>
      </c>
      <c r="C40" s="9" t="inlineStr">
        <is>
          <t>BLK-COAST-ARPDPRO-CAS-COVR-2-0</t>
        </is>
      </c>
      <c r="D40" s="7" t="n">
        <v>659</v>
      </c>
      <c r="E40" s="22" t="n">
        <v>0.033</v>
      </c>
      <c r="F40" s="23" t="inlineStr">
        <is>
          <t>W5 (vs W2)</t>
        </is>
      </c>
      <c r="G40" s="24" t="n">
        <v>0.226</v>
      </c>
      <c r="H40" s="25" t="n"/>
      <c r="I40" s="25" t="n"/>
      <c r="J40" s="26">
        <f>IF(OR(H40="",I40=""),"",((I40/H40)-1)/G40)</f>
        <v/>
      </c>
    </row>
    <row r="41">
      <c r="A41" s="9" t="inlineStr">
        <is>
          <t>Airpods Case Cover</t>
        </is>
      </c>
      <c r="B41" s="7" t="inlineStr">
        <is>
          <t>Tech</t>
        </is>
      </c>
      <c r="C41" s="9" t="inlineStr">
        <is>
          <t>BLK-COAST-ARPDPRO-CAS-COVR-2-0</t>
        </is>
      </c>
      <c r="D41" s="7" t="n">
        <v>659</v>
      </c>
      <c r="E41" s="22" t="n">
        <v>0.033</v>
      </c>
      <c r="F41" s="23" t="inlineStr">
        <is>
          <t>W44 (vs W41)</t>
        </is>
      </c>
      <c r="G41" s="24" t="n">
        <v>0.112</v>
      </c>
      <c r="H41" s="25" t="n"/>
      <c r="I41" s="25" t="n"/>
      <c r="J41" s="26">
        <f>IF(OR(H41="",I41=""),"",((I41/H41)-1)/G41)</f>
        <v/>
      </c>
    </row>
    <row r="42">
      <c r="A42" s="9" t="inlineStr">
        <is>
          <t>Airpods Case Cover</t>
        </is>
      </c>
      <c r="B42" s="7" t="inlineStr">
        <is>
          <t>Tech</t>
        </is>
      </c>
      <c r="C42" s="9" t="inlineStr">
        <is>
          <t>BLK-COAST-ARPDPRO-CAS-COVR-2-0</t>
        </is>
      </c>
      <c r="D42" s="7" t="n">
        <v>659</v>
      </c>
      <c r="E42" s="22" t="n">
        <v>0.033</v>
      </c>
      <c r="F42" s="23" t="inlineStr">
        <is>
          <t>W57 (vs W56)</t>
        </is>
      </c>
      <c r="G42" s="24" t="n">
        <v>0.156</v>
      </c>
      <c r="H42" s="25" t="n"/>
      <c r="I42" s="25" t="n"/>
      <c r="J42" s="26">
        <f>IF(OR(H42="",I42=""),"",((I42/H42)-1)/G42)</f>
        <v/>
      </c>
    </row>
    <row r="43">
      <c r="A43" s="9" t="inlineStr">
        <is>
          <t>Airpods Case Cover</t>
        </is>
      </c>
      <c r="B43" s="7" t="inlineStr">
        <is>
          <t>Tech</t>
        </is>
      </c>
      <c r="C43" s="9" t="inlineStr">
        <is>
          <t>NVY-BLU-LTHER-AP-ARPD4</t>
        </is>
      </c>
      <c r="D43" s="7" t="n">
        <v>575</v>
      </c>
      <c r="E43" s="22" t="n">
        <v>0.029</v>
      </c>
      <c r="F43" s="23" t="inlineStr">
        <is>
          <t>W41 (vs W40)</t>
        </is>
      </c>
      <c r="G43" s="24" t="n">
        <v>0.099</v>
      </c>
      <c r="H43" s="25" t="n"/>
      <c r="I43" s="25" t="n"/>
      <c r="J43" s="26">
        <f>IF(OR(H43="",I43=""),"",((I43/H43)-1)/G43)</f>
        <v/>
      </c>
    </row>
    <row r="44">
      <c r="A44" s="9" t="inlineStr">
        <is>
          <t>Airpods Case Cover</t>
        </is>
      </c>
      <c r="B44" s="7" t="inlineStr">
        <is>
          <t>Tech</t>
        </is>
      </c>
      <c r="C44" s="9" t="inlineStr">
        <is>
          <t>NVY-BLU-LTHER-AP-ARPD4</t>
        </is>
      </c>
      <c r="D44" s="7" t="n">
        <v>575</v>
      </c>
      <c r="E44" s="22" t="n">
        <v>0.029</v>
      </c>
      <c r="F44" s="23" t="inlineStr">
        <is>
          <t>W74 (vs W73)</t>
        </is>
      </c>
      <c r="G44" s="24" t="n">
        <v>0.341</v>
      </c>
      <c r="H44" s="25" t="n"/>
      <c r="I44" s="25" t="n"/>
      <c r="J44" s="26">
        <f>IF(OR(H44="",I44=""),"",((I44/H44)-1)/G44)</f>
        <v/>
      </c>
    </row>
    <row r="45">
      <c r="A45" s="9" t="inlineStr">
        <is>
          <t>Stands</t>
        </is>
      </c>
      <c r="B45" s="7" t="inlineStr">
        <is>
          <t>Tech</t>
        </is>
      </c>
      <c r="C45" s="9" t="inlineStr">
        <is>
          <t>SLAT-STCK-FLX-STND</t>
        </is>
      </c>
      <c r="D45" s="7" t="n">
        <v>3077</v>
      </c>
      <c r="E45" s="22" t="n">
        <v>0.156</v>
      </c>
      <c r="F45" s="23" t="inlineStr">
        <is>
          <t>W70 (vs W69)</t>
        </is>
      </c>
      <c r="G45" s="24" t="n">
        <v>0.143</v>
      </c>
      <c r="H45" s="25" t="n"/>
      <c r="I45" s="25" t="n"/>
      <c r="J45" s="26">
        <f>IF(OR(H45="",I45=""),"",((I45/H45)-1)/G45)</f>
        <v/>
      </c>
    </row>
    <row r="46">
      <c r="A46" s="9" t="inlineStr">
        <is>
          <t>Stands</t>
        </is>
      </c>
      <c r="B46" s="7" t="inlineStr">
        <is>
          <t>Tech</t>
        </is>
      </c>
      <c r="C46" s="9" t="inlineStr">
        <is>
          <t>KLMP-PHN-HLDR-DESTOP-SCREEN</t>
        </is>
      </c>
      <c r="D46" s="7" t="n">
        <v>2127</v>
      </c>
      <c r="E46" s="22" t="n">
        <v>0.108</v>
      </c>
      <c r="F46" s="23" t="inlineStr">
        <is>
          <t>W44 (vs W41)</t>
        </is>
      </c>
      <c r="G46" s="24" t="n">
        <v>0.128</v>
      </c>
      <c r="H46" s="25" t="n"/>
      <c r="I46" s="25" t="n"/>
      <c r="J46" s="26">
        <f>IF(OR(H46="",I46=""),"",((I46/H46)-1)/G46)</f>
        <v/>
      </c>
    </row>
    <row r="47">
      <c r="A47" s="9" t="inlineStr">
        <is>
          <t>Stands</t>
        </is>
      </c>
      <c r="B47" s="7" t="inlineStr">
        <is>
          <t>Tech</t>
        </is>
      </c>
      <c r="C47" s="9" t="inlineStr">
        <is>
          <t>MNT-STCK-FLX-STND</t>
        </is>
      </c>
      <c r="D47" s="7" t="n">
        <v>1466</v>
      </c>
      <c r="E47" s="22" t="n">
        <v>0.074</v>
      </c>
      <c r="F47" s="23" t="inlineStr">
        <is>
          <t>W70 (vs W69)</t>
        </is>
      </c>
      <c r="G47" s="24" t="n">
        <v>0.081</v>
      </c>
      <c r="H47" s="25" t="n"/>
      <c r="I47" s="25" t="n"/>
      <c r="J47" s="26">
        <f>IF(OR(H47="",I47=""),"",((I47/H47)-1)/G47)</f>
        <v/>
      </c>
    </row>
    <row r="48">
      <c r="A48" s="9" t="inlineStr">
        <is>
          <t>Watch Straps</t>
        </is>
      </c>
      <c r="B48" s="7" t="inlineStr">
        <is>
          <t>Non-Tech</t>
        </is>
      </c>
      <c r="C48" s="9" t="inlineStr">
        <is>
          <t>BLK-MLES-LOP-2-0-AP-IWTCH-STRP-42</t>
        </is>
      </c>
      <c r="D48" s="7" t="n">
        <v>6534</v>
      </c>
      <c r="E48" s="22" t="n">
        <v>0.043</v>
      </c>
      <c r="F48" s="23" t="inlineStr">
        <is>
          <t>W12 (vs W11)</t>
        </is>
      </c>
      <c r="G48" s="24" t="n">
        <v>0.104</v>
      </c>
      <c r="H48" s="25" t="n"/>
      <c r="I48" s="25" t="n"/>
      <c r="J48" s="26">
        <f>IF(OR(H48="",I48=""),"",((I48/H48)-1)/G48)</f>
        <v/>
      </c>
    </row>
    <row r="49">
      <c r="A49" s="9" t="inlineStr">
        <is>
          <t>Watch Straps</t>
        </is>
      </c>
      <c r="B49" s="7" t="inlineStr">
        <is>
          <t>Non-Tech</t>
        </is>
      </c>
      <c r="C49" s="9" t="inlineStr">
        <is>
          <t>BLK-MLES-LOP-2-0-AP-IWTCH-STRP-42</t>
        </is>
      </c>
      <c r="D49" s="7" t="n">
        <v>6534</v>
      </c>
      <c r="E49" s="22" t="n">
        <v>0.043</v>
      </c>
      <c r="F49" s="23" t="inlineStr">
        <is>
          <t>W49 (vs W48)</t>
        </is>
      </c>
      <c r="G49" s="24" t="n">
        <v>0.312</v>
      </c>
      <c r="H49" s="25" t="n"/>
      <c r="I49" s="25" t="n"/>
      <c r="J49" s="26">
        <f>IF(OR(H49="",I49=""),"",((I49/H49)-1)/G49)</f>
        <v/>
      </c>
    </row>
    <row r="50">
      <c r="A50" s="9" t="inlineStr">
        <is>
          <t>Watch Straps</t>
        </is>
      </c>
      <c r="B50" s="7" t="inlineStr">
        <is>
          <t>Non-Tech</t>
        </is>
      </c>
      <c r="C50" s="9" t="inlineStr">
        <is>
          <t>BLK-MLES-LOP-2-0-AP-IWTCH-STRP-42</t>
        </is>
      </c>
      <c r="D50" s="7" t="n">
        <v>6534</v>
      </c>
      <c r="E50" s="22" t="n">
        <v>0.043</v>
      </c>
      <c r="F50" s="23" t="inlineStr">
        <is>
          <t>W56 (vs W55)</t>
        </is>
      </c>
      <c r="G50" s="24" t="n">
        <v>0.212</v>
      </c>
      <c r="H50" s="25" t="n"/>
      <c r="I50" s="25" t="n"/>
      <c r="J50" s="26">
        <f>IF(OR(H50="",I50=""),"",((I50/H50)-1)/G50)</f>
        <v/>
      </c>
    </row>
    <row r="51">
      <c r="A51" s="9" t="inlineStr">
        <is>
          <t>Watch Straps</t>
        </is>
      </c>
      <c r="B51" s="7" t="inlineStr">
        <is>
          <t>Non-Tech</t>
        </is>
      </c>
      <c r="C51" s="9" t="inlineStr">
        <is>
          <t>NTURL-MLES-LOP-2-0-AP-IWTCH-STRP-42</t>
        </is>
      </c>
      <c r="D51" s="7" t="n">
        <v>4766</v>
      </c>
      <c r="E51" s="22" t="n">
        <v>0.031</v>
      </c>
      <c r="F51" s="23" t="inlineStr">
        <is>
          <t>W12 (vs W11)</t>
        </is>
      </c>
      <c r="G51" s="24" t="n">
        <v>0.104</v>
      </c>
      <c r="H51" s="25" t="n"/>
      <c r="I51" s="25" t="n"/>
      <c r="J51" s="26">
        <f>IF(OR(H51="",I51=""),"",((I51/H51)-1)/G51)</f>
        <v/>
      </c>
    </row>
    <row r="52">
      <c r="A52" s="9" t="inlineStr">
        <is>
          <t>Watch Straps</t>
        </is>
      </c>
      <c r="B52" s="7" t="inlineStr">
        <is>
          <t>Non-Tech</t>
        </is>
      </c>
      <c r="C52" s="9" t="inlineStr">
        <is>
          <t>NTURL-MLES-LOP-2-0-AP-IWTCH-STRP-42</t>
        </is>
      </c>
      <c r="D52" s="7" t="n">
        <v>4766</v>
      </c>
      <c r="E52" s="22" t="n">
        <v>0.031</v>
      </c>
      <c r="F52" s="23" t="inlineStr">
        <is>
          <t>W49 (vs W48)</t>
        </is>
      </c>
      <c r="G52" s="24" t="n">
        <v>0.301</v>
      </c>
      <c r="H52" s="25" t="n"/>
      <c r="I52" s="25" t="n"/>
      <c r="J52" s="26">
        <f>IF(OR(H52="",I52=""),"",((I52/H52)-1)/G52)</f>
        <v/>
      </c>
    </row>
    <row r="53">
      <c r="A53" s="9" t="inlineStr">
        <is>
          <t>Watch Straps</t>
        </is>
      </c>
      <c r="B53" s="7" t="inlineStr">
        <is>
          <t>Non-Tech</t>
        </is>
      </c>
      <c r="C53" s="9" t="inlineStr">
        <is>
          <t>NTURL-MLES-LOP-2-0-AP-IWTCH-STRP-42</t>
        </is>
      </c>
      <c r="D53" s="7" t="n">
        <v>4766</v>
      </c>
      <c r="E53" s="22" t="n">
        <v>0.031</v>
      </c>
      <c r="F53" s="23" t="inlineStr">
        <is>
          <t>W55 (vs W54)</t>
        </is>
      </c>
      <c r="G53" s="24" t="n">
        <v>0.168</v>
      </c>
      <c r="H53" s="25" t="n"/>
      <c r="I53" s="25" t="n"/>
      <c r="J53" s="26">
        <f>IF(OR(H53="",I53=""),"",((I53/H53)-1)/G53)</f>
        <v/>
      </c>
    </row>
    <row r="54">
      <c r="A54" s="9" t="inlineStr">
        <is>
          <t>Watch Straps</t>
        </is>
      </c>
      <c r="B54" s="7" t="inlineStr">
        <is>
          <t>Non-Tech</t>
        </is>
      </c>
      <c r="C54" s="9" t="inlineStr">
        <is>
          <t>ROSE-GLD-MGT-MLES-LOP-APL-IWTCH-STRP-38</t>
        </is>
      </c>
      <c r="D54" s="7" t="n">
        <v>4220</v>
      </c>
      <c r="E54" s="22" t="n">
        <v>0.028</v>
      </c>
      <c r="F54" s="23" t="inlineStr">
        <is>
          <t>W12 (vs W11)</t>
        </is>
      </c>
      <c r="G54" s="24" t="n">
        <v>0.109</v>
      </c>
      <c r="H54" s="25" t="n"/>
      <c r="I54" s="25" t="n"/>
      <c r="J54" s="26">
        <f>IF(OR(H54="",I54=""),"",((I54/H54)-1)/G54)</f>
        <v/>
      </c>
    </row>
    <row r="55">
      <c r="A55" s="9" t="inlineStr">
        <is>
          <t>Watch Straps</t>
        </is>
      </c>
      <c r="B55" s="7" t="inlineStr">
        <is>
          <t>Non-Tech</t>
        </is>
      </c>
      <c r="C55" s="9" t="inlineStr">
        <is>
          <t>ROSE-GLD-MGT-MLES-LOP-APL-IWTCH-STRP-38</t>
        </is>
      </c>
      <c r="D55" s="7" t="n">
        <v>4220</v>
      </c>
      <c r="E55" s="22" t="n">
        <v>0.028</v>
      </c>
      <c r="F55" s="23" t="inlineStr">
        <is>
          <t>W56 (vs W55)</t>
        </is>
      </c>
      <c r="G55" s="24" t="n">
        <v>0.196</v>
      </c>
      <c r="H55" s="25" t="n"/>
      <c r="I55" s="25" t="n"/>
      <c r="J55" s="26">
        <f>IF(OR(H55="",I55=""),"",((I55/H55)-1)/G55)</f>
        <v/>
      </c>
    </row>
    <row r="56">
      <c r="A56" s="9" t="inlineStr">
        <is>
          <t>Watch Straps</t>
        </is>
      </c>
      <c r="B56" s="7" t="inlineStr">
        <is>
          <t>Non-Tech</t>
        </is>
      </c>
      <c r="C56" s="9" t="inlineStr">
        <is>
          <t>ROSE-GLD-MGT-MLES-LOP-APL-IWTCH-STRP-38</t>
        </is>
      </c>
      <c r="D56" s="7" t="n">
        <v>4220</v>
      </c>
      <c r="E56" s="22" t="n">
        <v>0.028</v>
      </c>
      <c r="F56" s="23" t="inlineStr">
        <is>
          <t>W68 (vs W67)</t>
        </is>
      </c>
      <c r="G56" s="24" t="n">
        <v>0.144</v>
      </c>
      <c r="H56" s="25" t="n"/>
      <c r="I56" s="25" t="n"/>
      <c r="J56" s="26">
        <f>IF(OR(H56="",I56=""),"",((I56/H56)-1)/G56)</f>
        <v/>
      </c>
    </row>
    <row r="57">
      <c r="A57" s="9" t="inlineStr">
        <is>
          <t>Watch Straps</t>
        </is>
      </c>
      <c r="B57" s="7" t="inlineStr">
        <is>
          <t>Non-Tech</t>
        </is>
      </c>
      <c r="C57" s="9" t="inlineStr">
        <is>
          <t>SPCEBLK-MGT-MLES-LOP-APL-IWTCH-STRP-42</t>
        </is>
      </c>
      <c r="D57" s="7" t="n">
        <v>3042</v>
      </c>
      <c r="E57" s="22" t="n">
        <v>0.02</v>
      </c>
      <c r="F57" s="23" t="inlineStr">
        <is>
          <t>W11 (vs W10)</t>
        </is>
      </c>
      <c r="G57" s="24" t="n">
        <v>0.11</v>
      </c>
      <c r="H57" s="25" t="n"/>
      <c r="I57" s="25" t="n"/>
      <c r="J57" s="26">
        <f>IF(OR(H57="",I57=""),"",((I57/H57)-1)/G57)</f>
        <v/>
      </c>
    </row>
    <row r="58">
      <c r="A58" s="9" t="inlineStr">
        <is>
          <t>Watch Straps</t>
        </is>
      </c>
      <c r="B58" s="7" t="inlineStr">
        <is>
          <t>Non-Tech</t>
        </is>
      </c>
      <c r="C58" s="9" t="inlineStr">
        <is>
          <t>SPCEBLK-MGT-MLES-LOP-APL-IWTCH-STRP-42</t>
        </is>
      </c>
      <c r="D58" s="7" t="n">
        <v>3042</v>
      </c>
      <c r="E58" s="22" t="n">
        <v>0.02</v>
      </c>
      <c r="F58" s="23" t="inlineStr">
        <is>
          <t>W57 (vs W56)</t>
        </is>
      </c>
      <c r="G58" s="24" t="n">
        <v>0.247</v>
      </c>
      <c r="H58" s="25" t="n"/>
      <c r="I58" s="25" t="n"/>
      <c r="J58" s="26">
        <f>IF(OR(H58="",I58=""),"",((I58/H58)-1)/G58)</f>
        <v/>
      </c>
    </row>
    <row r="59">
      <c r="A59" s="9" t="inlineStr">
        <is>
          <t>Watch Straps</t>
        </is>
      </c>
      <c r="B59" s="7" t="inlineStr">
        <is>
          <t>Non-Tech</t>
        </is>
      </c>
      <c r="C59" s="9" t="inlineStr">
        <is>
          <t>ORNG-BEGE-PULTB-NYLNWEV-AP-WTCH-STRP-42</t>
        </is>
      </c>
      <c r="D59" s="7" t="n">
        <v>2569</v>
      </c>
      <c r="E59" s="22" t="n">
        <v>0.017</v>
      </c>
      <c r="F59" s="23" t="inlineStr">
        <is>
          <t>W12 (vs W11)</t>
        </is>
      </c>
      <c r="G59" s="24" t="n">
        <v>0.103</v>
      </c>
      <c r="H59" s="25" t="n"/>
      <c r="I59" s="25" t="n"/>
      <c r="J59" s="26">
        <f>IF(OR(H59="",I59=""),"",((I59/H59)-1)/G59)</f>
        <v/>
      </c>
    </row>
    <row r="60">
      <c r="A60" s="9" t="inlineStr">
        <is>
          <t>Watch Straps</t>
        </is>
      </c>
      <c r="B60" s="7" t="inlineStr">
        <is>
          <t>Non-Tech</t>
        </is>
      </c>
      <c r="C60" s="9" t="inlineStr">
        <is>
          <t>BLK-VELUR-SNPON-APL-WATCH-STRP-42</t>
        </is>
      </c>
      <c r="D60" s="7" t="n">
        <v>2493</v>
      </c>
      <c r="E60" s="22" t="n">
        <v>0.016</v>
      </c>
      <c r="F60" s="23" t="inlineStr">
        <is>
          <t>W12 (vs W11)</t>
        </is>
      </c>
      <c r="G60" s="24" t="n">
        <v>0.156</v>
      </c>
      <c r="H60" s="25" t="n"/>
      <c r="I60" s="25" t="n"/>
      <c r="J60" s="26">
        <f>IF(OR(H60="",I60=""),"",((I60/H60)-1)/G60)</f>
        <v/>
      </c>
    </row>
    <row r="61">
      <c r="A61" s="9" t="inlineStr">
        <is>
          <t>Watch Straps</t>
        </is>
      </c>
      <c r="B61" s="7" t="inlineStr">
        <is>
          <t>Non-Tech</t>
        </is>
      </c>
      <c r="C61" s="9" t="inlineStr">
        <is>
          <t>BLK-VELUR-SNPON-APL-WATCH-STRP-42</t>
        </is>
      </c>
      <c r="D61" s="7" t="n">
        <v>2493</v>
      </c>
      <c r="E61" s="22" t="n">
        <v>0.016</v>
      </c>
      <c r="F61" s="23" t="inlineStr">
        <is>
          <t>W49 (vs W48)</t>
        </is>
      </c>
      <c r="G61" s="24" t="n">
        <v>0.429</v>
      </c>
      <c r="H61" s="25" t="n"/>
      <c r="I61" s="25" t="n"/>
      <c r="J61" s="26">
        <f>IF(OR(H61="",I61=""),"",((I61/H61)-1)/G61)</f>
        <v/>
      </c>
    </row>
    <row r="62">
      <c r="A62" s="9" t="inlineStr">
        <is>
          <t>Watch Straps</t>
        </is>
      </c>
      <c r="B62" s="7" t="inlineStr">
        <is>
          <t>Non-Tech</t>
        </is>
      </c>
      <c r="C62" s="9" t="inlineStr">
        <is>
          <t>BLK-VELUR-SNPON-APL-WATCH-STRP-42</t>
        </is>
      </c>
      <c r="D62" s="7" t="n">
        <v>2493</v>
      </c>
      <c r="E62" s="22" t="n">
        <v>0.016</v>
      </c>
      <c r="F62" s="23" t="inlineStr">
        <is>
          <t>W70 (vs W69)</t>
        </is>
      </c>
      <c r="G62" s="24" t="n">
        <v>0.27</v>
      </c>
      <c r="H62" s="25" t="n"/>
      <c r="I62" s="25" t="n"/>
      <c r="J62" s="26">
        <f>IF(OR(H62="",I62=""),"",((I62/H62)-1)/G62)</f>
        <v/>
      </c>
    </row>
    <row r="63">
      <c r="A63" s="9" t="inlineStr">
        <is>
          <t>Watch Straps</t>
        </is>
      </c>
      <c r="B63" s="7" t="inlineStr">
        <is>
          <t>Non-Tech</t>
        </is>
      </c>
      <c r="C63" s="9" t="inlineStr">
        <is>
          <t>BLK-PULTAB-NYLN-WEV-AP-WTCH-STRP-42</t>
        </is>
      </c>
      <c r="D63" s="7" t="n">
        <v>2272</v>
      </c>
      <c r="E63" s="22" t="n">
        <v>0.015</v>
      </c>
      <c r="F63" s="23" t="inlineStr">
        <is>
          <t>W12 (vs W11)</t>
        </is>
      </c>
      <c r="G63" s="24" t="n">
        <v>0.12</v>
      </c>
      <c r="H63" s="25" t="n"/>
      <c r="I63" s="25" t="n"/>
      <c r="J63" s="26">
        <f>IF(OR(H63="",I63=""),"",((I63/H63)-1)/G63)</f>
        <v/>
      </c>
    </row>
    <row r="64">
      <c r="A64" s="9" t="inlineStr">
        <is>
          <t>Watch Straps</t>
        </is>
      </c>
      <c r="B64" s="7" t="inlineStr">
        <is>
          <t>Non-Tech</t>
        </is>
      </c>
      <c r="C64" s="9" t="inlineStr">
        <is>
          <t>BLK-BRD-SOLO-LOOP-APL-IWATCH-STRP-42</t>
        </is>
      </c>
      <c r="D64" s="7" t="n">
        <v>2121</v>
      </c>
      <c r="E64" s="22" t="n">
        <v>0.014</v>
      </c>
      <c r="F64" s="23" t="inlineStr">
        <is>
          <t>W12 (vs W11)</t>
        </is>
      </c>
      <c r="G64" s="24" t="n">
        <v>0.08599999999999999</v>
      </c>
      <c r="H64" s="25" t="n"/>
      <c r="I64" s="25" t="n"/>
      <c r="J64" s="26">
        <f>IF(OR(H64="",I64=""),"",((I64/H64)-1)/G64)</f>
        <v/>
      </c>
    </row>
    <row r="65">
      <c r="A65" s="9" t="inlineStr">
        <is>
          <t>Watch Straps</t>
        </is>
      </c>
      <c r="B65" s="7" t="inlineStr">
        <is>
          <t>Non-Tech</t>
        </is>
      </c>
      <c r="C65" s="9" t="inlineStr">
        <is>
          <t>ROSE-GLD-MGT-MLES-LOP-APL-IWTCH-STRP-42</t>
        </is>
      </c>
      <c r="D65" s="7" t="n">
        <v>2111</v>
      </c>
      <c r="E65" s="22" t="n">
        <v>0.014</v>
      </c>
      <c r="F65" s="23" t="inlineStr">
        <is>
          <t>W12 (vs W11)</t>
        </is>
      </c>
      <c r="G65" s="24" t="n">
        <v>0.101</v>
      </c>
      <c r="H65" s="25" t="n"/>
      <c r="I65" s="25" t="n"/>
      <c r="J65" s="26">
        <f>IF(OR(H65="",I65=""),"",((I65/H65)-1)/G65)</f>
        <v/>
      </c>
    </row>
    <row r="66">
      <c r="A66" s="9" t="inlineStr">
        <is>
          <t>Watch Straps</t>
        </is>
      </c>
      <c r="B66" s="7" t="inlineStr">
        <is>
          <t>Non-Tech</t>
        </is>
      </c>
      <c r="C66" s="9" t="inlineStr">
        <is>
          <t>ROSE-GLD-MGT-MLES-LOP-APL-IWTCH-STRP-42</t>
        </is>
      </c>
      <c r="D66" s="7" t="n">
        <v>2111</v>
      </c>
      <c r="E66" s="22" t="n">
        <v>0.014</v>
      </c>
      <c r="F66" s="23" t="inlineStr">
        <is>
          <t>W44 (vs W41)</t>
        </is>
      </c>
      <c r="G66" s="24" t="n">
        <v>0.465</v>
      </c>
      <c r="H66" s="25" t="n"/>
      <c r="I66" s="25" t="n"/>
      <c r="J66" s="26">
        <f>IF(OR(H66="",I66=""),"",((I66/H66)-1)/G66)</f>
        <v/>
      </c>
    </row>
    <row r="67">
      <c r="A67" s="9" t="inlineStr">
        <is>
          <t>Watch Straps</t>
        </is>
      </c>
      <c r="B67" s="7" t="inlineStr">
        <is>
          <t>Non-Tech</t>
        </is>
      </c>
      <c r="C67" s="9" t="inlineStr">
        <is>
          <t>ROSE-GLD-MGT-MLES-LOP-APL-IWTCH-STRP-42</t>
        </is>
      </c>
      <c r="D67" s="7" t="n">
        <v>2111</v>
      </c>
      <c r="E67" s="22" t="n">
        <v>0.014</v>
      </c>
      <c r="F67" s="23" t="inlineStr">
        <is>
          <t>W56 (vs W55)</t>
        </is>
      </c>
      <c r="G67" s="24" t="n">
        <v>0.256</v>
      </c>
      <c r="H67" s="25" t="n"/>
      <c r="I67" s="25" t="n"/>
      <c r="J67" s="26">
        <f>IF(OR(H67="",I67=""),"",((I67/H67)-1)/G67)</f>
        <v/>
      </c>
    </row>
    <row r="68">
      <c r="A68" s="9" t="inlineStr">
        <is>
          <t>Watch Straps</t>
        </is>
      </c>
      <c r="B68" s="7" t="inlineStr">
        <is>
          <t>Non-Tech</t>
        </is>
      </c>
      <c r="C68" s="9" t="inlineStr">
        <is>
          <t>GRPHT-MGT-MLES-LOP-APL-IWTCH-STRP-42</t>
        </is>
      </c>
      <c r="D68" s="7" t="n">
        <v>1693</v>
      </c>
      <c r="E68" s="22" t="n">
        <v>0.011</v>
      </c>
      <c r="F68" s="23" t="inlineStr">
        <is>
          <t>W12 (vs W11)</t>
        </is>
      </c>
      <c r="G68" s="24" t="n">
        <v>0.111</v>
      </c>
      <c r="H68" s="25" t="n"/>
      <c r="I68" s="25" t="n"/>
      <c r="J68" s="26">
        <f>IF(OR(H68="",I68=""),"",((I68/H68)-1)/G68)</f>
        <v/>
      </c>
    </row>
    <row r="69">
      <c r="A69" s="9" t="inlineStr">
        <is>
          <t>Watch Straps</t>
        </is>
      </c>
      <c r="B69" s="7" t="inlineStr">
        <is>
          <t>Non-Tech</t>
        </is>
      </c>
      <c r="C69" s="9" t="inlineStr">
        <is>
          <t>GRPHT-MGT-MLES-LOP-APL-IWTCH-STRP-42</t>
        </is>
      </c>
      <c r="D69" s="7" t="n">
        <v>1693</v>
      </c>
      <c r="E69" s="22" t="n">
        <v>0.011</v>
      </c>
      <c r="F69" s="23" t="inlineStr">
        <is>
          <t>W56 (vs W55)</t>
        </is>
      </c>
      <c r="G69" s="24" t="n">
        <v>0.145</v>
      </c>
      <c r="H69" s="25" t="n"/>
      <c r="I69" s="25" t="n"/>
      <c r="J69" s="26">
        <f>IF(OR(H69="",I69=""),"",((I69/H69)-1)/G69)</f>
        <v/>
      </c>
    </row>
    <row r="70">
      <c r="A70" s="9" t="inlineStr">
        <is>
          <t>Laptop Bags and Sleeves</t>
        </is>
      </c>
      <c r="B70" s="7" t="inlineStr">
        <is>
          <t>Non-Tech</t>
        </is>
      </c>
      <c r="C70" s="9" t="inlineStr">
        <is>
          <t>CRBN-BLK-STRA-SLEVE-MED</t>
        </is>
      </c>
      <c r="D70" s="7" t="n">
        <v>5360</v>
      </c>
      <c r="E70" s="22" t="n">
        <v>0.109</v>
      </c>
      <c r="F70" s="23" t="inlineStr">
        <is>
          <t>W10 (vs W9)</t>
        </is>
      </c>
      <c r="G70" s="24" t="n">
        <v>0.102</v>
      </c>
      <c r="H70" s="25" t="n"/>
      <c r="I70" s="25" t="n"/>
      <c r="J70" s="26">
        <f>IF(OR(H70="",I70=""),"",((I70/H70)-1)/G70)</f>
        <v/>
      </c>
    </row>
    <row r="71">
      <c r="A71" s="9" t="inlineStr">
        <is>
          <t>Laptop Bags and Sleeves</t>
        </is>
      </c>
      <c r="B71" s="7" t="inlineStr">
        <is>
          <t>Non-Tech</t>
        </is>
      </c>
      <c r="C71" s="9" t="inlineStr">
        <is>
          <t>CRBN-BLK-STRA-SLEVE-MED</t>
        </is>
      </c>
      <c r="D71" s="7" t="n">
        <v>5360</v>
      </c>
      <c r="E71" s="22" t="n">
        <v>0.109</v>
      </c>
      <c r="F71" s="23" t="inlineStr">
        <is>
          <t>W26 (vs W25)</t>
        </is>
      </c>
      <c r="G71" s="24" t="n">
        <v>0.09</v>
      </c>
      <c r="H71" s="25" t="n"/>
      <c r="I71" s="25" t="n"/>
      <c r="J71" s="26">
        <f>IF(OR(H71="",I71=""),"",((I71/H71)-1)/G71)</f>
        <v/>
      </c>
    </row>
    <row r="72">
      <c r="A72" s="9" t="inlineStr">
        <is>
          <t>Laptop Bags and Sleeves</t>
        </is>
      </c>
      <c r="B72" s="7" t="inlineStr">
        <is>
          <t>Non-Tech</t>
        </is>
      </c>
      <c r="C72" s="9" t="inlineStr">
        <is>
          <t>CRBN-BLK-STRA-SLEVE-MED</t>
        </is>
      </c>
      <c r="D72" s="7" t="n">
        <v>5360</v>
      </c>
      <c r="E72" s="22" t="n">
        <v>0.109</v>
      </c>
      <c r="F72" s="23" t="inlineStr">
        <is>
          <t>W41 (vs W40)</t>
        </is>
      </c>
      <c r="G72" s="24" t="n">
        <v>0.133</v>
      </c>
      <c r="H72" s="25" t="n"/>
      <c r="I72" s="25" t="n"/>
      <c r="J72" s="26">
        <f>IF(OR(H72="",I72=""),"",((I72/H72)-1)/G72)</f>
        <v/>
      </c>
    </row>
    <row r="73">
      <c r="A73" s="9" t="inlineStr">
        <is>
          <t>Laptop Bags and Sleeves</t>
        </is>
      </c>
      <c r="B73" s="7" t="inlineStr">
        <is>
          <t>Non-Tech</t>
        </is>
      </c>
      <c r="C73" s="9" t="inlineStr">
        <is>
          <t>SPCE-BLUE-STRA-SLEVE-MED</t>
        </is>
      </c>
      <c r="D73" s="7" t="n">
        <v>2954</v>
      </c>
      <c r="E73" s="22" t="n">
        <v>0.06</v>
      </c>
      <c r="F73" s="23" t="inlineStr">
        <is>
          <t>W7 (vs W6)</t>
        </is>
      </c>
      <c r="G73" s="24" t="n">
        <v>0.08400000000000001</v>
      </c>
      <c r="H73" s="25" t="n"/>
      <c r="I73" s="25" t="n"/>
      <c r="J73" s="26">
        <f>IF(OR(H73="",I73=""),"",((I73/H73)-1)/G73)</f>
        <v/>
      </c>
    </row>
    <row r="74">
      <c r="A74" s="9" t="inlineStr">
        <is>
          <t>Laptop Bags and Sleeves</t>
        </is>
      </c>
      <c r="B74" s="7" t="inlineStr">
        <is>
          <t>Non-Tech</t>
        </is>
      </c>
      <c r="C74" s="9" t="inlineStr">
        <is>
          <t>SPCE-BLUE-STRA-SLEVE-MED</t>
        </is>
      </c>
      <c r="D74" s="7" t="n">
        <v>2954</v>
      </c>
      <c r="E74" s="22" t="n">
        <v>0.06</v>
      </c>
      <c r="F74" s="23" t="inlineStr">
        <is>
          <t>W26 (vs W25)</t>
        </is>
      </c>
      <c r="G74" s="24" t="n">
        <v>0.091</v>
      </c>
      <c r="H74" s="25" t="n"/>
      <c r="I74" s="25" t="n"/>
      <c r="J74" s="26">
        <f>IF(OR(H74="",I74=""),"",((I74/H74)-1)/G74)</f>
        <v/>
      </c>
    </row>
    <row r="75">
      <c r="A75" s="9" t="inlineStr">
        <is>
          <t>Laptop Bags and Sleeves</t>
        </is>
      </c>
      <c r="B75" s="7" t="inlineStr">
        <is>
          <t>Non-Tech</t>
        </is>
      </c>
      <c r="C75" s="9" t="inlineStr">
        <is>
          <t>SPCE-BLUE-STRA-SLEVE-MED</t>
        </is>
      </c>
      <c r="D75" s="7" t="n">
        <v>2954</v>
      </c>
      <c r="E75" s="22" t="n">
        <v>0.06</v>
      </c>
      <c r="F75" s="23" t="inlineStr">
        <is>
          <t>W41 (vs W40)</t>
        </is>
      </c>
      <c r="G75" s="24" t="n">
        <v>0.142</v>
      </c>
      <c r="H75" s="25" t="n"/>
      <c r="I75" s="25" t="n"/>
      <c r="J75" s="26">
        <f>IF(OR(H75="",I75=""),"",((I75/H75)-1)/G75)</f>
        <v/>
      </c>
    </row>
    <row r="76">
      <c r="A76" s="9" t="inlineStr">
        <is>
          <t>Laptop Bags and Sleeves</t>
        </is>
      </c>
      <c r="B76" s="7" t="inlineStr">
        <is>
          <t>Non-Tech</t>
        </is>
      </c>
      <c r="C76" s="9" t="inlineStr">
        <is>
          <t>CRNL-LVE-STRA-SLEVE-MED</t>
        </is>
      </c>
      <c r="D76" s="7" t="n">
        <v>2268</v>
      </c>
      <c r="E76" s="22" t="n">
        <v>0.046</v>
      </c>
      <c r="F76" s="23" t="inlineStr">
        <is>
          <t>W44 (vs W41)</t>
        </is>
      </c>
      <c r="G76" s="24" t="n">
        <v>0.131</v>
      </c>
      <c r="H76" s="25" t="n"/>
      <c r="I76" s="25" t="n"/>
      <c r="J76" s="26">
        <f>IF(OR(H76="",I76=""),"",((I76/H76)-1)/G76)</f>
        <v/>
      </c>
    </row>
    <row r="77">
      <c r="A77" s="9" t="inlineStr">
        <is>
          <t>Laptop Bags and Sleeves</t>
        </is>
      </c>
      <c r="B77" s="7" t="inlineStr">
        <is>
          <t>Non-Tech</t>
        </is>
      </c>
      <c r="C77" s="9" t="inlineStr">
        <is>
          <t>CRBN-BLK-STRA-SLEVE-LARGE</t>
        </is>
      </c>
      <c r="D77" s="7" t="n">
        <v>2106</v>
      </c>
      <c r="E77" s="22" t="n">
        <v>0.043</v>
      </c>
      <c r="F77" s="23" t="inlineStr">
        <is>
          <t>W5 (vs W2)</t>
        </is>
      </c>
      <c r="G77" s="24" t="n">
        <v>0.137</v>
      </c>
      <c r="H77" s="25" t="n"/>
      <c r="I77" s="25" t="n"/>
      <c r="J77" s="26">
        <f>IF(OR(H77="",I77=""),"",((I77/H77)-1)/G77)</f>
        <v/>
      </c>
    </row>
    <row r="78">
      <c r="A78" s="9" t="inlineStr">
        <is>
          <t>Laptop Bags and Sleeves</t>
        </is>
      </c>
      <c r="B78" s="7" t="inlineStr">
        <is>
          <t>Non-Tech</t>
        </is>
      </c>
      <c r="C78" s="9" t="inlineStr">
        <is>
          <t>CRBN-BLK-STRA-SLEVE-LARGE</t>
        </is>
      </c>
      <c r="D78" s="7" t="n">
        <v>2106</v>
      </c>
      <c r="E78" s="22" t="n">
        <v>0.043</v>
      </c>
      <c r="F78" s="23" t="inlineStr">
        <is>
          <t>W22 (vs W21)</t>
        </is>
      </c>
      <c r="G78" s="24" t="n">
        <v>0.08400000000000001</v>
      </c>
      <c r="H78" s="25" t="n"/>
      <c r="I78" s="25" t="n"/>
      <c r="J78" s="26">
        <f>IF(OR(H78="",I78=""),"",((I78/H78)-1)/G78)</f>
        <v/>
      </c>
    </row>
    <row r="79">
      <c r="A79" s="9" t="inlineStr">
        <is>
          <t>Laptop Bags and Sleeves</t>
        </is>
      </c>
      <c r="B79" s="7" t="inlineStr">
        <is>
          <t>Non-Tech</t>
        </is>
      </c>
      <c r="C79" s="9" t="inlineStr">
        <is>
          <t>CRBN-BLK-STRA-SLEVE-LARGE</t>
        </is>
      </c>
      <c r="D79" s="7" t="n">
        <v>2106</v>
      </c>
      <c r="E79" s="22" t="n">
        <v>0.043</v>
      </c>
      <c r="F79" s="23" t="inlineStr">
        <is>
          <t>W41 (vs W40)</t>
        </is>
      </c>
      <c r="G79" s="24" t="n">
        <v>0.122</v>
      </c>
      <c r="H79" s="25" t="n"/>
      <c r="I79" s="25" t="n"/>
      <c r="J79" s="26">
        <f>IF(OR(H79="",I79=""),"",((I79/H79)-1)/G79)</f>
        <v/>
      </c>
    </row>
    <row r="80">
      <c r="A80" s="9" t="inlineStr">
        <is>
          <t>Laptop Bags and Sleeves</t>
        </is>
      </c>
      <c r="B80" s="7" t="inlineStr">
        <is>
          <t>Non-Tech</t>
        </is>
      </c>
      <c r="C80" s="9" t="inlineStr">
        <is>
          <t>SLTE-GRAY-STRA-SLEVE-MED</t>
        </is>
      </c>
      <c r="D80" s="7" t="n">
        <v>1931</v>
      </c>
      <c r="E80" s="22" t="n">
        <v>0.039</v>
      </c>
      <c r="F80" s="23" t="inlineStr">
        <is>
          <t>W5 (vs W2)</t>
        </is>
      </c>
      <c r="G80" s="24" t="n">
        <v>0.116</v>
      </c>
      <c r="H80" s="25" t="n"/>
      <c r="I80" s="25" t="n"/>
      <c r="J80" s="26">
        <f>IF(OR(H80="",I80=""),"",((I80/H80)-1)/G80)</f>
        <v/>
      </c>
    </row>
    <row r="81">
      <c r="A81" s="9" t="inlineStr">
        <is>
          <t>Laptop Bags and Sleeves</t>
        </is>
      </c>
      <c r="B81" s="7" t="inlineStr">
        <is>
          <t>Non-Tech</t>
        </is>
      </c>
      <c r="C81" s="9" t="inlineStr">
        <is>
          <t>SLTE-GRAY-STRA-SLEVE-MED</t>
        </is>
      </c>
      <c r="D81" s="7" t="n">
        <v>1931</v>
      </c>
      <c r="E81" s="22" t="n">
        <v>0.039</v>
      </c>
      <c r="F81" s="23" t="inlineStr">
        <is>
          <t>W41 (vs W40)</t>
        </is>
      </c>
      <c r="G81" s="24" t="n">
        <v>0.144</v>
      </c>
      <c r="H81" s="25" t="n"/>
      <c r="I81" s="25" t="n"/>
      <c r="J81" s="26">
        <f>IF(OR(H81="",I81=""),"",((I81/H81)-1)/G81)</f>
        <v/>
      </c>
    </row>
    <row r="82">
      <c r="A82" s="9" t="inlineStr">
        <is>
          <t>Laptop Bags and Sleeves</t>
        </is>
      </c>
      <c r="B82" s="7" t="inlineStr">
        <is>
          <t>Non-Tech</t>
        </is>
      </c>
      <c r="C82" s="9" t="inlineStr">
        <is>
          <t>PINE-STRA-SLEVE-MED</t>
        </is>
      </c>
      <c r="D82" s="7" t="n">
        <v>1636</v>
      </c>
      <c r="E82" s="22" t="n">
        <v>0.033</v>
      </c>
      <c r="F82" s="23" t="inlineStr">
        <is>
          <t>W26 (vs W25)</t>
        </is>
      </c>
      <c r="G82" s="24" t="n">
        <v>0.095</v>
      </c>
      <c r="H82" s="25" t="n"/>
      <c r="I82" s="25" t="n"/>
      <c r="J82" s="26">
        <f>IF(OR(H82="",I82=""),"",((I82/H82)-1)/G82)</f>
        <v/>
      </c>
    </row>
    <row r="83">
      <c r="A83" s="9" t="inlineStr">
        <is>
          <t>Laptop Bags and Sleeves</t>
        </is>
      </c>
      <c r="B83" s="7" t="inlineStr">
        <is>
          <t>Non-Tech</t>
        </is>
      </c>
      <c r="C83" s="9" t="inlineStr">
        <is>
          <t>PINE-STRA-SLEVE-MED</t>
        </is>
      </c>
      <c r="D83" s="7" t="n">
        <v>1636</v>
      </c>
      <c r="E83" s="22" t="n">
        <v>0.033</v>
      </c>
      <c r="F83" s="23" t="inlineStr">
        <is>
          <t>W44 (vs W41)</t>
        </is>
      </c>
      <c r="G83" s="24" t="n">
        <v>0.091</v>
      </c>
      <c r="H83" s="25" t="n"/>
      <c r="I83" s="25" t="n"/>
      <c r="J83" s="26">
        <f>IF(OR(H83="",I83=""),"",((I83/H83)-1)/G83)</f>
        <v/>
      </c>
    </row>
    <row r="84">
      <c r="A84" s="9" t="inlineStr">
        <is>
          <t>Laptop Bags and Sleeves</t>
        </is>
      </c>
      <c r="B84" s="7" t="inlineStr">
        <is>
          <t>Non-Tech</t>
        </is>
      </c>
      <c r="C84" s="9" t="inlineStr">
        <is>
          <t>PINE-STRA-SLEVE-MED</t>
        </is>
      </c>
      <c r="D84" s="7" t="n">
        <v>1636</v>
      </c>
      <c r="E84" s="22" t="n">
        <v>0.033</v>
      </c>
      <c r="F84" s="23" t="inlineStr">
        <is>
          <t>W73 (vs W70)</t>
        </is>
      </c>
      <c r="G84" s="24" t="n">
        <v>0.108</v>
      </c>
      <c r="H84" s="25" t="n"/>
      <c r="I84" s="25" t="n"/>
      <c r="J84" s="26">
        <f>IF(OR(H84="",I84=""),"",((I84/H84)-1)/G84)</f>
        <v/>
      </c>
    </row>
    <row r="85">
      <c r="A85" s="9" t="inlineStr">
        <is>
          <t>Laptop Bags and Sleeves</t>
        </is>
      </c>
      <c r="B85" s="7" t="inlineStr">
        <is>
          <t>Non-Tech</t>
        </is>
      </c>
      <c r="C85" s="9" t="inlineStr">
        <is>
          <t>TANGRIN-STRA-SLEVE-MED</t>
        </is>
      </c>
      <c r="D85" s="7" t="n">
        <v>1235</v>
      </c>
      <c r="E85" s="22" t="n">
        <v>0.025</v>
      </c>
      <c r="F85" s="23" t="inlineStr">
        <is>
          <t>W41 (vs W40)</t>
        </is>
      </c>
      <c r="G85" s="24" t="n">
        <v>0.127</v>
      </c>
      <c r="H85" s="25" t="n"/>
      <c r="I85" s="25" t="n"/>
      <c r="J85" s="26">
        <f>IF(OR(H85="",I85=""),"",((I85/H85)-1)/G85)</f>
        <v/>
      </c>
    </row>
    <row r="86">
      <c r="A86" s="9" t="inlineStr">
        <is>
          <t>Laptop Bags and Sleeves</t>
        </is>
      </c>
      <c r="B86" s="7" t="inlineStr">
        <is>
          <t>Non-Tech</t>
        </is>
      </c>
      <c r="C86" s="9" t="inlineStr">
        <is>
          <t>TANGRIN-STRA-SLEVE-MED</t>
        </is>
      </c>
      <c r="D86" s="7" t="n">
        <v>1235</v>
      </c>
      <c r="E86" s="22" t="n">
        <v>0.025</v>
      </c>
      <c r="F86" s="23" t="inlineStr">
        <is>
          <t>W73 (vs W70)</t>
        </is>
      </c>
      <c r="G86" s="24" t="n">
        <v>0.091</v>
      </c>
      <c r="H86" s="25" t="n"/>
      <c r="I86" s="25" t="n"/>
      <c r="J86" s="26">
        <f>IF(OR(H86="",I86=""),"",((I86/H86)-1)/G86)</f>
        <v/>
      </c>
    </row>
    <row r="87">
      <c r="A87" s="9" t="inlineStr">
        <is>
          <t>Laptop Bags and Sleeves</t>
        </is>
      </c>
      <c r="B87" s="7" t="inlineStr">
        <is>
          <t>Non-Tech</t>
        </is>
      </c>
      <c r="C87" s="9" t="inlineStr">
        <is>
          <t>SL-E-SLIM-BLK-BLUE-DOB-MC-A13</t>
        </is>
      </c>
      <c r="D87" s="7" t="n">
        <v>1161</v>
      </c>
      <c r="E87" s="22" t="n">
        <v>0.024</v>
      </c>
      <c r="F87" s="23" t="inlineStr">
        <is>
          <t>W5 (vs W2)</t>
        </is>
      </c>
      <c r="G87" s="24" t="n">
        <v>0.08500000000000001</v>
      </c>
      <c r="H87" s="25" t="n"/>
      <c r="I87" s="25" t="n"/>
      <c r="J87" s="26">
        <f>IF(OR(H87="",I87=""),"",((I87/H87)-1)/G87)</f>
        <v/>
      </c>
    </row>
    <row r="88">
      <c r="A88" s="9" t="inlineStr">
        <is>
          <t>Laptop Bags and Sleeves</t>
        </is>
      </c>
      <c r="B88" s="7" t="inlineStr">
        <is>
          <t>Non-Tech</t>
        </is>
      </c>
      <c r="C88" s="9" t="inlineStr">
        <is>
          <t>SPCE-BLUE-STRA-SLEVE-LARGE</t>
        </is>
      </c>
      <c r="D88" s="7" t="n">
        <v>1073</v>
      </c>
      <c r="E88" s="22" t="n">
        <v>0.022</v>
      </c>
      <c r="F88" s="23" t="inlineStr">
        <is>
          <t>W44 (vs W41)</t>
        </is>
      </c>
      <c r="G88" s="24" t="n">
        <v>0.08699999999999999</v>
      </c>
      <c r="H88" s="25" t="n"/>
      <c r="I88" s="25" t="n"/>
      <c r="J88" s="26">
        <f>IF(OR(H88="",I88=""),"",((I88/H88)-1)/G88)</f>
        <v/>
      </c>
    </row>
    <row r="89">
      <c r="A89" s="9" t="inlineStr">
        <is>
          <t>Laptop Bags and Sleeves</t>
        </is>
      </c>
      <c r="B89" s="7" t="inlineStr">
        <is>
          <t>Non-Tech</t>
        </is>
      </c>
      <c r="C89" s="9" t="inlineStr">
        <is>
          <t>SPCE-BLUE-STRA-SLEVE-LARGE</t>
        </is>
      </c>
      <c r="D89" s="7" t="n">
        <v>1073</v>
      </c>
      <c r="E89" s="22" t="n">
        <v>0.022</v>
      </c>
      <c r="F89" s="23" t="inlineStr">
        <is>
          <t>W66 (vs W63)</t>
        </is>
      </c>
      <c r="G89" s="24" t="n">
        <v>0.15</v>
      </c>
      <c r="H89" s="25" t="n"/>
      <c r="I89" s="25" t="n"/>
      <c r="J89" s="26">
        <f>IF(OR(H89="",I89=""),"",((I89/H89)-1)/G89)</f>
        <v/>
      </c>
    </row>
    <row r="90">
      <c r="A90" s="9" t="inlineStr">
        <is>
          <t>Crossbody Bags</t>
        </is>
      </c>
      <c r="B90" s="7" t="inlineStr">
        <is>
          <t>Non-Tech</t>
        </is>
      </c>
      <c r="C90" s="9" t="inlineStr">
        <is>
          <t>CLVE-MRCH-CROSSBODY-BAG-LARG</t>
        </is>
      </c>
      <c r="D90" s="7" t="n">
        <v>2774</v>
      </c>
      <c r="E90" s="22" t="n">
        <v>0.066</v>
      </c>
      <c r="F90" s="23" t="inlineStr">
        <is>
          <t>W5 (vs W2)</t>
        </is>
      </c>
      <c r="G90" s="24" t="n">
        <v>0.107</v>
      </c>
      <c r="H90" s="25" t="n"/>
      <c r="I90" s="25" t="n"/>
      <c r="J90" s="26">
        <f>IF(OR(H90="",I90=""),"",((I90/H90)-1)/G90)</f>
        <v/>
      </c>
    </row>
    <row r="91">
      <c r="A91" s="9" t="inlineStr">
        <is>
          <t>Crossbody Bags</t>
        </is>
      </c>
      <c r="B91" s="7" t="inlineStr">
        <is>
          <t>Non-Tech</t>
        </is>
      </c>
      <c r="C91" s="9" t="inlineStr">
        <is>
          <t>KHKI-BGIE-MRCH-CROSSBODY-BAG-LARG</t>
        </is>
      </c>
      <c r="D91" s="7" t="n">
        <v>2707</v>
      </c>
      <c r="E91" s="22" t="n">
        <v>0.064</v>
      </c>
      <c r="F91" s="23" t="inlineStr">
        <is>
          <t>W5 (vs W2)</t>
        </is>
      </c>
      <c r="G91" s="24" t="n">
        <v>0.083</v>
      </c>
      <c r="H91" s="25" t="n"/>
      <c r="I91" s="25" t="n"/>
      <c r="J91" s="26">
        <f>IF(OR(H91="",I91=""),"",((I91/H91)-1)/G91)</f>
        <v/>
      </c>
    </row>
    <row r="92">
      <c r="A92" s="9" t="inlineStr">
        <is>
          <t>Crossbody Bags</t>
        </is>
      </c>
      <c r="B92" s="7" t="inlineStr">
        <is>
          <t>Non-Tech</t>
        </is>
      </c>
      <c r="C92" s="9" t="inlineStr">
        <is>
          <t>KHKI-BGIE-MRCH-CROSSBODY-BAG-LARG</t>
        </is>
      </c>
      <c r="D92" s="7" t="n">
        <v>2707</v>
      </c>
      <c r="E92" s="22" t="n">
        <v>0.064</v>
      </c>
      <c r="F92" s="23" t="inlineStr">
        <is>
          <t>W26 (vs W25)</t>
        </is>
      </c>
      <c r="G92" s="24" t="n">
        <v>0.157</v>
      </c>
      <c r="H92" s="25" t="n"/>
      <c r="I92" s="25" t="n"/>
      <c r="J92" s="26">
        <f>IF(OR(H92="",I92=""),"",((I92/H92)-1)/G92)</f>
        <v/>
      </c>
    </row>
    <row r="93">
      <c r="A93" s="9" t="inlineStr">
        <is>
          <t>Crossbody Bags</t>
        </is>
      </c>
      <c r="B93" s="7" t="inlineStr">
        <is>
          <t>Non-Tech</t>
        </is>
      </c>
      <c r="C93" s="9" t="inlineStr">
        <is>
          <t>MDNIT-BLU-MRCH-CROSSBODY-BAG-LARG</t>
        </is>
      </c>
      <c r="D93" s="7" t="n">
        <v>2355</v>
      </c>
      <c r="E93" s="22" t="n">
        <v>0.056</v>
      </c>
      <c r="F93" s="23" t="inlineStr">
        <is>
          <t>W5 (vs W2)</t>
        </is>
      </c>
      <c r="G93" s="24" t="n">
        <v>0.109</v>
      </c>
      <c r="H93" s="25" t="n"/>
      <c r="I93" s="25" t="n"/>
      <c r="J93" s="26">
        <f>IF(OR(H93="",I93=""),"",((I93/H93)-1)/G93)</f>
        <v/>
      </c>
    </row>
    <row r="94">
      <c r="A94" s="9" t="inlineStr">
        <is>
          <t>Crossbody Bags</t>
        </is>
      </c>
      <c r="B94" s="7" t="inlineStr">
        <is>
          <t>Non-Tech</t>
        </is>
      </c>
      <c r="C94" s="9" t="inlineStr">
        <is>
          <t>MDNIT-BLU-MRCH-CROSSBODY-BAG-LARG</t>
        </is>
      </c>
      <c r="D94" s="7" t="n">
        <v>2355</v>
      </c>
      <c r="E94" s="22" t="n">
        <v>0.056</v>
      </c>
      <c r="F94" s="23" t="inlineStr">
        <is>
          <t>W25 (vs W24)</t>
        </is>
      </c>
      <c r="G94" s="24" t="n">
        <v>0.083</v>
      </c>
      <c r="H94" s="25" t="n"/>
      <c r="I94" s="25" t="n"/>
      <c r="J94" s="26">
        <f>IF(OR(H94="",I94=""),"",((I94/H94)-1)/G94)</f>
        <v/>
      </c>
    </row>
    <row r="95">
      <c r="A95" s="9" t="inlineStr">
        <is>
          <t>Crossbody Bags</t>
        </is>
      </c>
      <c r="B95" s="7" t="inlineStr">
        <is>
          <t>Non-Tech</t>
        </is>
      </c>
      <c r="C95" s="9" t="inlineStr">
        <is>
          <t>FRST-GRN-MRCH-CROSSBODY-BAG-LARG</t>
        </is>
      </c>
      <c r="D95" s="7" t="n">
        <v>1470</v>
      </c>
      <c r="E95" s="22" t="n">
        <v>0.035</v>
      </c>
      <c r="F95" s="23" t="inlineStr">
        <is>
          <t>W5 (vs W2)</t>
        </is>
      </c>
      <c r="G95" s="24" t="n">
        <v>0.095</v>
      </c>
      <c r="H95" s="25" t="n"/>
      <c r="I95" s="25" t="n"/>
      <c r="J95" s="26">
        <f>IF(OR(H95="",I95=""),"",((I95/H95)-1)/G95)</f>
        <v/>
      </c>
    </row>
    <row r="96">
      <c r="A96" s="9" t="inlineStr">
        <is>
          <t>Crossbody Bags</t>
        </is>
      </c>
      <c r="B96" s="7" t="inlineStr">
        <is>
          <t>Non-Tech</t>
        </is>
      </c>
      <c r="C96" s="9" t="inlineStr">
        <is>
          <t>FRST-GRN-MRCH-CROSSBODY-BAG-LARG</t>
        </is>
      </c>
      <c r="D96" s="7" t="n">
        <v>1470</v>
      </c>
      <c r="E96" s="22" t="n">
        <v>0.035</v>
      </c>
      <c r="F96" s="23" t="inlineStr">
        <is>
          <t>W25 (vs W24)</t>
        </is>
      </c>
      <c r="G96" s="24" t="n">
        <v>0.092</v>
      </c>
      <c r="H96" s="25" t="n"/>
      <c r="I96" s="25" t="n"/>
      <c r="J96" s="26">
        <f>IF(OR(H96="",I96=""),"",((I96/H96)-1)/G96)</f>
        <v/>
      </c>
    </row>
    <row r="97">
      <c r="A97" s="9" t="inlineStr">
        <is>
          <t>Crossbody Bags</t>
        </is>
      </c>
      <c r="B97" s="7" t="inlineStr">
        <is>
          <t>Non-Tech</t>
        </is>
      </c>
      <c r="C97" s="9" t="inlineStr">
        <is>
          <t>IVRY-MRCH-CROSSBODY-BAG-LARG</t>
        </is>
      </c>
      <c r="D97" s="7" t="n">
        <v>1061</v>
      </c>
      <c r="E97" s="22" t="n">
        <v>0.025</v>
      </c>
      <c r="F97" s="23" t="inlineStr">
        <is>
          <t>W56 (vs W55)</t>
        </is>
      </c>
      <c r="G97" s="24" t="n">
        <v>0.08599999999999999</v>
      </c>
      <c r="H97" s="25" t="n"/>
      <c r="I97" s="25" t="n"/>
      <c r="J97" s="26">
        <f>IF(OR(H97="",I97=""),"",((I97/H97)-1)/G97)</f>
        <v/>
      </c>
    </row>
    <row r="98">
      <c r="A98" s="9" t="inlineStr">
        <is>
          <t>Tote Bags</t>
        </is>
      </c>
      <c r="B98" s="7" t="inlineStr">
        <is>
          <t>Non-Tech</t>
        </is>
      </c>
      <c r="C98" s="9" t="inlineStr">
        <is>
          <t>SPCE-BLUE-IDYL-DOB-TOTE-BAG</t>
        </is>
      </c>
      <c r="D98" s="7" t="n">
        <v>1323</v>
      </c>
      <c r="E98" s="22" t="n">
        <v>0.048</v>
      </c>
      <c r="F98" s="23" t="inlineStr">
        <is>
          <t>W41 (vs W40)</t>
        </is>
      </c>
      <c r="G98" s="24" t="n">
        <v>0.15</v>
      </c>
      <c r="H98" s="25" t="n"/>
      <c r="I98" s="25" t="n"/>
      <c r="J98" s="26">
        <f>IF(OR(H98="",I98=""),"",((I98/H98)-1)/G98)</f>
        <v/>
      </c>
    </row>
    <row r="99">
      <c r="A99" s="9" t="inlineStr">
        <is>
          <t>Tote Bags</t>
        </is>
      </c>
      <c r="B99" s="7" t="inlineStr">
        <is>
          <t>Non-Tech</t>
        </is>
      </c>
      <c r="C99" s="9" t="inlineStr">
        <is>
          <t>CRNL-LVE-IDYL-DOB-TOTE-BAG</t>
        </is>
      </c>
      <c r="D99" s="7" t="n">
        <v>1135</v>
      </c>
      <c r="E99" s="22" t="n">
        <v>0.041</v>
      </c>
      <c r="F99" s="23" t="inlineStr">
        <is>
          <t>W58 (vs W57)</t>
        </is>
      </c>
      <c r="G99" s="24" t="n">
        <v>0.095</v>
      </c>
      <c r="H99" s="25" t="n"/>
      <c r="I99" s="25" t="n"/>
      <c r="J99" s="26">
        <f>IF(OR(H99="",I99=""),"",((I99/H99)-1)/G99)</f>
        <v/>
      </c>
    </row>
    <row r="100">
      <c r="A100" s="9" t="inlineStr">
        <is>
          <t>Tote Bags</t>
        </is>
      </c>
      <c r="B100" s="7" t="inlineStr">
        <is>
          <t>Non-Tech</t>
        </is>
      </c>
      <c r="C100" s="9" t="inlineStr">
        <is>
          <t>SLATE-GREY-IDYL-DOB-TOTE-BAG</t>
        </is>
      </c>
      <c r="D100" s="7" t="n">
        <v>916</v>
      </c>
      <c r="E100" s="22" t="n">
        <v>0.033</v>
      </c>
      <c r="F100" s="23" t="inlineStr">
        <is>
          <t>W44 (vs W41)</t>
        </is>
      </c>
      <c r="G100" s="24" t="n">
        <v>0.102</v>
      </c>
      <c r="H100" s="25" t="n"/>
      <c r="I100" s="25" t="n"/>
      <c r="J100" s="26">
        <f>IF(OR(H100="",I100=""),"",((I100/H100)-1)/G100)</f>
        <v/>
      </c>
    </row>
    <row r="101">
      <c r="A101" s="9" t="inlineStr">
        <is>
          <t>Tote Bags</t>
        </is>
      </c>
      <c r="B101" s="7" t="inlineStr">
        <is>
          <t>Non-Tech</t>
        </is>
      </c>
      <c r="C101" s="9" t="inlineStr">
        <is>
          <t>FRST-GRN-NVY-FELD-TOTE-BAG</t>
        </is>
      </c>
      <c r="D101" s="7" t="n">
        <v>718</v>
      </c>
      <c r="E101" s="22" t="n">
        <v>0.026</v>
      </c>
      <c r="F101" s="23" t="inlineStr">
        <is>
          <t>W44 (vs W41)</t>
        </is>
      </c>
      <c r="G101" s="24" t="n">
        <v>0.089</v>
      </c>
      <c r="H101" s="25" t="n"/>
      <c r="I101" s="25" t="n"/>
      <c r="J101" s="26">
        <f>IF(OR(H101="",I101=""),"",((I101/H101)-1)/G101)</f>
        <v/>
      </c>
    </row>
    <row r="102">
      <c r="A102" s="9" t="inlineStr">
        <is>
          <t>Desks</t>
        </is>
      </c>
      <c r="B102" s="7" t="inlineStr">
        <is>
          <t>Non-Tech</t>
        </is>
      </c>
      <c r="C102" s="9" t="inlineStr">
        <is>
          <t>TURF-LETHER-DESK-MAT-TAN</t>
        </is>
      </c>
      <c r="D102" s="7" t="n">
        <v>11092</v>
      </c>
      <c r="E102" s="22" t="n">
        <v>0.22</v>
      </c>
      <c r="F102" s="23" t="inlineStr">
        <is>
          <t>W5 (vs W2)</t>
        </is>
      </c>
      <c r="G102" s="24" t="n">
        <v>0.14</v>
      </c>
      <c r="H102" s="25" t="n"/>
      <c r="I102" s="25" t="n"/>
      <c r="J102" s="26">
        <f>IF(OR(H102="",I102=""),"",((I102/H102)-1)/G102)</f>
        <v/>
      </c>
    </row>
    <row r="103">
      <c r="A103" s="9" t="inlineStr">
        <is>
          <t>Desks</t>
        </is>
      </c>
      <c r="B103" s="7" t="inlineStr">
        <is>
          <t>Non-Tech</t>
        </is>
      </c>
      <c r="C103" s="9" t="inlineStr">
        <is>
          <t>TURF-LETHER-DESK-MAT-TAN</t>
        </is>
      </c>
      <c r="D103" s="7" t="n">
        <v>11092</v>
      </c>
      <c r="E103" s="22" t="n">
        <v>0.22</v>
      </c>
      <c r="F103" s="23" t="inlineStr">
        <is>
          <t>W58 (vs W57)</t>
        </is>
      </c>
      <c r="G103" s="24" t="n">
        <v>0.08400000000000001</v>
      </c>
      <c r="H103" s="25" t="n"/>
      <c r="I103" s="25" t="n"/>
      <c r="J103" s="26">
        <f>IF(OR(H103="",I103=""),"",((I103/H103)-1)/G103)</f>
        <v/>
      </c>
    </row>
    <row r="104">
      <c r="A104" s="9" t="inlineStr">
        <is>
          <t>Desks</t>
        </is>
      </c>
      <c r="B104" s="7" t="inlineStr">
        <is>
          <t>Non-Tech</t>
        </is>
      </c>
      <c r="C104" s="9" t="inlineStr">
        <is>
          <t>TURF-LETHER-DESK-MAT-BLK</t>
        </is>
      </c>
      <c r="D104" s="7" t="n">
        <v>4569</v>
      </c>
      <c r="E104" s="22" t="n">
        <v>0.091</v>
      </c>
      <c r="F104" s="23" t="inlineStr">
        <is>
          <t>W44 (vs W41)</t>
        </is>
      </c>
      <c r="G104" s="24" t="n">
        <v>0.162</v>
      </c>
      <c r="H104" s="25" t="n"/>
      <c r="I104" s="25" t="n"/>
      <c r="J104" s="26">
        <f>IF(OR(H104="",I104=""),"",((I104/H104)-1)/G104)</f>
        <v/>
      </c>
    </row>
    <row r="105">
      <c r="A105" s="9" t="inlineStr">
        <is>
          <t>Desks</t>
        </is>
      </c>
      <c r="B105" s="7" t="inlineStr">
        <is>
          <t>Non-Tech</t>
        </is>
      </c>
      <c r="C105" s="9" t="inlineStr">
        <is>
          <t>MRPH-FLDBL-DSKMT-LAPTOP-STND</t>
        </is>
      </c>
      <c r="D105" s="7" t="n">
        <v>3738</v>
      </c>
      <c r="E105" s="22" t="n">
        <v>0.074</v>
      </c>
      <c r="F105" s="23" t="inlineStr">
        <is>
          <t>W5 (vs W2)</t>
        </is>
      </c>
      <c r="G105" s="24" t="n">
        <v>0.105</v>
      </c>
      <c r="H105" s="25" t="n"/>
      <c r="I105" s="25" t="n"/>
      <c r="J105" s="26">
        <f>IF(OR(H105="",I105=""),"",((I105/H105)-1)/G105)</f>
        <v/>
      </c>
    </row>
    <row r="106">
      <c r="A106" s="9" t="inlineStr">
        <is>
          <t>Desks</t>
        </is>
      </c>
      <c r="B106" s="7" t="inlineStr">
        <is>
          <t>Non-Tech</t>
        </is>
      </c>
      <c r="C106" s="9" t="inlineStr">
        <is>
          <t>MRPH-FLDBL-DSKMT-LAPTOP-STND</t>
        </is>
      </c>
      <c r="D106" s="7" t="n">
        <v>3738</v>
      </c>
      <c r="E106" s="22" t="n">
        <v>0.074</v>
      </c>
      <c r="F106" s="23" t="inlineStr">
        <is>
          <t>W44 (vs W41)</t>
        </is>
      </c>
      <c r="G106" s="24" t="n">
        <v>0.11</v>
      </c>
      <c r="H106" s="25" t="n"/>
      <c r="I106" s="25" t="n"/>
      <c r="J106" s="26">
        <f>IF(OR(H106="",I106=""),"",((I106/H106)-1)/G106)</f>
        <v/>
      </c>
    </row>
    <row r="107">
      <c r="A107" s="9" t="inlineStr">
        <is>
          <t>Desks</t>
        </is>
      </c>
      <c r="B107" s="7" t="inlineStr">
        <is>
          <t>Non-Tech</t>
        </is>
      </c>
      <c r="C107" s="9" t="inlineStr">
        <is>
          <t>MRPH-FLDBL-DSKMT-LAPTOP-STND</t>
        </is>
      </c>
      <c r="D107" s="7" t="n">
        <v>3738</v>
      </c>
      <c r="E107" s="22" t="n">
        <v>0.074</v>
      </c>
      <c r="F107" s="23" t="inlineStr">
        <is>
          <t>W75 (vs W74)</t>
        </is>
      </c>
      <c r="G107" s="24" t="n">
        <v>0.1</v>
      </c>
      <c r="H107" s="25" t="n"/>
      <c r="I107" s="25" t="n"/>
      <c r="J107" s="26">
        <f>IF(OR(H107="",I107=""),"",((I107/H107)-1)/G107)</f>
        <v/>
      </c>
    </row>
    <row r="108">
      <c r="A108" s="9" t="inlineStr">
        <is>
          <t>Desks</t>
        </is>
      </c>
      <c r="B108" s="7" t="inlineStr">
        <is>
          <t>Non-Tech</t>
        </is>
      </c>
      <c r="C108" s="9" t="inlineStr">
        <is>
          <t>VALE-VEGN-LTHER-TRAY-BLK</t>
        </is>
      </c>
      <c r="D108" s="7" t="n">
        <v>1456</v>
      </c>
      <c r="E108" s="22" t="n">
        <v>0.029</v>
      </c>
      <c r="F108" s="23" t="inlineStr">
        <is>
          <t>W44 (vs W41)</t>
        </is>
      </c>
      <c r="G108" s="24" t="n">
        <v>0.202</v>
      </c>
      <c r="H108" s="25" t="n"/>
      <c r="I108" s="25" t="n"/>
      <c r="J108" s="26">
        <f>IF(OR(H108="",I108=""),"",((I108/H108)-1)/G108)</f>
        <v/>
      </c>
    </row>
    <row r="109">
      <c r="A109" s="9" t="inlineStr">
        <is>
          <t>Desks</t>
        </is>
      </c>
      <c r="B109" s="7" t="inlineStr">
        <is>
          <t>Non-Tech</t>
        </is>
      </c>
      <c r="C109" s="9" t="inlineStr">
        <is>
          <t>ARET-LAPTOP-STND-BLK</t>
        </is>
      </c>
      <c r="D109" s="7" t="n">
        <v>1156</v>
      </c>
      <c r="E109" s="22" t="n">
        <v>0.023</v>
      </c>
      <c r="F109" s="23" t="inlineStr">
        <is>
          <t>W5 (vs W2)</t>
        </is>
      </c>
      <c r="G109" s="24" t="n">
        <v>0.109</v>
      </c>
      <c r="H109" s="25" t="n"/>
      <c r="I109" s="25" t="n"/>
      <c r="J109" s="26">
        <f>IF(OR(H109="",I109=""),"",((I109/H109)-1)/G109)</f>
        <v/>
      </c>
    </row>
    <row r="110">
      <c r="A110" s="9" t="inlineStr">
        <is>
          <t>Organisers</t>
        </is>
      </c>
      <c r="B110" s="7" t="inlineStr">
        <is>
          <t>Non-Tech</t>
        </is>
      </c>
      <c r="C110" s="9" t="inlineStr">
        <is>
          <t>CABLE-PROTECTOR</t>
        </is>
      </c>
      <c r="D110" s="7" t="n">
        <v>6620</v>
      </c>
      <c r="E110" s="22" t="n">
        <v>0.064</v>
      </c>
      <c r="F110" s="23" t="inlineStr">
        <is>
          <t>W56 (vs W55)</t>
        </is>
      </c>
      <c r="G110" s="24" t="n">
        <v>0.118</v>
      </c>
      <c r="H110" s="25" t="n"/>
      <c r="I110" s="25" t="n"/>
      <c r="J110" s="26">
        <f>IF(OR(H110="",I110=""),"",((I110/H110)-1)/G110)</f>
        <v/>
      </c>
    </row>
    <row r="111">
      <c r="A111" s="9" t="inlineStr">
        <is>
          <t>Organisers</t>
        </is>
      </c>
      <c r="B111" s="7" t="inlineStr">
        <is>
          <t>Non-Tech</t>
        </is>
      </c>
      <c r="C111" s="9" t="inlineStr">
        <is>
          <t>CABLE-PROTECTOR</t>
        </is>
      </c>
      <c r="D111" s="7" t="n">
        <v>6620</v>
      </c>
      <c r="E111" s="22" t="n">
        <v>0.064</v>
      </c>
      <c r="F111" s="23" t="inlineStr">
        <is>
          <t>W67 (vs W66)</t>
        </is>
      </c>
      <c r="G111" s="24" t="n">
        <v>0.237</v>
      </c>
      <c r="H111" s="25" t="n"/>
      <c r="I111" s="25" t="n"/>
      <c r="J111" s="26">
        <f>IF(OR(H111="",I111=""),"",((I111/H111)-1)/G111)</f>
        <v/>
      </c>
    </row>
    <row r="112">
      <c r="A112" s="9" t="inlineStr">
        <is>
          <t>Organisers</t>
        </is>
      </c>
      <c r="B112" s="7" t="inlineStr">
        <is>
          <t>Non-Tech</t>
        </is>
      </c>
      <c r="C112" s="9" t="inlineStr">
        <is>
          <t>TAN-URBAN-TECH-FLIO</t>
        </is>
      </c>
      <c r="D112" s="7" t="n">
        <v>2741</v>
      </c>
      <c r="E112" s="22" t="n">
        <v>0.026</v>
      </c>
      <c r="F112" s="23" t="inlineStr">
        <is>
          <t>W44 (vs W41)</t>
        </is>
      </c>
      <c r="G112" s="24" t="n">
        <v>0.102</v>
      </c>
      <c r="H112" s="25" t="n"/>
      <c r="I112" s="25" t="n"/>
      <c r="J112" s="26">
        <f>IF(OR(H112="",I112=""),"",((I112/H112)-1)/G112)</f>
        <v/>
      </c>
    </row>
    <row r="113">
      <c r="A113" s="9" t="inlineStr">
        <is>
          <t>Organisers</t>
        </is>
      </c>
      <c r="B113" s="7" t="inlineStr">
        <is>
          <t>Non-Tech</t>
        </is>
      </c>
      <c r="C113" s="9" t="inlineStr">
        <is>
          <t>MARSAL-MINI-TECH-CASE-BLUE</t>
        </is>
      </c>
      <c r="D113" s="7" t="n">
        <v>2361</v>
      </c>
      <c r="E113" s="22" t="n">
        <v>0.023</v>
      </c>
      <c r="F113" s="23" t="inlineStr">
        <is>
          <t>W12 (vs W11)</t>
        </is>
      </c>
      <c r="G113" s="24" t="n">
        <v>0.191</v>
      </c>
      <c r="H113" s="25" t="n"/>
      <c r="I113" s="25" t="n"/>
      <c r="J113" s="26">
        <f>IF(OR(H113="",I113=""),"",((I113/H113)-1)/G113)</f>
        <v/>
      </c>
    </row>
    <row r="114">
      <c r="A114" s="9" t="inlineStr">
        <is>
          <t>Organisers</t>
        </is>
      </c>
      <c r="B114" s="7" t="inlineStr">
        <is>
          <t>Non-Tech</t>
        </is>
      </c>
      <c r="C114" s="9" t="inlineStr">
        <is>
          <t>MARSAL-MINI-TECH-CASE-BLUE</t>
        </is>
      </c>
      <c r="D114" s="7" t="n">
        <v>2361</v>
      </c>
      <c r="E114" s="22" t="n">
        <v>0.023</v>
      </c>
      <c r="F114" s="23" t="inlineStr">
        <is>
          <t>W23 (vs W22)</t>
        </is>
      </c>
      <c r="G114" s="24" t="n">
        <v>0.107</v>
      </c>
      <c r="H114" s="25" t="n"/>
      <c r="I114" s="25" t="n"/>
      <c r="J114" s="26">
        <f>IF(OR(H114="",I114=""),"",((I114/H114)-1)/G114)</f>
        <v/>
      </c>
    </row>
    <row r="115">
      <c r="A115" s="9" t="inlineStr">
        <is>
          <t>Organisers</t>
        </is>
      </c>
      <c r="B115" s="7" t="inlineStr">
        <is>
          <t>Non-Tech</t>
        </is>
      </c>
      <c r="C115" s="9" t="inlineStr">
        <is>
          <t>LOOP-TIE-UP-CBL-ERPHN-SETOF7</t>
        </is>
      </c>
      <c r="D115" s="7" t="n">
        <v>2168</v>
      </c>
      <c r="E115" s="22" t="n">
        <v>0.021</v>
      </c>
      <c r="F115" s="23" t="inlineStr">
        <is>
          <t>W9 (vs W8)</t>
        </is>
      </c>
      <c r="G115" s="24" t="n">
        <v>0.162</v>
      </c>
      <c r="H115" s="25" t="n"/>
      <c r="I115" s="25" t="n"/>
      <c r="J115" s="26">
        <f>IF(OR(H115="",I115=""),"",((I115/H115)-1)/G115)</f>
        <v/>
      </c>
    </row>
    <row r="116">
      <c r="A116" s="9" t="inlineStr">
        <is>
          <t>Phone Wallets</t>
        </is>
      </c>
      <c r="B116" s="7" t="inlineStr">
        <is>
          <t>Non-Tech</t>
        </is>
      </c>
      <c r="C116" s="9" t="inlineStr">
        <is>
          <t>ANLOG-MAX-RFID-MGSAF-CRD-WLET</t>
        </is>
      </c>
      <c r="D116" s="7" t="n">
        <v>3703</v>
      </c>
      <c r="E116" s="22" t="n">
        <v>0.143</v>
      </c>
      <c r="F116" s="23" t="inlineStr">
        <is>
          <t>W44 (vs W41)</t>
        </is>
      </c>
      <c r="G116" s="24" t="n">
        <v>0.175</v>
      </c>
      <c r="H116" s="25" t="n"/>
      <c r="I116" s="25" t="n"/>
      <c r="J116" s="26">
        <f>IF(OR(H116="",I116=""),"",((I116/H116)-1)/G116)</f>
        <v/>
      </c>
    </row>
    <row r="117">
      <c r="A117" s="9" t="inlineStr">
        <is>
          <t>Phone Wallets</t>
        </is>
      </c>
      <c r="B117" s="7" t="inlineStr">
        <is>
          <t>Non-Tech</t>
        </is>
      </c>
      <c r="C117" s="9" t="inlineStr">
        <is>
          <t>ANLOG-SLM-RFID-MGSAF-CRD-WLET</t>
        </is>
      </c>
      <c r="D117" s="7" t="n">
        <v>2600</v>
      </c>
      <c r="E117" s="22" t="n">
        <v>0.1</v>
      </c>
      <c r="F117" s="23" t="inlineStr">
        <is>
          <t>W44 (vs W41)</t>
        </is>
      </c>
      <c r="G117" s="24" t="n">
        <v>0.201</v>
      </c>
      <c r="H117" s="25" t="n"/>
      <c r="I117" s="25" t="n"/>
      <c r="J117" s="26">
        <f>IF(OR(H117="",I117=""),"",((I117/H117)-1)/G117)</f>
        <v/>
      </c>
    </row>
    <row r="118">
      <c r="A118" s="9" t="inlineStr">
        <is>
          <t>Phone Wallets</t>
        </is>
      </c>
      <c r="B118" s="7" t="inlineStr">
        <is>
          <t>Non-Tech</t>
        </is>
      </c>
      <c r="C118" s="9" t="inlineStr">
        <is>
          <t>BLK-BEGE-LTHER-MGSAF-CRD-WLET</t>
        </is>
      </c>
      <c r="D118" s="7" t="n">
        <v>1393</v>
      </c>
      <c r="E118" s="22" t="n">
        <v>0.054</v>
      </c>
      <c r="F118" s="23" t="inlineStr">
        <is>
          <t>W62 (vs W61)</t>
        </is>
      </c>
      <c r="G118" s="24" t="n">
        <v>0.122</v>
      </c>
      <c r="H118" s="25" t="n"/>
      <c r="I118" s="25" t="n"/>
      <c r="J118" s="26">
        <f>IF(OR(H118="",I118=""),"",((I118/H118)-1)/G118)</f>
        <v/>
      </c>
    </row>
    <row r="119">
      <c r="A119" s="9" t="inlineStr">
        <is>
          <t>Phone Wallets</t>
        </is>
      </c>
      <c r="B119" s="7" t="inlineStr">
        <is>
          <t>Non-Tech</t>
        </is>
      </c>
      <c r="C119" s="9" t="inlineStr">
        <is>
          <t>CIDR-BRWN-CRDSAFD-PHN-WALT</t>
        </is>
      </c>
      <c r="D119" s="7" t="n">
        <v>750</v>
      </c>
      <c r="E119" s="22" t="n">
        <v>0.029</v>
      </c>
      <c r="F119" s="23" t="inlineStr">
        <is>
          <t>W15 (vs W12)</t>
        </is>
      </c>
      <c r="G119" s="24" t="n">
        <v>0.109</v>
      </c>
      <c r="H119" s="25" t="n"/>
      <c r="I119" s="25" t="n"/>
      <c r="J119" s="26">
        <f>IF(OR(H119="",I119=""),"",((I119/H119)-1)/G119)</f>
        <v/>
      </c>
    </row>
    <row r="120">
      <c r="A120" s="9" t="inlineStr">
        <is>
          <t>Phone Wallets</t>
        </is>
      </c>
      <c r="B120" s="7" t="inlineStr">
        <is>
          <t>Non-Tech</t>
        </is>
      </c>
      <c r="C120" s="9" t="inlineStr">
        <is>
          <t>CIDR-BRWN-CRDSAFD-PHN-WALT</t>
        </is>
      </c>
      <c r="D120" s="7" t="n">
        <v>750</v>
      </c>
      <c r="E120" s="22" t="n">
        <v>0.029</v>
      </c>
      <c r="F120" s="23" t="inlineStr">
        <is>
          <t>W67 (vs W66)</t>
        </is>
      </c>
      <c r="G120" s="24" t="n">
        <v>0.09</v>
      </c>
      <c r="H120" s="25" t="n"/>
      <c r="I120" s="25" t="n"/>
      <c r="J120" s="26">
        <f>IF(OR(H120="",I120=""),"",((I120/H120)-1)/G120)</f>
        <v/>
      </c>
    </row>
    <row r="121">
      <c r="A121" s="9" t="inlineStr">
        <is>
          <t>Messenger Bags</t>
        </is>
      </c>
      <c r="B121" s="7" t="inlineStr">
        <is>
          <t>Non-Tech</t>
        </is>
      </c>
      <c r="C121" s="9" t="inlineStr">
        <is>
          <t>IVORT-NVY-CMUTE-MSG-LARGE</t>
        </is>
      </c>
      <c r="D121" s="7" t="n">
        <v>1323</v>
      </c>
      <c r="E121" s="22" t="n">
        <v>0.075</v>
      </c>
      <c r="F121" s="23" t="inlineStr">
        <is>
          <t>W7 (vs W6)</t>
        </is>
      </c>
      <c r="G121" s="24" t="n">
        <v>0.092</v>
      </c>
      <c r="H121" s="25" t="n"/>
      <c r="I121" s="25" t="n"/>
      <c r="J121" s="26">
        <f>IF(OR(H121="",I121=""),"",((I121/H121)-1)/G121)</f>
        <v/>
      </c>
    </row>
    <row r="122">
      <c r="A122" s="9" t="inlineStr">
        <is>
          <t>Messenger Bags</t>
        </is>
      </c>
      <c r="B122" s="7" t="inlineStr">
        <is>
          <t>Non-Tech</t>
        </is>
      </c>
      <c r="C122" s="9" t="inlineStr">
        <is>
          <t>IVORT-NVY-CMUTE-MSG-MED</t>
        </is>
      </c>
      <c r="D122" s="7" t="n">
        <v>1147</v>
      </c>
      <c r="E122" s="22" t="n">
        <v>0.065</v>
      </c>
      <c r="F122" s="23" t="inlineStr">
        <is>
          <t>W27 (vs W26)</t>
        </is>
      </c>
      <c r="G122" s="24" t="n">
        <v>0.08699999999999999</v>
      </c>
      <c r="H122" s="25" t="n"/>
      <c r="I122" s="25" t="n"/>
      <c r="J122" s="26">
        <f>IF(OR(H122="",I122=""),"",((I122/H122)-1)/G122)</f>
        <v/>
      </c>
    </row>
    <row r="123">
      <c r="A123" s="9" t="inlineStr">
        <is>
          <t>Messenger Bags</t>
        </is>
      </c>
      <c r="B123" s="7" t="inlineStr">
        <is>
          <t>Non-Tech</t>
        </is>
      </c>
      <c r="C123" s="9" t="inlineStr">
        <is>
          <t>BSLT-PVT-AMBT-MSG-BAG</t>
        </is>
      </c>
      <c r="D123" s="7" t="n">
        <v>831</v>
      </c>
      <c r="E123" s="22" t="n">
        <v>0.047</v>
      </c>
      <c r="F123" s="23" t="inlineStr">
        <is>
          <t>W58 (vs W57)</t>
        </is>
      </c>
      <c r="G123" s="24" t="n">
        <v>0.119</v>
      </c>
      <c r="H123" s="25" t="n"/>
      <c r="I123" s="25" t="n"/>
      <c r="J123" s="26">
        <f>IF(OR(H123="",I123=""),"",((I123/H123)-1)/G123)</f>
        <v/>
      </c>
    </row>
    <row r="124">
      <c r="A124" s="9" t="inlineStr">
        <is>
          <t>Messenger Bags</t>
        </is>
      </c>
      <c r="B124" s="7" t="inlineStr">
        <is>
          <t>Non-Tech</t>
        </is>
      </c>
      <c r="C124" s="9" t="inlineStr">
        <is>
          <t>BSLT-PVT-MRDAN-CNVRTBL-BREFCASE</t>
        </is>
      </c>
      <c r="D124" s="7" t="n">
        <v>622</v>
      </c>
      <c r="E124" s="22" t="n">
        <v>0.035</v>
      </c>
      <c r="F124" s="23" t="inlineStr">
        <is>
          <t>W44 (vs W41)</t>
        </is>
      </c>
      <c r="G124" s="24" t="n">
        <v>0.08799999999999999</v>
      </c>
      <c r="H124" s="25" t="n"/>
      <c r="I124" s="25" t="n"/>
      <c r="J124" s="26">
        <f>IF(OR(H124="",I124=""),"",((I124/H124)-1)/G124)</f>
        <v/>
      </c>
    </row>
    <row r="125">
      <c r="A125" s="9" t="inlineStr">
        <is>
          <t>Messenger Bags</t>
        </is>
      </c>
      <c r="B125" s="7" t="inlineStr">
        <is>
          <t>Non-Tech</t>
        </is>
      </c>
      <c r="C125" s="9" t="inlineStr">
        <is>
          <t>BSLT-PVT-MRDAN-CNVRTBL-BREFCASE</t>
        </is>
      </c>
      <c r="D125" s="7" t="n">
        <v>622</v>
      </c>
      <c r="E125" s="22" t="n">
        <v>0.035</v>
      </c>
      <c r="F125" s="23" t="inlineStr">
        <is>
          <t>W56 (vs W55)</t>
        </is>
      </c>
      <c r="G125" s="24" t="n">
        <v>0.093</v>
      </c>
      <c r="H125" s="25" t="n"/>
      <c r="I125" s="25" t="n"/>
      <c r="J125" s="26">
        <f>IF(OR(H125="",I125=""),"",((I125/H125)-1)/G125)</f>
        <v/>
      </c>
    </row>
    <row r="126">
      <c r="A126" s="9" t="inlineStr">
        <is>
          <t>Messenger Bags</t>
        </is>
      </c>
      <c r="B126" s="7" t="inlineStr">
        <is>
          <t>Non-Tech</t>
        </is>
      </c>
      <c r="C126" s="9" t="inlineStr">
        <is>
          <t>BSLT-PVT-MRDAN-CNVRTBL-BREFCASE</t>
        </is>
      </c>
      <c r="D126" s="7" t="n">
        <v>622</v>
      </c>
      <c r="E126" s="22" t="n">
        <v>0.035</v>
      </c>
      <c r="F126" s="23" t="inlineStr">
        <is>
          <t>W62 (vs W61)</t>
        </is>
      </c>
      <c r="G126" s="24" t="n">
        <v>0.119</v>
      </c>
      <c r="H126" s="25" t="n"/>
      <c r="I126" s="25" t="n"/>
      <c r="J126" s="26">
        <f>IF(OR(H126="",I126=""),"",((I126/H126)-1)/G126)</f>
        <v/>
      </c>
    </row>
    <row r="127">
      <c r="A127" s="9" t="inlineStr">
        <is>
          <t>Messenger Bags</t>
        </is>
      </c>
      <c r="B127" s="7" t="inlineStr">
        <is>
          <t>Non-Tech</t>
        </is>
      </c>
      <c r="C127" s="9" t="inlineStr">
        <is>
          <t>BRWN-TAN-URBN-TECH-BRF-BAF-LARGE</t>
        </is>
      </c>
      <c r="D127" s="7" t="n">
        <v>514</v>
      </c>
      <c r="E127" s="22" t="n">
        <v>0.029</v>
      </c>
      <c r="F127" s="23" t="inlineStr">
        <is>
          <t>W15 (vs W12)</t>
        </is>
      </c>
      <c r="G127" s="24" t="n">
        <v>0.111</v>
      </c>
      <c r="H127" s="25" t="n"/>
      <c r="I127" s="25" t="n"/>
      <c r="J127" s="26">
        <f>IF(OR(H127="",I127=""),"",((I127/H127)-1)/G127)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2026-07-29T08:14:52Z</dcterms:created>
  <dcterms:modified xsi:type="dcterms:W3CDTF">2026-07-29T08:14:52Z</dcterms:modified>
</cp:coreProperties>
</file>