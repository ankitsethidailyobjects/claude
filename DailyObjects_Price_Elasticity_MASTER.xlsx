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ale Events (price cuts)" sheetId="2" state="visible" r:id="rId2"/>
    <sheet name="BAU Price Changes (hik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1" t="inlineStr">
        <is>
          <t>MASTER ELASTICITY TRACKER - HOW TO USE</t>
        </is>
      </c>
      <c r="B1" t="inlineStr"/>
    </row>
    <row r="2">
      <c r="A2" t="inlineStr"/>
      <c r="B2" t="inlineStr"/>
    </row>
    <row r="3">
      <c r="A3" s="2" t="inlineStr">
        <is>
          <t>Two tabs</t>
        </is>
      </c>
      <c r="B3" s="3" t="inlineStr">
        <is>
          <t>'Sale Events' = downward elasticity (storewide price cuts). 'BAU Price Changes' = upward elasticity (non-sale price hikes).</t>
        </is>
      </c>
    </row>
    <row r="4">
      <c r="A4" s="2" t="inlineStr">
        <is>
          <t>Layout</t>
        </is>
      </c>
      <c r="B4" s="3" t="inlineStr">
        <is>
          <t>Rows = categories. Each price-change event is a 4-column block: ASP %change (we filled, grey/coloured), ATC% pre-week (yellow - you fill), ATC% change-week (yellow - you fill), Elasticity (auto).</t>
        </is>
      </c>
    </row>
    <row r="5">
      <c r="A5" s="2" t="inlineStr">
        <is>
          <t>What to enter</t>
        </is>
      </c>
      <c r="B5" s="3" t="inlineStr">
        <is>
          <t>In each yellow cell put that category's PDP-&gt;ATC conversion % for that week from MoEngage (ATC / PDP views x100). Enter a plain number, e.g. 12.5 for 12.5%.</t>
        </is>
      </c>
    </row>
    <row r="6">
      <c r="A6" s="2" t="inlineStr">
        <is>
          <t>Week headers</t>
        </is>
      </c>
      <c r="B6" s="3" t="inlineStr">
        <is>
          <t>Each ATC column header shows the exact week (e.g. W11 vs W13). 'pre' = price before the change, 'chg' = week the new price is live.</t>
        </is>
      </c>
    </row>
    <row r="7">
      <c r="A7" s="2" t="inlineStr">
        <is>
          <t>Elasticity</t>
        </is>
      </c>
      <c r="B7" s="3" t="inlineStr">
        <is>
          <t>Auto-calculates = (%change in ATC%) / (%change in ASP). Negative on sale tab (price down, ATC up). On BAU tab a negative value means ATC fell when price rose (normal). Magnitude &gt;1 = elastic, &lt;1 = inelastic.</t>
        </is>
      </c>
    </row>
    <row r="8">
      <c r="A8" s="2" t="inlineStr">
        <is>
          <t>Grey blocks</t>
        </is>
      </c>
      <c r="B8" s="3" t="inlineStr">
        <is>
          <t>Category had no meaningful price change in that event/wave - skip it.</t>
        </is>
      </c>
    </row>
    <row r="9">
      <c r="A9" s="2" t="inlineStr">
        <is>
          <t>Sale events (cols)</t>
        </is>
      </c>
      <c r="B9" s="3" t="inlineStr">
        <is>
          <t>Republic Day (W4), End-FY Mar-25 (W13), Aug/Sep-25 (W35), Diwali (W42), Year-end Dec-25 (W51), End-FY Mar-26 (W64), May-26 (W71). Baselines are the pre-sale weeks shown.</t>
        </is>
      </c>
    </row>
    <row r="10">
      <c r="A10" s="2" t="inlineStr">
        <is>
          <t>BAU waves (cols)</t>
        </is>
      </c>
      <c r="B10" s="3" t="inlineStr">
        <is>
          <t>W5, W17, W32, W41, W44, W49, W57, W62 - the recurring non-sale repricing weeks. Note DailyObjects often hikes list price 1-3 weeks before a sale.</t>
        </is>
      </c>
    </row>
    <row r="11">
      <c r="A11" s="2" t="inlineStr">
        <is>
          <t>Tip</t>
        </is>
      </c>
      <c r="B11" s="3" t="inlineStr">
        <is>
          <t>Compare ATC% (a rate), not raw ATC counts, so traffic swings during sales don't distort the 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11" customWidth="1" min="4" max="4"/>
    <col width="11" customWidth="1" min="5" max="5"/>
    <col width="9" customWidth="1" min="6" max="6"/>
    <col width="7" customWidth="1" min="7" max="7"/>
    <col width="11" customWidth="1" min="8" max="8"/>
    <col width="11" customWidth="1" min="9" max="9"/>
    <col width="9" customWidth="1" min="10" max="10"/>
    <col width="7" customWidth="1" min="11" max="11"/>
    <col width="11" customWidth="1" min="12" max="12"/>
    <col width="11" customWidth="1" min="13" max="13"/>
    <col width="9" customWidth="1" min="14" max="14"/>
    <col width="7" customWidth="1" min="15" max="15"/>
    <col width="11" customWidth="1" min="16" max="16"/>
    <col width="11" customWidth="1" min="17" max="17"/>
    <col width="9" customWidth="1" min="18" max="18"/>
    <col width="7" customWidth="1" min="19" max="19"/>
    <col width="11" customWidth="1" min="20" max="20"/>
    <col width="11" customWidth="1" min="21" max="21"/>
    <col width="9" customWidth="1" min="22" max="22"/>
    <col width="7" customWidth="1" min="23" max="23"/>
    <col width="11" customWidth="1" min="24" max="24"/>
    <col width="11" customWidth="1" min="25" max="25"/>
    <col width="9" customWidth="1" min="26" max="26"/>
    <col width="7" customWidth="1" min="27" max="27"/>
    <col width="11" customWidth="1" min="28" max="28"/>
    <col width="11" customWidth="1" min="29" max="29"/>
    <col width="9" customWidth="1" min="30" max="30"/>
  </cols>
  <sheetData>
    <row r="1">
      <c r="A1" s="4" t="inlineStr">
        <is>
          <t>SALE EVENTS - downward elasticity (price cuts)</t>
        </is>
      </c>
    </row>
    <row r="2" ht="26" customHeight="1">
      <c r="A2" s="5" t="inlineStr">
        <is>
          <t>Yellow cells = enter ATC% (=ATC/PDP views, as a number e.g. 12.5) for that category &amp; week. Grey %Δ = the ASP change we measured. Elasticity auto-computes = (%change in ATC%) / (%change in price).</t>
        </is>
      </c>
    </row>
    <row r="3">
      <c r="A3" s="6" t="inlineStr">
        <is>
          <t>Category</t>
        </is>
      </c>
      <c r="B3" s="6" t="inlineStr">
        <is>
          <t>Type</t>
        </is>
      </c>
      <c r="C3" s="6" t="inlineStr">
        <is>
          <t>Republic Day</t>
        </is>
      </c>
      <c r="D3" s="7" t="n"/>
      <c r="E3" s="7" t="n"/>
      <c r="F3" s="7" t="n"/>
      <c r="G3" s="6" t="inlineStr">
        <is>
          <t>End-FY Mar-25</t>
        </is>
      </c>
      <c r="H3" s="7" t="n"/>
      <c r="I3" s="7" t="n"/>
      <c r="J3" s="7" t="n"/>
      <c r="K3" s="6" t="inlineStr">
        <is>
          <t>Aug/Sep-25</t>
        </is>
      </c>
      <c r="L3" s="7" t="n"/>
      <c r="M3" s="7" t="n"/>
      <c r="N3" s="7" t="n"/>
      <c r="O3" s="6" t="inlineStr">
        <is>
          <t>Diwali/Festive</t>
        </is>
      </c>
      <c r="P3" s="7" t="n"/>
      <c r="Q3" s="7" t="n"/>
      <c r="R3" s="7" t="n"/>
      <c r="S3" s="6" t="inlineStr">
        <is>
          <t>Year-end Dec-25</t>
        </is>
      </c>
      <c r="T3" s="7" t="n"/>
      <c r="U3" s="7" t="n"/>
      <c r="V3" s="7" t="n"/>
      <c r="W3" s="6" t="inlineStr">
        <is>
          <t>End-FY Mar-26</t>
        </is>
      </c>
      <c r="X3" s="7" t="n"/>
      <c r="Y3" s="7" t="n"/>
      <c r="Z3" s="7" t="n"/>
      <c r="AA3" s="6" t="inlineStr">
        <is>
          <t>May-26</t>
        </is>
      </c>
      <c r="AB3" s="7" t="n"/>
      <c r="AC3" s="7" t="n"/>
      <c r="AD3" s="7" t="n"/>
    </row>
    <row r="4" ht="30" customHeight="1">
      <c r="A4" s="7" t="n"/>
      <c r="B4" s="7" t="n"/>
      <c r="C4" s="8" t="inlineStr">
        <is>
          <t>ASP %Δ</t>
        </is>
      </c>
      <c r="D4" s="8" t="inlineStr">
        <is>
          <t>ATC% pre
W2</t>
        </is>
      </c>
      <c r="E4" s="8" t="inlineStr">
        <is>
          <t>ATC% chg
W4</t>
        </is>
      </c>
      <c r="F4" s="8" t="inlineStr">
        <is>
          <t>Elasticity</t>
        </is>
      </c>
      <c r="G4" s="8" t="inlineStr">
        <is>
          <t>ASP %Δ</t>
        </is>
      </c>
      <c r="H4" s="8" t="inlineStr">
        <is>
          <t>ATC% pre
W11</t>
        </is>
      </c>
      <c r="I4" s="8" t="inlineStr">
        <is>
          <t>ATC% chg
W13</t>
        </is>
      </c>
      <c r="J4" s="8" t="inlineStr">
        <is>
          <t>Elasticity</t>
        </is>
      </c>
      <c r="K4" s="8" t="inlineStr">
        <is>
          <t>ASP %Δ</t>
        </is>
      </c>
      <c r="L4" s="8" t="inlineStr">
        <is>
          <t>ATC% pre
W33</t>
        </is>
      </c>
      <c r="M4" s="8" t="inlineStr">
        <is>
          <t>ATC% chg
W35</t>
        </is>
      </c>
      <c r="N4" s="8" t="inlineStr">
        <is>
          <t>Elasticity</t>
        </is>
      </c>
      <c r="O4" s="8" t="inlineStr">
        <is>
          <t>ASP %Δ</t>
        </is>
      </c>
      <c r="P4" s="8" t="inlineStr">
        <is>
          <t>ATC% pre
W40</t>
        </is>
      </c>
      <c r="Q4" s="8" t="inlineStr">
        <is>
          <t>ATC% chg
W42</t>
        </is>
      </c>
      <c r="R4" s="8" t="inlineStr">
        <is>
          <t>Elasticity</t>
        </is>
      </c>
      <c r="S4" s="8" t="inlineStr">
        <is>
          <t>ASP %Δ</t>
        </is>
      </c>
      <c r="T4" s="8" t="inlineStr">
        <is>
          <t>ATC% pre
W49</t>
        </is>
      </c>
      <c r="U4" s="8" t="inlineStr">
        <is>
          <t>ATC% chg
W51</t>
        </is>
      </c>
      <c r="V4" s="8" t="inlineStr">
        <is>
          <t>Elasticity</t>
        </is>
      </c>
      <c r="W4" s="8" t="inlineStr">
        <is>
          <t>ASP %Δ</t>
        </is>
      </c>
      <c r="X4" s="8" t="inlineStr">
        <is>
          <t>ATC% pre
W62</t>
        </is>
      </c>
      <c r="Y4" s="8" t="inlineStr">
        <is>
          <t>ATC% chg
W64</t>
        </is>
      </c>
      <c r="Z4" s="8" t="inlineStr">
        <is>
          <t>Elasticity</t>
        </is>
      </c>
      <c r="AA4" s="8" t="inlineStr">
        <is>
          <t>ASP %Δ</t>
        </is>
      </c>
      <c r="AB4" s="8" t="inlineStr">
        <is>
          <t>ATC% pre
W69</t>
        </is>
      </c>
      <c r="AC4" s="8" t="inlineStr">
        <is>
          <t>ATC% chg
W71</t>
        </is>
      </c>
      <c r="AD4" s="8" t="inlineStr">
        <is>
          <t>Elasticity</t>
        </is>
      </c>
    </row>
    <row r="5">
      <c r="A5" s="9" t="inlineStr">
        <is>
          <t>Wireless Charger</t>
        </is>
      </c>
      <c r="B5" s="7" t="inlineStr">
        <is>
          <t>Tech</t>
        </is>
      </c>
      <c r="C5" s="10" t="n">
        <v>-0.1049157742176346</v>
      </c>
      <c r="D5" s="11" t="n"/>
      <c r="E5" s="11" t="n"/>
      <c r="F5" s="12">
        <f>IF(OR(D5="",E5=""),"",((E5/D5)-1)/C5)</f>
        <v/>
      </c>
      <c r="G5" s="10" t="n">
        <v>-0.3394782977638554</v>
      </c>
      <c r="H5" s="11" t="n"/>
      <c r="I5" s="11" t="n"/>
      <c r="J5" s="12">
        <f>IF(OR(H5="",I5=""),"",((I5/H5)-1)/G5)</f>
        <v/>
      </c>
      <c r="K5" s="10" t="n">
        <v>-0.2928422724238996</v>
      </c>
      <c r="L5" s="11" t="n"/>
      <c r="M5" s="11" t="n"/>
      <c r="N5" s="12">
        <f>IF(OR(L5="",M5=""),"",((M5/L5)-1)/K5)</f>
        <v/>
      </c>
      <c r="O5" s="10" t="n">
        <v>-0.045</v>
      </c>
      <c r="P5" s="11" t="n"/>
      <c r="Q5" s="11" t="n"/>
      <c r="R5" s="12">
        <f>IF(OR(P5="",Q5=""),"",((Q5/P5)-1)/O5)</f>
        <v/>
      </c>
      <c r="S5" s="10" t="n">
        <v>-0.1409257641567798</v>
      </c>
      <c r="T5" s="11" t="n"/>
      <c r="U5" s="11" t="n"/>
      <c r="V5" s="12">
        <f>IF(OR(T5="",U5=""),"",((U5/T5)-1)/S5)</f>
        <v/>
      </c>
      <c r="W5" s="10" t="n">
        <v>-0.3749379408849215</v>
      </c>
      <c r="X5" s="11" t="n"/>
      <c r="Y5" s="11" t="n"/>
      <c r="Z5" s="12">
        <f>IF(OR(X5="",Y5=""),"",((Y5/X5)-1)/W5)</f>
        <v/>
      </c>
      <c r="AA5" s="10" t="n">
        <v>-0.1362091862715377</v>
      </c>
      <c r="AB5" s="11" t="n"/>
      <c r="AC5" s="11" t="n"/>
      <c r="AD5" s="12">
        <f>IF(OR(AB5="",AC5=""),"",((AC5/AB5)-1)/AA5)</f>
        <v/>
      </c>
    </row>
    <row r="6">
      <c r="A6" s="9" t="inlineStr">
        <is>
          <t>Designer Cases</t>
        </is>
      </c>
      <c r="B6" s="7" t="inlineStr">
        <is>
          <t>Tech</t>
        </is>
      </c>
      <c r="C6" s="10" t="n">
        <v>-0.09999932807852041</v>
      </c>
      <c r="D6" s="11" t="n"/>
      <c r="E6" s="11" t="n"/>
      <c r="F6" s="12">
        <f>IF(OR(D6="",E6=""),"",((E6/D6)-1)/C6)</f>
        <v/>
      </c>
      <c r="G6" s="10" t="n">
        <v>-0.3215563625509408</v>
      </c>
      <c r="H6" s="11" t="n"/>
      <c r="I6" s="11" t="n"/>
      <c r="J6" s="12">
        <f>IF(OR(H6="",I6=""),"",((I6/H6)-1)/G6)</f>
        <v/>
      </c>
      <c r="K6" s="10" t="n">
        <v>-0.3002771590055333</v>
      </c>
      <c r="L6" s="11" t="n"/>
      <c r="M6" s="11" t="n"/>
      <c r="N6" s="12">
        <f>IF(OR(L6="",M6=""),"",((M6/L6)-1)/K6)</f>
        <v/>
      </c>
      <c r="O6" s="10" t="n">
        <v>0.018</v>
      </c>
      <c r="P6" s="11" t="n"/>
      <c r="Q6" s="11" t="n"/>
      <c r="R6" s="12">
        <f>IF(OR(P6="",Q6=""),"",((Q6/P6)-1)/O6)</f>
        <v/>
      </c>
      <c r="S6" s="10" t="n">
        <v>-0.07243866578798352</v>
      </c>
      <c r="T6" s="11" t="n"/>
      <c r="U6" s="11" t="n"/>
      <c r="V6" s="12">
        <f>IF(OR(T6="",U6=""),"",((U6/T6)-1)/S6)</f>
        <v/>
      </c>
      <c r="W6" s="10" t="n">
        <v>-0.34731198393355</v>
      </c>
      <c r="X6" s="11" t="n"/>
      <c r="Y6" s="11" t="n"/>
      <c r="Z6" s="12">
        <f>IF(OR(X6="",Y6=""),"",((Y6/X6)-1)/W6)</f>
        <v/>
      </c>
      <c r="AA6" s="10" t="n">
        <v>-0.161228403375733</v>
      </c>
      <c r="AB6" s="11" t="n"/>
      <c r="AC6" s="11" t="n"/>
      <c r="AD6" s="12">
        <f>IF(OR(AB6="",AC6=""),"",((AC6/AB6)-1)/AA6)</f>
        <v/>
      </c>
    </row>
    <row r="7">
      <c r="A7" s="9" t="inlineStr">
        <is>
          <t>Screen Guards</t>
        </is>
      </c>
      <c r="B7" s="7" t="inlineStr">
        <is>
          <t>Tech</t>
        </is>
      </c>
      <c r="C7" s="10" t="n">
        <v>-0.014</v>
      </c>
      <c r="D7" s="11" t="n"/>
      <c r="E7" s="11" t="n"/>
      <c r="F7" s="12">
        <f>IF(OR(D7="",E7=""),"",((E7/D7)-1)/C7)</f>
        <v/>
      </c>
      <c r="G7" s="10" t="n">
        <v>-0.2967798870073634</v>
      </c>
      <c r="H7" s="11" t="n"/>
      <c r="I7" s="11" t="n"/>
      <c r="J7" s="12">
        <f>IF(OR(H7="",I7=""),"",((I7/H7)-1)/G7)</f>
        <v/>
      </c>
      <c r="K7" s="10" t="n">
        <v>-0.2921195470092488</v>
      </c>
      <c r="L7" s="11" t="n"/>
      <c r="M7" s="11" t="n"/>
      <c r="N7" s="12">
        <f>IF(OR(L7="",M7=""),"",((M7/L7)-1)/K7)</f>
        <v/>
      </c>
      <c r="O7" s="10" t="n">
        <v>0.014</v>
      </c>
      <c r="P7" s="11" t="n"/>
      <c r="Q7" s="11" t="n"/>
      <c r="R7" s="12">
        <f>IF(OR(P7="",Q7=""),"",((Q7/P7)-1)/O7)</f>
        <v/>
      </c>
      <c r="S7" s="10" t="n">
        <v>-0.016</v>
      </c>
      <c r="T7" s="11" t="n"/>
      <c r="U7" s="11" t="n"/>
      <c r="V7" s="12">
        <f>IF(OR(T7="",U7=""),"",((U7/T7)-1)/S7)</f>
        <v/>
      </c>
      <c r="W7" s="10" t="n">
        <v>-0.3536223052786425</v>
      </c>
      <c r="X7" s="11" t="n"/>
      <c r="Y7" s="11" t="n"/>
      <c r="Z7" s="12">
        <f>IF(OR(X7="",Y7=""),"",((Y7/X7)-1)/W7)</f>
        <v/>
      </c>
      <c r="AA7" s="10" t="n">
        <v>-0.1066264855010357</v>
      </c>
      <c r="AB7" s="11" t="n"/>
      <c r="AC7" s="11" t="n"/>
      <c r="AD7" s="12">
        <f>IF(OR(AB7="",AC7=""),"",((AC7/AB7)-1)/AA7)</f>
        <v/>
      </c>
    </row>
    <row r="8">
      <c r="A8" s="9" t="inlineStr">
        <is>
          <t>Airpods Case Cover</t>
        </is>
      </c>
      <c r="B8" s="7" t="inlineStr">
        <is>
          <t>Tech</t>
        </is>
      </c>
      <c r="C8" s="10" t="n">
        <v>-0.2038482393792268</v>
      </c>
      <c r="D8" s="11" t="n"/>
      <c r="E8" s="11" t="n"/>
      <c r="F8" s="12">
        <f>IF(OR(D8="",E8=""),"",((E8/D8)-1)/C8)</f>
        <v/>
      </c>
      <c r="G8" s="10" t="n">
        <v>-0.4789915497881408</v>
      </c>
      <c r="H8" s="11" t="n"/>
      <c r="I8" s="11" t="n"/>
      <c r="J8" s="12">
        <f>IF(OR(H8="",I8=""),"",((I8/H8)-1)/G8)</f>
        <v/>
      </c>
      <c r="K8" s="10" t="n">
        <v>-0.5357331732628403</v>
      </c>
      <c r="L8" s="11" t="n"/>
      <c r="M8" s="11" t="n"/>
      <c r="N8" s="12">
        <f>IF(OR(L8="",M8=""),"",((M8/L8)-1)/K8)</f>
        <v/>
      </c>
      <c r="O8" s="10" t="n">
        <v>-0.3714643073964385</v>
      </c>
      <c r="P8" s="11" t="n"/>
      <c r="Q8" s="11" t="n"/>
      <c r="R8" s="12">
        <f>IF(OR(P8="",Q8=""),"",((Q8/P8)-1)/O8)</f>
        <v/>
      </c>
      <c r="S8" s="10" t="n">
        <v>-0.3552634669269005</v>
      </c>
      <c r="T8" s="11" t="n"/>
      <c r="U8" s="11" t="n"/>
      <c r="V8" s="12">
        <f>IF(OR(T8="",U8=""),"",((U8/T8)-1)/S8)</f>
        <v/>
      </c>
      <c r="W8" s="10" t="n">
        <v>-0.4458976309596925</v>
      </c>
      <c r="X8" s="11" t="n"/>
      <c r="Y8" s="11" t="n"/>
      <c r="Z8" s="12">
        <f>IF(OR(X8="",Y8=""),"",((Y8/X8)-1)/W8)</f>
        <v/>
      </c>
      <c r="AA8" s="10" t="n">
        <v>-0.4764133294207078</v>
      </c>
      <c r="AB8" s="11" t="n"/>
      <c r="AC8" s="11" t="n"/>
      <c r="AD8" s="12">
        <f>IF(OR(AB8="",AC8=""),"",((AC8/AB8)-1)/AA8)</f>
        <v/>
      </c>
    </row>
    <row r="9">
      <c r="A9" s="9" t="inlineStr">
        <is>
          <t>Stands</t>
        </is>
      </c>
      <c r="B9" s="7" t="inlineStr">
        <is>
          <t>Tech</t>
        </is>
      </c>
      <c r="C9" s="10" t="n">
        <v>-0.254447177306536</v>
      </c>
      <c r="D9" s="11" t="n"/>
      <c r="E9" s="11" t="n"/>
      <c r="F9" s="12">
        <f>IF(OR(D9="",E9=""),"",((E9/D9)-1)/C9)</f>
        <v/>
      </c>
      <c r="G9" s="10" t="n">
        <v>-0.3335591016662547</v>
      </c>
      <c r="H9" s="11" t="n"/>
      <c r="I9" s="11" t="n"/>
      <c r="J9" s="12">
        <f>IF(OR(H9="",I9=""),"",((I9/H9)-1)/G9)</f>
        <v/>
      </c>
      <c r="K9" s="10" t="n">
        <v>-0.4343416141400502</v>
      </c>
      <c r="L9" s="11" t="n"/>
      <c r="M9" s="11" t="n"/>
      <c r="N9" s="12">
        <f>IF(OR(L9="",M9=""),"",((M9/L9)-1)/K9)</f>
        <v/>
      </c>
      <c r="O9" s="10" t="n">
        <v>-0.008</v>
      </c>
      <c r="P9" s="11" t="n"/>
      <c r="Q9" s="11" t="n"/>
      <c r="R9" s="12">
        <f>IF(OR(P9="",Q9=""),"",((Q9/P9)-1)/O9)</f>
        <v/>
      </c>
      <c r="S9" s="10" t="n">
        <v>-0.09447676261263716</v>
      </c>
      <c r="T9" s="11" t="n"/>
      <c r="U9" s="11" t="n"/>
      <c r="V9" s="12">
        <f>IF(OR(T9="",U9=""),"",((U9/T9)-1)/S9)</f>
        <v/>
      </c>
      <c r="W9" s="10" t="n">
        <v>-0.3107468117433873</v>
      </c>
      <c r="X9" s="11" t="n"/>
      <c r="Y9" s="11" t="n"/>
      <c r="Z9" s="12">
        <f>IF(OR(X9="",Y9=""),"",((Y9/X9)-1)/W9)</f>
        <v/>
      </c>
      <c r="AA9" s="10" t="n">
        <v>-0.1210294404724247</v>
      </c>
      <c r="AB9" s="11" t="n"/>
      <c r="AC9" s="11" t="n"/>
      <c r="AD9" s="12">
        <f>IF(OR(AB9="",AC9=""),"",((AC9/AB9)-1)/AA9)</f>
        <v/>
      </c>
    </row>
    <row r="10">
      <c r="A10" s="9" t="inlineStr">
        <is>
          <t>Watch Straps</t>
        </is>
      </c>
      <c r="B10" s="7" t="inlineStr">
        <is>
          <t>Non-Tech</t>
        </is>
      </c>
      <c r="C10" s="10" t="n">
        <v>-0.06125819350178185</v>
      </c>
      <c r="D10" s="11" t="n"/>
      <c r="E10" s="11" t="n"/>
      <c r="F10" s="12">
        <f>IF(OR(D10="",E10=""),"",((E10/D10)-1)/C10)</f>
        <v/>
      </c>
      <c r="G10" s="10" t="n">
        <v>-0.2667102218108082</v>
      </c>
      <c r="H10" s="11" t="n"/>
      <c r="I10" s="11" t="n"/>
      <c r="J10" s="12">
        <f>IF(OR(H10="",I10=""),"",((I10/H10)-1)/G10)</f>
        <v/>
      </c>
      <c r="K10" s="10" t="n">
        <v>-0.3224198738955278</v>
      </c>
      <c r="L10" s="11" t="n"/>
      <c r="M10" s="11" t="n"/>
      <c r="N10" s="12">
        <f>IF(OR(L10="",M10=""),"",((M10/L10)-1)/K10)</f>
        <v/>
      </c>
      <c r="O10" s="10" t="n">
        <v>-0.1131661451631253</v>
      </c>
      <c r="P10" s="11" t="n"/>
      <c r="Q10" s="11" t="n"/>
      <c r="R10" s="12">
        <f>IF(OR(P10="",Q10=""),"",((Q10/P10)-1)/O10)</f>
        <v/>
      </c>
      <c r="S10" s="10" t="n">
        <v>-0.013</v>
      </c>
      <c r="T10" s="11" t="n"/>
      <c r="U10" s="11" t="n"/>
      <c r="V10" s="12">
        <f>IF(OR(T10="",U10=""),"",((U10/T10)-1)/S10)</f>
        <v/>
      </c>
      <c r="W10" s="10" t="n">
        <v>-0.5359731689173215</v>
      </c>
      <c r="X10" s="11" t="n"/>
      <c r="Y10" s="11" t="n"/>
      <c r="Z10" s="12">
        <f>IF(OR(X10="",Y10=""),"",((Y10/X10)-1)/W10)</f>
        <v/>
      </c>
      <c r="AA10" s="10" t="n">
        <v>-0.1545966696984719</v>
      </c>
      <c r="AB10" s="11" t="n"/>
      <c r="AC10" s="11" t="n"/>
      <c r="AD10" s="12">
        <f>IF(OR(AB10="",AC10=""),"",((AC10/AB10)-1)/AA10)</f>
        <v/>
      </c>
    </row>
    <row r="11">
      <c r="A11" s="9" t="inlineStr">
        <is>
          <t>Backpacks</t>
        </is>
      </c>
      <c r="B11" s="7" t="inlineStr">
        <is>
          <t>Non-Tech</t>
        </is>
      </c>
      <c r="C11" s="10" t="n">
        <v>-0.09000386613870093</v>
      </c>
      <c r="D11" s="11" t="n"/>
      <c r="E11" s="11" t="n"/>
      <c r="F11" s="12">
        <f>IF(OR(D11="",E11=""),"",((E11/D11)-1)/C11)</f>
        <v/>
      </c>
      <c r="G11" s="10" t="n">
        <v>-0.2279928316801033</v>
      </c>
      <c r="H11" s="11" t="n"/>
      <c r="I11" s="11" t="n"/>
      <c r="J11" s="12">
        <f>IF(OR(H11="",I11=""),"",((I11/H11)-1)/G11)</f>
        <v/>
      </c>
      <c r="K11" s="10" t="n">
        <v>-0.220381930750752</v>
      </c>
      <c r="L11" s="11" t="n"/>
      <c r="M11" s="11" t="n"/>
      <c r="N11" s="12">
        <f>IF(OR(L11="",M11=""),"",((M11/L11)-1)/K11)</f>
        <v/>
      </c>
      <c r="O11" s="10" t="n">
        <v>-0.03</v>
      </c>
      <c r="P11" s="11" t="n"/>
      <c r="Q11" s="11" t="n"/>
      <c r="R11" s="12">
        <f>IF(OR(P11="",Q11=""),"",((Q11/P11)-1)/O11)</f>
        <v/>
      </c>
      <c r="S11" s="10" t="n">
        <v>-0.07343526329881511</v>
      </c>
      <c r="T11" s="11" t="n"/>
      <c r="U11" s="11" t="n"/>
      <c r="V11" s="12">
        <f>IF(OR(T11="",U11=""),"",((U11/T11)-1)/S11)</f>
        <v/>
      </c>
      <c r="W11" s="10" t="n">
        <v>-0.2152722414914261</v>
      </c>
      <c r="X11" s="11" t="n"/>
      <c r="Y11" s="11" t="n"/>
      <c r="Z11" s="12">
        <f>IF(OR(X11="",Y11=""),"",((Y11/X11)-1)/W11)</f>
        <v/>
      </c>
      <c r="AA11" s="10" t="n">
        <v>-0.07243846313151814</v>
      </c>
      <c r="AB11" s="11" t="n"/>
      <c r="AC11" s="11" t="n"/>
      <c r="AD11" s="12">
        <f>IF(OR(AB11="",AC11=""),"",((AC11/AB11)-1)/AA11)</f>
        <v/>
      </c>
    </row>
    <row r="12">
      <c r="A12" s="9" t="inlineStr">
        <is>
          <t>Laptop Bags and Sleeves</t>
        </is>
      </c>
      <c r="B12" s="7" t="inlineStr">
        <is>
          <t>Non-Tech</t>
        </is>
      </c>
      <c r="C12" s="10" t="n">
        <v>-0.1245282238823279</v>
      </c>
      <c r="D12" s="11" t="n"/>
      <c r="E12" s="11" t="n"/>
      <c r="F12" s="12">
        <f>IF(OR(D12="",E12=""),"",((E12/D12)-1)/C12)</f>
        <v/>
      </c>
      <c r="G12" s="10" t="n">
        <v>-0.3450444753676898</v>
      </c>
      <c r="H12" s="11" t="n"/>
      <c r="I12" s="11" t="n"/>
      <c r="J12" s="12">
        <f>IF(OR(H12="",I12=""),"",((I12/H12)-1)/G12)</f>
        <v/>
      </c>
      <c r="K12" s="10" t="n">
        <v>-0.3348461708475657</v>
      </c>
      <c r="L12" s="11" t="n"/>
      <c r="M12" s="11" t="n"/>
      <c r="N12" s="12">
        <f>IF(OR(L12="",M12=""),"",((M12/L12)-1)/K12)</f>
        <v/>
      </c>
      <c r="O12" s="10" t="n">
        <v>-0.038</v>
      </c>
      <c r="P12" s="11" t="n"/>
      <c r="Q12" s="11" t="n"/>
      <c r="R12" s="12">
        <f>IF(OR(P12="",Q12=""),"",((Q12/P12)-1)/O12)</f>
        <v/>
      </c>
      <c r="S12" s="10" t="n">
        <v>-0.150050775862373</v>
      </c>
      <c r="T12" s="11" t="n"/>
      <c r="U12" s="11" t="n"/>
      <c r="V12" s="12">
        <f>IF(OR(T12="",U12=""),"",((U12/T12)-1)/S12)</f>
        <v/>
      </c>
      <c r="W12" s="10" t="n">
        <v>-0.3596711830905345</v>
      </c>
      <c r="X12" s="11" t="n"/>
      <c r="Y12" s="11" t="n"/>
      <c r="Z12" s="12">
        <f>IF(OR(X12="",Y12=""),"",((Y12/X12)-1)/W12)</f>
        <v/>
      </c>
      <c r="AA12" s="10" t="n">
        <v>-0.1009305326548021</v>
      </c>
      <c r="AB12" s="11" t="n"/>
      <c r="AC12" s="11" t="n"/>
      <c r="AD12" s="12">
        <f>IF(OR(AB12="",AC12=""),"",((AC12/AB12)-1)/AA12)</f>
        <v/>
      </c>
    </row>
    <row r="13">
      <c r="A13" s="9" t="inlineStr">
        <is>
          <t>Crossbody Bags</t>
        </is>
      </c>
      <c r="B13" s="7" t="inlineStr">
        <is>
          <t>Non-Tech</t>
        </is>
      </c>
      <c r="C13" s="10" t="n">
        <v>-0.08193042843182585</v>
      </c>
      <c r="D13" s="11" t="n"/>
      <c r="E13" s="11" t="n"/>
      <c r="F13" s="12">
        <f>IF(OR(D13="",E13=""),"",((E13/D13)-1)/C13)</f>
        <v/>
      </c>
      <c r="G13" s="10" t="n">
        <v>-0.2508543799747022</v>
      </c>
      <c r="H13" s="11" t="n"/>
      <c r="I13" s="11" t="n"/>
      <c r="J13" s="12">
        <f>IF(OR(H13="",I13=""),"",((I13/H13)-1)/G13)</f>
        <v/>
      </c>
      <c r="K13" s="10" t="n">
        <v>-0.2257994447864635</v>
      </c>
      <c r="L13" s="11" t="n"/>
      <c r="M13" s="11" t="n"/>
      <c r="N13" s="12">
        <f>IF(OR(L13="",M13=""),"",((M13/L13)-1)/K13)</f>
        <v/>
      </c>
      <c r="O13" s="10" t="n">
        <v>-0.07457806383960008</v>
      </c>
      <c r="P13" s="11" t="n"/>
      <c r="Q13" s="11" t="n"/>
      <c r="R13" s="12">
        <f>IF(OR(P13="",Q13=""),"",((Q13/P13)-1)/O13)</f>
        <v/>
      </c>
      <c r="S13" s="10" t="n">
        <v>-0.09818436463227087</v>
      </c>
      <c r="T13" s="11" t="n"/>
      <c r="U13" s="11" t="n"/>
      <c r="V13" s="12">
        <f>IF(OR(T13="",U13=""),"",((U13/T13)-1)/S13)</f>
        <v/>
      </c>
      <c r="W13" s="10" t="n">
        <v>-0.1693720986490401</v>
      </c>
      <c r="X13" s="11" t="n"/>
      <c r="Y13" s="11" t="n"/>
      <c r="Z13" s="12">
        <f>IF(OR(X13="",Y13=""),"",((Y13/X13)-1)/W13)</f>
        <v/>
      </c>
      <c r="AA13" s="10" t="n">
        <v>-0.09861892319897403</v>
      </c>
      <c r="AB13" s="11" t="n"/>
      <c r="AC13" s="11" t="n"/>
      <c r="AD13" s="12">
        <f>IF(OR(AB13="",AC13=""),"",((AC13/AB13)-1)/AA13)</f>
        <v/>
      </c>
    </row>
    <row r="14">
      <c r="A14" s="9" t="inlineStr">
        <is>
          <t>Tote Bags</t>
        </is>
      </c>
      <c r="B14" s="7" t="inlineStr">
        <is>
          <t>Non-Tech</t>
        </is>
      </c>
      <c r="C14" s="10" t="n">
        <v>-0.07851996044679788</v>
      </c>
      <c r="D14" s="11" t="n"/>
      <c r="E14" s="11" t="n"/>
      <c r="F14" s="12">
        <f>IF(OR(D14="",E14=""),"",((E14/D14)-1)/C14)</f>
        <v/>
      </c>
      <c r="G14" s="10" t="n">
        <v>-0.2269834048470077</v>
      </c>
      <c r="H14" s="11" t="n"/>
      <c r="I14" s="11" t="n"/>
      <c r="J14" s="12">
        <f>IF(OR(H14="",I14=""),"",((I14/H14)-1)/G14)</f>
        <v/>
      </c>
      <c r="K14" s="10" t="n">
        <v>-0.2180150256723752</v>
      </c>
      <c r="L14" s="11" t="n"/>
      <c r="M14" s="11" t="n"/>
      <c r="N14" s="12">
        <f>IF(OR(L14="",M14=""),"",((M14/L14)-1)/K14)</f>
        <v/>
      </c>
      <c r="O14" s="10" t="n">
        <v>-0.06851054555208103</v>
      </c>
      <c r="P14" s="11" t="n"/>
      <c r="Q14" s="11" t="n"/>
      <c r="R14" s="12">
        <f>IF(OR(P14="",Q14=""),"",((Q14/P14)-1)/O14)</f>
        <v/>
      </c>
      <c r="S14" s="10" t="n">
        <v>-0.156056740887365</v>
      </c>
      <c r="T14" s="11" t="n"/>
      <c r="U14" s="11" t="n"/>
      <c r="V14" s="12">
        <f>IF(OR(T14="",U14=""),"",((U14/T14)-1)/S14)</f>
        <v/>
      </c>
      <c r="W14" s="10" t="n">
        <v>-0.2359699650711993</v>
      </c>
      <c r="X14" s="11" t="n"/>
      <c r="Y14" s="11" t="n"/>
      <c r="Z14" s="12">
        <f>IF(OR(X14="",Y14=""),"",((Y14/X14)-1)/W14)</f>
        <v/>
      </c>
      <c r="AA14" s="10" t="n">
        <v>-0.1295755433178238</v>
      </c>
      <c r="AB14" s="11" t="n"/>
      <c r="AC14" s="11" t="n"/>
      <c r="AD14" s="12">
        <f>IF(OR(AB14="",AC14=""),"",((AC14/AB14)-1)/AA14)</f>
        <v/>
      </c>
    </row>
    <row r="15">
      <c r="A15" s="9" t="inlineStr">
        <is>
          <t>Desks</t>
        </is>
      </c>
      <c r="B15" s="7" t="inlineStr">
        <is>
          <t>Non-Tech</t>
        </is>
      </c>
      <c r="C15" s="10" t="n">
        <v>-0.1087058096402231</v>
      </c>
      <c r="D15" s="11" t="n"/>
      <c r="E15" s="11" t="n"/>
      <c r="F15" s="12">
        <f>IF(OR(D15="",E15=""),"",((E15/D15)-1)/C15)</f>
        <v/>
      </c>
      <c r="G15" s="10" t="n">
        <v>-0.2629662523758153</v>
      </c>
      <c r="H15" s="11" t="n"/>
      <c r="I15" s="11" t="n"/>
      <c r="J15" s="12">
        <f>IF(OR(H15="",I15=""),"",((I15/H15)-1)/G15)</f>
        <v/>
      </c>
      <c r="K15" s="10" t="n">
        <v>-0.2683343872989548</v>
      </c>
      <c r="L15" s="11" t="n"/>
      <c r="M15" s="11" t="n"/>
      <c r="N15" s="12">
        <f>IF(OR(L15="",M15=""),"",((M15/L15)-1)/K15)</f>
        <v/>
      </c>
      <c r="O15" s="10" t="n">
        <v>-0.038</v>
      </c>
      <c r="P15" s="11" t="n"/>
      <c r="Q15" s="11" t="n"/>
      <c r="R15" s="12">
        <f>IF(OR(P15="",Q15=""),"",((Q15/P15)-1)/O15)</f>
        <v/>
      </c>
      <c r="S15" s="10" t="n">
        <v>-0.09764078591653014</v>
      </c>
      <c r="T15" s="11" t="n"/>
      <c r="U15" s="11" t="n"/>
      <c r="V15" s="12">
        <f>IF(OR(T15="",U15=""),"",((U15/T15)-1)/S15)</f>
        <v/>
      </c>
      <c r="W15" s="10" t="n">
        <v>-0.2579460536212143</v>
      </c>
      <c r="X15" s="11" t="n"/>
      <c r="Y15" s="11" t="n"/>
      <c r="Z15" s="12">
        <f>IF(OR(X15="",Y15=""),"",((Y15/X15)-1)/W15)</f>
        <v/>
      </c>
      <c r="AA15" s="10" t="n">
        <v>-0.1284101733230897</v>
      </c>
      <c r="AB15" s="11" t="n"/>
      <c r="AC15" s="11" t="n"/>
      <c r="AD15" s="12">
        <f>IF(OR(AB15="",AC15=""),"",((AC15/AB15)-1)/AA15)</f>
        <v/>
      </c>
    </row>
    <row r="16">
      <c r="A16" s="9" t="inlineStr">
        <is>
          <t>Organisers</t>
        </is>
      </c>
      <c r="B16" s="7" t="inlineStr">
        <is>
          <t>Non-Tech</t>
        </is>
      </c>
      <c r="C16" s="10" t="n">
        <v>-0.108846235628565</v>
      </c>
      <c r="D16" s="11" t="n"/>
      <c r="E16" s="11" t="n"/>
      <c r="F16" s="12">
        <f>IF(OR(D16="",E16=""),"",((E16/D16)-1)/C16)</f>
        <v/>
      </c>
      <c r="G16" s="10" t="n">
        <v>-0.3055508472599455</v>
      </c>
      <c r="H16" s="11" t="n"/>
      <c r="I16" s="11" t="n"/>
      <c r="J16" s="12">
        <f>IF(OR(H16="",I16=""),"",((I16/H16)-1)/G16)</f>
        <v/>
      </c>
      <c r="K16" s="10" t="n">
        <v>0.3984456961836478</v>
      </c>
      <c r="L16" s="11" t="n"/>
      <c r="M16" s="11" t="n"/>
      <c r="N16" s="12">
        <f>IF(OR(L16="",M16=""),"",((M16/L16)-1)/K16)</f>
        <v/>
      </c>
      <c r="O16" s="10" t="n">
        <v>-0.1147687199398109</v>
      </c>
      <c r="P16" s="11" t="n"/>
      <c r="Q16" s="11" t="n"/>
      <c r="R16" s="12">
        <f>IF(OR(P16="",Q16=""),"",((Q16/P16)-1)/O16)</f>
        <v/>
      </c>
      <c r="S16" s="10" t="n">
        <v>-0.1707114400665577</v>
      </c>
      <c r="T16" s="11" t="n"/>
      <c r="U16" s="11" t="n"/>
      <c r="V16" s="12">
        <f>IF(OR(T16="",U16=""),"",((U16/T16)-1)/S16)</f>
        <v/>
      </c>
      <c r="W16" s="10" t="n">
        <v>-0.310838652016577</v>
      </c>
      <c r="X16" s="11" t="n"/>
      <c r="Y16" s="11" t="n"/>
      <c r="Z16" s="12">
        <f>IF(OR(X16="",Y16=""),"",((Y16/X16)-1)/W16)</f>
        <v/>
      </c>
      <c r="AA16" s="10" t="n">
        <v>-0.1324236609925441</v>
      </c>
      <c r="AB16" s="11" t="n"/>
      <c r="AC16" s="11" t="n"/>
      <c r="AD16" s="12">
        <f>IF(OR(AB16="",AC16=""),"",((AC16/AB16)-1)/AA16)</f>
        <v/>
      </c>
    </row>
    <row r="17">
      <c r="A17" s="9" t="inlineStr">
        <is>
          <t>Phone Wallets</t>
        </is>
      </c>
      <c r="B17" s="7" t="inlineStr">
        <is>
          <t>Non-Tech</t>
        </is>
      </c>
      <c r="C17" s="10" t="n">
        <v>-0.1615516842326299</v>
      </c>
      <c r="D17" s="11" t="n"/>
      <c r="E17" s="11" t="n"/>
      <c r="F17" s="12">
        <f>IF(OR(D17="",E17=""),"",((E17/D17)-1)/C17)</f>
        <v/>
      </c>
      <c r="G17" s="10" t="n">
        <v>-0.3923568261080711</v>
      </c>
      <c r="H17" s="11" t="n"/>
      <c r="I17" s="11" t="n"/>
      <c r="J17" s="12">
        <f>IF(OR(H17="",I17=""),"",((I17/H17)-1)/G17)</f>
        <v/>
      </c>
      <c r="K17" s="10" t="n">
        <v>-0.3708648023030162</v>
      </c>
      <c r="L17" s="11" t="n"/>
      <c r="M17" s="11" t="n"/>
      <c r="N17" s="12">
        <f>IF(OR(L17="",M17=""),"",((M17/L17)-1)/K17)</f>
        <v/>
      </c>
      <c r="O17" s="10" t="n">
        <v>-0.1470199315821732</v>
      </c>
      <c r="P17" s="11" t="n"/>
      <c r="Q17" s="11" t="n"/>
      <c r="R17" s="12">
        <f>IF(OR(P17="",Q17=""),"",((Q17/P17)-1)/O17)</f>
        <v/>
      </c>
      <c r="S17" s="10" t="n">
        <v>-0.2572764094719006</v>
      </c>
      <c r="T17" s="11" t="n"/>
      <c r="U17" s="11" t="n"/>
      <c r="V17" s="12">
        <f>IF(OR(T17="",U17=""),"",((U17/T17)-1)/S17)</f>
        <v/>
      </c>
      <c r="W17" s="10" t="n">
        <v>-0.3109144222385866</v>
      </c>
      <c r="X17" s="11" t="n"/>
      <c r="Y17" s="11" t="n"/>
      <c r="Z17" s="12">
        <f>IF(OR(X17="",Y17=""),"",((Y17/X17)-1)/W17)</f>
        <v/>
      </c>
      <c r="AA17" s="10" t="n">
        <v>-0.1584449721544362</v>
      </c>
      <c r="AB17" s="11" t="n"/>
      <c r="AC17" s="11" t="n"/>
      <c r="AD17" s="12">
        <f>IF(OR(AB17="",AC17=""),"",((AC17/AB17)-1)/AA17)</f>
        <v/>
      </c>
    </row>
    <row r="18">
      <c r="A18" s="9" t="inlineStr">
        <is>
          <t>Messenger Bags</t>
        </is>
      </c>
      <c r="B18" s="7" t="inlineStr">
        <is>
          <t>Non-Tech</t>
        </is>
      </c>
      <c r="C18" s="10" t="n">
        <v>-0.07178412648322963</v>
      </c>
      <c r="D18" s="11" t="n"/>
      <c r="E18" s="11" t="n"/>
      <c r="F18" s="12">
        <f>IF(OR(D18="",E18=""),"",((E18/D18)-1)/C18)</f>
        <v/>
      </c>
      <c r="G18" s="10" t="n">
        <v>-0.2054403507795785</v>
      </c>
      <c r="H18" s="11" t="n"/>
      <c r="I18" s="11" t="n"/>
      <c r="J18" s="12">
        <f>IF(OR(H18="",I18=""),"",((I18/H18)-1)/G18)</f>
        <v/>
      </c>
      <c r="K18" s="10" t="n">
        <v>-0.1212819627277173</v>
      </c>
      <c r="L18" s="11" t="n"/>
      <c r="M18" s="11" t="n"/>
      <c r="N18" s="12">
        <f>IF(OR(L18="",M18=""),"",((M18/L18)-1)/K18)</f>
        <v/>
      </c>
      <c r="O18" s="10" t="n">
        <v>-0.025</v>
      </c>
      <c r="P18" s="11" t="n"/>
      <c r="Q18" s="11" t="n"/>
      <c r="R18" s="12">
        <f>IF(OR(P18="",Q18=""),"",((Q18/P18)-1)/O18)</f>
        <v/>
      </c>
      <c r="S18" s="10" t="n">
        <v>-0.06529979706976319</v>
      </c>
      <c r="T18" s="11" t="n"/>
      <c r="U18" s="11" t="n"/>
      <c r="V18" s="12">
        <f>IF(OR(T18="",U18=""),"",((U18/T18)-1)/S18)</f>
        <v/>
      </c>
      <c r="W18" s="10" t="n">
        <v>-0.110580004478827</v>
      </c>
      <c r="X18" s="11" t="n"/>
      <c r="Y18" s="11" t="n"/>
      <c r="Z18" s="12">
        <f>IF(OR(X18="",Y18=""),"",((Y18/X18)-1)/W18)</f>
        <v/>
      </c>
      <c r="AA18" s="10" t="n">
        <v>-0.0831922256368155</v>
      </c>
      <c r="AB18" s="11" t="n"/>
      <c r="AC18" s="11" t="n"/>
      <c r="AD18" s="12">
        <f>IF(OR(AB18="",AC18=""),"",((AC18/AB18)-1)/AA18)</f>
        <v/>
      </c>
    </row>
  </sheetData>
  <mergeCells count="11">
    <mergeCell ref="C3:F3"/>
    <mergeCell ref="S3:V3"/>
    <mergeCell ref="G3:J3"/>
    <mergeCell ref="W3:Z3"/>
    <mergeCell ref="K3:N3"/>
    <mergeCell ref="B3:B4"/>
    <mergeCell ref="A3:A4"/>
    <mergeCell ref="O3:R3"/>
    <mergeCell ref="AA3:AD3"/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11" customWidth="1" min="4" max="4"/>
    <col width="11" customWidth="1" min="5" max="5"/>
    <col width="9" customWidth="1" min="6" max="6"/>
    <col width="7" customWidth="1" min="7" max="7"/>
    <col width="11" customWidth="1" min="8" max="8"/>
    <col width="11" customWidth="1" min="9" max="9"/>
    <col width="9" customWidth="1" min="10" max="10"/>
    <col width="7" customWidth="1" min="11" max="11"/>
    <col width="11" customWidth="1" min="12" max="12"/>
    <col width="11" customWidth="1" min="13" max="13"/>
    <col width="9" customWidth="1" min="14" max="14"/>
    <col width="7" customWidth="1" min="15" max="15"/>
    <col width="11" customWidth="1" min="16" max="16"/>
    <col width="11" customWidth="1" min="17" max="17"/>
    <col width="9" customWidth="1" min="18" max="18"/>
    <col width="7" customWidth="1" min="19" max="19"/>
    <col width="11" customWidth="1" min="20" max="20"/>
    <col width="11" customWidth="1" min="21" max="21"/>
    <col width="9" customWidth="1" min="22" max="22"/>
    <col width="7" customWidth="1" min="23" max="23"/>
    <col width="11" customWidth="1" min="24" max="24"/>
    <col width="11" customWidth="1" min="25" max="25"/>
    <col width="9" customWidth="1" min="26" max="26"/>
    <col width="7" customWidth="1" min="27" max="27"/>
    <col width="11" customWidth="1" min="28" max="28"/>
    <col width="11" customWidth="1" min="29" max="29"/>
    <col width="9" customWidth="1" min="30" max="30"/>
    <col width="7" customWidth="1" min="31" max="31"/>
    <col width="11" customWidth="1" min="32" max="32"/>
    <col width="11" customWidth="1" min="33" max="33"/>
    <col width="9" customWidth="1" min="34" max="34"/>
  </cols>
  <sheetData>
    <row r="1">
      <c r="A1" s="13" t="inlineStr">
        <is>
          <t>BAU PRICE CHANGES - upward elasticity (non-sale price hikes)</t>
        </is>
      </c>
    </row>
    <row r="2" ht="26" customHeight="1">
      <c r="A2" s="5" t="inlineStr">
        <is>
          <t>Yellow cells = enter ATC% (=ATC/PDP views, as a number e.g. 12.5) for that category &amp; week. Grey %Δ = the ASP change we measured. Elasticity auto-computes = (%change in ATC%) / (%change in price).</t>
        </is>
      </c>
    </row>
    <row r="3">
      <c r="A3" s="14" t="inlineStr">
        <is>
          <t>Category</t>
        </is>
      </c>
      <c r="B3" s="14" t="inlineStr">
        <is>
          <t>Type</t>
        </is>
      </c>
      <c r="C3" s="14" t="inlineStr">
        <is>
          <t>W5 repricing</t>
        </is>
      </c>
      <c r="D3" s="7" t="n"/>
      <c r="E3" s="7" t="n"/>
      <c r="F3" s="7" t="n"/>
      <c r="G3" s="14" t="inlineStr">
        <is>
          <t>W17 repricing</t>
        </is>
      </c>
      <c r="H3" s="7" t="n"/>
      <c r="I3" s="7" t="n"/>
      <c r="J3" s="7" t="n"/>
      <c r="K3" s="14" t="inlineStr">
        <is>
          <t>W32 repricing</t>
        </is>
      </c>
      <c r="L3" s="7" t="n"/>
      <c r="M3" s="7" t="n"/>
      <c r="N3" s="7" t="n"/>
      <c r="O3" s="14" t="inlineStr">
        <is>
          <t>W41 repricing</t>
        </is>
      </c>
      <c r="P3" s="7" t="n"/>
      <c r="Q3" s="7" t="n"/>
      <c r="R3" s="7" t="n"/>
      <c r="S3" s="14" t="inlineStr">
        <is>
          <t>W44 repricing</t>
        </is>
      </c>
      <c r="T3" s="7" t="n"/>
      <c r="U3" s="7" t="n"/>
      <c r="V3" s="7" t="n"/>
      <c r="W3" s="14" t="inlineStr">
        <is>
          <t>W49 repricing</t>
        </is>
      </c>
      <c r="X3" s="7" t="n"/>
      <c r="Y3" s="7" t="n"/>
      <c r="Z3" s="7" t="n"/>
      <c r="AA3" s="14" t="inlineStr">
        <is>
          <t>W57 repricing</t>
        </is>
      </c>
      <c r="AB3" s="7" t="n"/>
      <c r="AC3" s="7" t="n"/>
      <c r="AD3" s="7" t="n"/>
      <c r="AE3" s="14" t="inlineStr">
        <is>
          <t>W62 repricing</t>
        </is>
      </c>
      <c r="AF3" s="7" t="n"/>
      <c r="AG3" s="7" t="n"/>
      <c r="AH3" s="7" t="n"/>
    </row>
    <row r="4" ht="30" customHeight="1">
      <c r="A4" s="7" t="n"/>
      <c r="B4" s="7" t="n"/>
      <c r="C4" s="8" t="inlineStr">
        <is>
          <t>ASP %Δ</t>
        </is>
      </c>
      <c r="D4" s="8" t="inlineStr">
        <is>
          <t>ATC% pre
W2</t>
        </is>
      </c>
      <c r="E4" s="8" t="inlineStr">
        <is>
          <t>ATC% chg
W5</t>
        </is>
      </c>
      <c r="F4" s="8" t="inlineStr">
        <is>
          <t>Elasticity</t>
        </is>
      </c>
      <c r="G4" s="8" t="inlineStr">
        <is>
          <t>ASP %Δ</t>
        </is>
      </c>
      <c r="H4" s="8" t="inlineStr">
        <is>
          <t>ATC% pre
W16</t>
        </is>
      </c>
      <c r="I4" s="8" t="inlineStr">
        <is>
          <t>ATC% chg
W17</t>
        </is>
      </c>
      <c r="J4" s="8" t="inlineStr">
        <is>
          <t>Elasticity</t>
        </is>
      </c>
      <c r="K4" s="8" t="inlineStr">
        <is>
          <t>ASP %Δ</t>
        </is>
      </c>
      <c r="L4" s="8" t="inlineStr">
        <is>
          <t>ATC% pre
W31</t>
        </is>
      </c>
      <c r="M4" s="8" t="inlineStr">
        <is>
          <t>ATC% chg
W32</t>
        </is>
      </c>
      <c r="N4" s="8" t="inlineStr">
        <is>
          <t>Elasticity</t>
        </is>
      </c>
      <c r="O4" s="8" t="inlineStr">
        <is>
          <t>ASP %Δ</t>
        </is>
      </c>
      <c r="P4" s="8" t="inlineStr">
        <is>
          <t>ATC% pre
W40</t>
        </is>
      </c>
      <c r="Q4" s="8" t="inlineStr">
        <is>
          <t>ATC% chg
W41</t>
        </is>
      </c>
      <c r="R4" s="8" t="inlineStr">
        <is>
          <t>Elasticity</t>
        </is>
      </c>
      <c r="S4" s="8" t="inlineStr">
        <is>
          <t>ASP %Δ</t>
        </is>
      </c>
      <c r="T4" s="8" t="inlineStr">
        <is>
          <t>ATC% pre
W41</t>
        </is>
      </c>
      <c r="U4" s="8" t="inlineStr">
        <is>
          <t>ATC% chg
W44</t>
        </is>
      </c>
      <c r="V4" s="8" t="inlineStr">
        <is>
          <t>Elasticity</t>
        </is>
      </c>
      <c r="W4" s="8" t="inlineStr">
        <is>
          <t>ASP %Δ</t>
        </is>
      </c>
      <c r="X4" s="8" t="inlineStr">
        <is>
          <t>ATC% pre
W48</t>
        </is>
      </c>
      <c r="Y4" s="8" t="inlineStr">
        <is>
          <t>ATC% chg
W49</t>
        </is>
      </c>
      <c r="Z4" s="8" t="inlineStr">
        <is>
          <t>Elasticity</t>
        </is>
      </c>
      <c r="AA4" s="8" t="inlineStr">
        <is>
          <t>ASP %Δ</t>
        </is>
      </c>
      <c r="AB4" s="8" t="inlineStr">
        <is>
          <t>ATC% pre
W56</t>
        </is>
      </c>
      <c r="AC4" s="8" t="inlineStr">
        <is>
          <t>ATC% chg
W57</t>
        </is>
      </c>
      <c r="AD4" s="8" t="inlineStr">
        <is>
          <t>Elasticity</t>
        </is>
      </c>
      <c r="AE4" s="8" t="inlineStr">
        <is>
          <t>ASP %Δ</t>
        </is>
      </c>
      <c r="AF4" s="8" t="inlineStr">
        <is>
          <t>ATC% pre
W61</t>
        </is>
      </c>
      <c r="AG4" s="8" t="inlineStr">
        <is>
          <t>ATC% chg
W62</t>
        </is>
      </c>
      <c r="AH4" s="8" t="inlineStr">
        <is>
          <t>Elasticity</t>
        </is>
      </c>
    </row>
    <row r="5">
      <c r="A5" s="9" t="inlineStr">
        <is>
          <t>Wireless Charger</t>
        </is>
      </c>
      <c r="B5" s="7" t="inlineStr">
        <is>
          <t>Tech</t>
        </is>
      </c>
      <c r="C5" s="15" t="n">
        <v>0.0981301654907049</v>
      </c>
      <c r="D5" s="11" t="n"/>
      <c r="E5" s="11" t="n"/>
      <c r="F5" s="12">
        <f>IF(OR(D5="",E5=""),"",((E5/D5)-1)/C5)</f>
        <v/>
      </c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5" t="n">
        <v>0.1391250630049223</v>
      </c>
      <c r="T5" s="11" t="n"/>
      <c r="U5" s="11" t="n"/>
      <c r="V5" s="12">
        <f>IF(OR(T5="",U5=""),"",((U5/T5)-1)/S5)</f>
        <v/>
      </c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</row>
    <row r="6">
      <c r="A6" s="9" t="inlineStr">
        <is>
          <t>Designer Cases</t>
        </is>
      </c>
      <c r="B6" s="7" t="inlineStr">
        <is>
          <t>Tech</t>
        </is>
      </c>
      <c r="C6" s="15" t="n">
        <v>0.1124691271084426</v>
      </c>
      <c r="D6" s="11" t="n"/>
      <c r="E6" s="11" t="n"/>
      <c r="F6" s="12">
        <f>IF(OR(D6="",E6=""),"",((E6/D6)-1)/C6)</f>
        <v/>
      </c>
      <c r="G6" s="15" t="n">
        <v>0.1161677875160051</v>
      </c>
      <c r="H6" s="11" t="n"/>
      <c r="I6" s="11" t="n"/>
      <c r="J6" s="12">
        <f>IF(OR(H6="",I6=""),"",((I6/H6)-1)/G6)</f>
        <v/>
      </c>
      <c r="K6" s="15" t="n">
        <v>0.1042021562238307</v>
      </c>
      <c r="L6" s="11" t="n"/>
      <c r="M6" s="11" t="n"/>
      <c r="N6" s="12">
        <f>IF(OR(L6="",M6=""),"",((M6/L6)-1)/K6)</f>
        <v/>
      </c>
      <c r="O6" s="15" t="n">
        <v>0.1954349587609328</v>
      </c>
      <c r="P6" s="11" t="n"/>
      <c r="Q6" s="11" t="n"/>
      <c r="R6" s="12">
        <f>IF(OR(P6="",Q6=""),"",((Q6/P6)-1)/O6)</f>
        <v/>
      </c>
      <c r="S6" s="15" t="n">
        <v>0.08980434351026494</v>
      </c>
      <c r="T6" s="11" t="n"/>
      <c r="U6" s="11" t="n"/>
      <c r="V6" s="12">
        <f>IF(OR(T6="",U6=""),"",((U6/T6)-1)/S6)</f>
        <v/>
      </c>
      <c r="W6" s="16" t="n"/>
      <c r="X6" s="16" t="n"/>
      <c r="Y6" s="16" t="n"/>
      <c r="Z6" s="16" t="n"/>
      <c r="AA6" s="15" t="n">
        <v>0.1301083717260637</v>
      </c>
      <c r="AB6" s="11" t="n"/>
      <c r="AC6" s="11" t="n"/>
      <c r="AD6" s="12">
        <f>IF(OR(AB6="",AC6=""),"",((AC6/AB6)-1)/AA6)</f>
        <v/>
      </c>
      <c r="AE6" s="15" t="n">
        <v>0.1432995552513616</v>
      </c>
      <c r="AF6" s="11" t="n"/>
      <c r="AG6" s="11" t="n"/>
      <c r="AH6" s="12">
        <f>IF(OR(AF6="",AG6=""),"",((AG6/AF6)-1)/AE6)</f>
        <v/>
      </c>
    </row>
    <row r="7">
      <c r="A7" s="9" t="inlineStr">
        <is>
          <t>Screen Guards</t>
        </is>
      </c>
      <c r="B7" s="7" t="inlineStr">
        <is>
          <t>Tech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5" t="n">
        <v>0.2523317657936252</v>
      </c>
      <c r="P7" s="11" t="n"/>
      <c r="Q7" s="11" t="n"/>
      <c r="R7" s="12">
        <f>IF(OR(P7="",Q7=""),"",((Q7/P7)-1)/O7)</f>
        <v/>
      </c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</row>
    <row r="8">
      <c r="A8" s="9" t="inlineStr">
        <is>
          <t>Airpods Case Cover</t>
        </is>
      </c>
      <c r="B8" s="7" t="inlineStr">
        <is>
          <t>Tech</t>
        </is>
      </c>
      <c r="C8" s="15" t="n">
        <v>0.1580579748194338</v>
      </c>
      <c r="D8" s="11" t="n"/>
      <c r="E8" s="11" t="n"/>
      <c r="F8" s="12">
        <f>IF(OR(D8="",E8=""),"",((E8/D8)-1)/C8)</f>
        <v/>
      </c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5" t="n">
        <v>0.1169478800120176</v>
      </c>
      <c r="T8" s="11" t="n"/>
      <c r="U8" s="11" t="n"/>
      <c r="V8" s="12">
        <f>IF(OR(T8="",U8=""),"",((U8/T8)-1)/S8)</f>
        <v/>
      </c>
      <c r="W8" s="16" t="n"/>
      <c r="X8" s="16" t="n"/>
      <c r="Y8" s="16" t="n"/>
      <c r="Z8" s="16" t="n"/>
      <c r="AA8" s="15" t="n">
        <v>0.1844970073652996</v>
      </c>
      <c r="AB8" s="11" t="n"/>
      <c r="AC8" s="11" t="n"/>
      <c r="AD8" s="12">
        <f>IF(OR(AB8="",AC8=""),"",((AC8/AB8)-1)/AA8)</f>
        <v/>
      </c>
      <c r="AE8" s="16" t="n"/>
      <c r="AF8" s="16" t="n"/>
      <c r="AG8" s="16" t="n"/>
      <c r="AH8" s="16" t="n"/>
    </row>
    <row r="9">
      <c r="A9" s="9" t="inlineStr">
        <is>
          <t>Stands</t>
        </is>
      </c>
      <c r="B9" s="7" t="inlineStr">
        <is>
          <t>Tech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>
      <c r="A10" s="9" t="inlineStr">
        <is>
          <t>Watch Straps</t>
        </is>
      </c>
      <c r="B10" s="7" t="inlineStr">
        <is>
          <t>Non-Tech</t>
        </is>
      </c>
      <c r="C10" s="15" t="n">
        <v>0.1366976746797789</v>
      </c>
      <c r="D10" s="11" t="n"/>
      <c r="E10" s="11" t="n"/>
      <c r="F10" s="12">
        <f>IF(OR(D10="",E10=""),"",((E10/D10)-1)/C10)</f>
        <v/>
      </c>
      <c r="G10" s="15" t="n">
        <v>0.1265456968054543</v>
      </c>
      <c r="H10" s="11" t="n"/>
      <c r="I10" s="11" t="n"/>
      <c r="J10" s="12">
        <f>IF(OR(H10="",I10=""),"",((I10/H10)-1)/G10)</f>
        <v/>
      </c>
      <c r="K10" s="15" t="n">
        <v>0.09923362292366028</v>
      </c>
      <c r="L10" s="11" t="n"/>
      <c r="M10" s="11" t="n"/>
      <c r="N10" s="12">
        <f>IF(OR(L10="",M10=""),"",((M10/L10)-1)/K10)</f>
        <v/>
      </c>
      <c r="O10" s="15" t="n">
        <v>0.1185145732832944</v>
      </c>
      <c r="P10" s="11" t="n"/>
      <c r="Q10" s="11" t="n"/>
      <c r="R10" s="12">
        <f>IF(OR(P10="",Q10=""),"",((Q10/P10)-1)/O10)</f>
        <v/>
      </c>
      <c r="S10" s="15" t="n">
        <v>0.3367699033973521</v>
      </c>
      <c r="T10" s="11" t="n"/>
      <c r="U10" s="11" t="n"/>
      <c r="V10" s="12">
        <f>IF(OR(T10="",U10=""),"",((U10/T10)-1)/S10)</f>
        <v/>
      </c>
      <c r="W10" s="15" t="n">
        <v>0.3548341148808768</v>
      </c>
      <c r="X10" s="11" t="n"/>
      <c r="Y10" s="11" t="n"/>
      <c r="Z10" s="12">
        <f>IF(OR(X10="",Y10=""),"",((Y10/X10)-1)/W10)</f>
        <v/>
      </c>
      <c r="AA10" s="16" t="n"/>
      <c r="AB10" s="16" t="n"/>
      <c r="AC10" s="16" t="n"/>
      <c r="AD10" s="16" t="n"/>
      <c r="AE10" s="16" t="n"/>
      <c r="AF10" s="16" t="n"/>
      <c r="AG10" s="16" t="n"/>
      <c r="AH10" s="16" t="n"/>
    </row>
    <row r="11">
      <c r="A11" s="9" t="inlineStr">
        <is>
          <t>Backpacks</t>
        </is>
      </c>
      <c r="B11" s="7" t="inlineStr">
        <is>
          <t>Non-Tech</t>
        </is>
      </c>
      <c r="C11" s="15" t="n">
        <v>0.1121026338228422</v>
      </c>
      <c r="D11" s="11" t="n"/>
      <c r="E11" s="11" t="n"/>
      <c r="F11" s="12">
        <f>IF(OR(D11="",E11=""),"",((E11/D11)-1)/C11)</f>
        <v/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</row>
    <row r="12">
      <c r="A12" s="9" t="inlineStr">
        <is>
          <t>Laptop Bags and Sleeves</t>
        </is>
      </c>
      <c r="B12" s="7" t="inlineStr">
        <is>
          <t>Non-Tech</t>
        </is>
      </c>
      <c r="C12" s="15" t="n">
        <v>0.1296819736876388</v>
      </c>
      <c r="D12" s="11" t="n"/>
      <c r="E12" s="11" t="n"/>
      <c r="F12" s="12">
        <f>IF(OR(D12="",E12=""),"",((E12/D12)-1)/C12)</f>
        <v/>
      </c>
      <c r="G12" s="15" t="n">
        <v>0.09075128363289466</v>
      </c>
      <c r="H12" s="11" t="n"/>
      <c r="I12" s="11" t="n"/>
      <c r="J12" s="12">
        <f>IF(OR(H12="",I12=""),"",((I12/H12)-1)/G12)</f>
        <v/>
      </c>
      <c r="K12" s="16" t="n"/>
      <c r="L12" s="16" t="n"/>
      <c r="M12" s="16" t="n"/>
      <c r="N12" s="16" t="n"/>
      <c r="O12" s="15" t="n">
        <v>0.1433432986719498</v>
      </c>
      <c r="P12" s="11" t="n"/>
      <c r="Q12" s="11" t="n"/>
      <c r="R12" s="12">
        <f>IF(OR(P12="",Q12=""),"",((Q12/P12)-1)/O12)</f>
        <v/>
      </c>
      <c r="S12" s="15" t="n">
        <v>0.119781074053275</v>
      </c>
      <c r="T12" s="11" t="n"/>
      <c r="U12" s="11" t="n"/>
      <c r="V12" s="12">
        <f>IF(OR(T12="",U12=""),"",((U12/T12)-1)/S12)</f>
        <v/>
      </c>
      <c r="W12" s="15" t="n">
        <v>0.125869410944239</v>
      </c>
      <c r="X12" s="11" t="n"/>
      <c r="Y12" s="11" t="n"/>
      <c r="Z12" s="12">
        <f>IF(OR(X12="",Y12=""),"",((Y12/X12)-1)/W12)</f>
        <v/>
      </c>
      <c r="AA12" s="15" t="n">
        <v>0.1370484096235761</v>
      </c>
      <c r="AB12" s="11" t="n"/>
      <c r="AC12" s="11" t="n"/>
      <c r="AD12" s="12">
        <f>IF(OR(AB12="",AC12=""),"",((AC12/AB12)-1)/AA12)</f>
        <v/>
      </c>
      <c r="AE12" s="16" t="n"/>
      <c r="AF12" s="16" t="n"/>
      <c r="AG12" s="16" t="n"/>
      <c r="AH12" s="16" t="n"/>
    </row>
    <row r="13">
      <c r="A13" s="9" t="inlineStr">
        <is>
          <t>Crossbody Bags</t>
        </is>
      </c>
      <c r="B13" s="7" t="inlineStr">
        <is>
          <t>Non-Tech</t>
        </is>
      </c>
      <c r="C13" s="15" t="n">
        <v>0.09837473855216254</v>
      </c>
      <c r="D13" s="11" t="n"/>
      <c r="E13" s="11" t="n"/>
      <c r="F13" s="12">
        <f>IF(OR(D13="",E13=""),"",((E13/D13)-1)/C13)</f>
        <v/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5" t="n">
        <v>0.1120367859287789</v>
      </c>
      <c r="T13" s="11" t="n"/>
      <c r="U13" s="11" t="n"/>
      <c r="V13" s="12">
        <f>IF(OR(T13="",U13=""),"",((U13/T13)-1)/S13)</f>
        <v/>
      </c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</row>
    <row r="14">
      <c r="A14" s="9" t="inlineStr">
        <is>
          <t>Tote Bags</t>
        </is>
      </c>
      <c r="B14" s="7" t="inlineStr">
        <is>
          <t>Non-Tech</t>
        </is>
      </c>
      <c r="C14" s="15" t="n">
        <v>0.1184136404858186</v>
      </c>
      <c r="D14" s="11" t="n"/>
      <c r="E14" s="11" t="n"/>
      <c r="F14" s="12">
        <f>IF(OR(D14="",E14=""),"",((E14/D14)-1)/C14)</f>
        <v/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5" t="n">
        <v>0.1023980914749095</v>
      </c>
      <c r="T14" s="11" t="n"/>
      <c r="U14" s="11" t="n"/>
      <c r="V14" s="12">
        <f>IF(OR(T14="",U14=""),"",((U14/T14)-1)/S14)</f>
        <v/>
      </c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</row>
    <row r="15">
      <c r="A15" s="9" t="inlineStr">
        <is>
          <t>Desks</t>
        </is>
      </c>
      <c r="B15" s="7" t="inlineStr">
        <is>
          <t>Non-Tech</t>
        </is>
      </c>
      <c r="C15" s="15" t="n">
        <v>0.128676100778321</v>
      </c>
      <c r="D15" s="11" t="n"/>
      <c r="E15" s="11" t="n"/>
      <c r="F15" s="12">
        <f>IF(OR(D15="",E15=""),"",((E15/D15)-1)/C15)</f>
        <v/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5" t="n">
        <v>0.1450105249147106</v>
      </c>
      <c r="T15" s="11" t="n"/>
      <c r="U15" s="11" t="n"/>
      <c r="V15" s="12">
        <f>IF(OR(T15="",U15=""),"",((U15/T15)-1)/S15)</f>
        <v/>
      </c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</row>
    <row r="16">
      <c r="A16" s="9" t="inlineStr">
        <is>
          <t>Organisers</t>
        </is>
      </c>
      <c r="B16" s="7" t="inlineStr">
        <is>
          <t>Non-Tech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5" t="n">
        <v>0.1108622373998467</v>
      </c>
      <c r="T16" s="11" t="n"/>
      <c r="U16" s="11" t="n"/>
      <c r="V16" s="12">
        <f>IF(OR(T16="",U16=""),"",((U16/T16)-1)/S16)</f>
        <v/>
      </c>
      <c r="W16" s="16" t="n"/>
      <c r="X16" s="16" t="n"/>
      <c r="Y16" s="16" t="n"/>
      <c r="Z16" s="16" t="n"/>
      <c r="AA16" s="15" t="n">
        <v>0.1087836568912053</v>
      </c>
      <c r="AB16" s="11" t="n"/>
      <c r="AC16" s="11" t="n"/>
      <c r="AD16" s="12">
        <f>IF(OR(AB16="",AC16=""),"",((AC16/AB16)-1)/AA16)</f>
        <v/>
      </c>
      <c r="AE16" s="16" t="n"/>
      <c r="AF16" s="16" t="n"/>
      <c r="AG16" s="16" t="n"/>
      <c r="AH16" s="16" t="n"/>
    </row>
    <row r="17">
      <c r="A17" s="9" t="inlineStr">
        <is>
          <t>Phone Wallets</t>
        </is>
      </c>
      <c r="B17" s="7" t="inlineStr">
        <is>
          <t>Non-Tech</t>
        </is>
      </c>
      <c r="C17" s="16" t="n"/>
      <c r="D17" s="16" t="n"/>
      <c r="E17" s="16" t="n"/>
      <c r="F17" s="16" t="n"/>
      <c r="G17" s="15" t="n">
        <v>0.1013833455913806</v>
      </c>
      <c r="H17" s="11" t="n"/>
      <c r="I17" s="11" t="n"/>
      <c r="J17" s="12">
        <f>IF(OR(H17="",I17=""),"",((I17/H17)-1)/G17)</f>
        <v/>
      </c>
      <c r="K17" s="16" t="n"/>
      <c r="L17" s="16" t="n"/>
      <c r="M17" s="16" t="n"/>
      <c r="N17" s="16" t="n"/>
      <c r="O17" s="16" t="n"/>
      <c r="P17" s="16" t="n"/>
      <c r="Q17" s="16" t="n"/>
      <c r="R17" s="16" t="n"/>
      <c r="S17" s="15" t="n">
        <v>0.1630383838162116</v>
      </c>
      <c r="T17" s="11" t="n"/>
      <c r="U17" s="11" t="n"/>
      <c r="V17" s="12">
        <f>IF(OR(T17="",U17=""),"",((U17/T17)-1)/S17)</f>
        <v/>
      </c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</row>
    <row r="18">
      <c r="A18" s="9" t="inlineStr">
        <is>
          <t>Messenger Bags</t>
        </is>
      </c>
      <c r="B18" s="7" t="inlineStr">
        <is>
          <t>Non-Tech</t>
        </is>
      </c>
      <c r="C18" s="15" t="n">
        <v>0.105598480486638</v>
      </c>
      <c r="D18" s="11" t="n"/>
      <c r="E18" s="11" t="n"/>
      <c r="F18" s="12">
        <f>IF(OR(D18="",E18=""),"",((E18/D18)-1)/C18)</f>
        <v/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5" t="n">
        <v>0.0988427647294409</v>
      </c>
      <c r="AB18" s="11" t="n"/>
      <c r="AC18" s="11" t="n"/>
      <c r="AD18" s="12">
        <f>IF(OR(AB18="",AC18=""),"",((AC18/AB18)-1)/AA18)</f>
        <v/>
      </c>
      <c r="AE18" s="16" t="n"/>
      <c r="AF18" s="16" t="n"/>
      <c r="AG18" s="16" t="n"/>
      <c r="AH18" s="16" t="n"/>
    </row>
  </sheetData>
  <mergeCells count="12">
    <mergeCell ref="C3:F3"/>
    <mergeCell ref="S3:V3"/>
    <mergeCell ref="G3:J3"/>
    <mergeCell ref="W3:Z3"/>
    <mergeCell ref="A2:AH2"/>
    <mergeCell ref="K3:N3"/>
    <mergeCell ref="A3:A4"/>
    <mergeCell ref="B3:B4"/>
    <mergeCell ref="O3:R3"/>
    <mergeCell ref="AA3:AD3"/>
    <mergeCell ref="AE3:AH3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2026-07-29T07:55:35Z</dcterms:created>
  <dcterms:modified xsi:type="dcterms:W3CDTF">2026-07-29T07:55:35Z</dcterms:modified>
</cp:coreProperties>
</file>